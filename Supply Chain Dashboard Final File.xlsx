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mc:AlternateContent xmlns:mc="http://schemas.openxmlformats.org/markup-compatibility/2006">
    <mc:Choice Requires="x15">
      <x15ac:absPath xmlns:x15ac="http://schemas.microsoft.com/office/spreadsheetml/2010/11/ac" url="E:\Data Analyst Class_Mayur\Project Files\Supply Chain Project\"/>
    </mc:Choice>
  </mc:AlternateContent>
  <xr:revisionPtr revIDLastSave="0" documentId="13_ncr:1_{E9D027C9-FD05-4C01-A051-64FC40271F36}" xr6:coauthVersionLast="47" xr6:coauthVersionMax="47" xr10:uidLastSave="{00000000-0000-0000-0000-000000000000}"/>
  <bookViews>
    <workbookView xWindow="-108" yWindow="-108" windowWidth="23256" windowHeight="12456" activeTab="2" xr2:uid="{F56D21B3-5D1E-425C-B25C-010848C771DF}"/>
  </bookViews>
  <sheets>
    <sheet name="Supply Chain" sheetId="2" r:id="rId1"/>
    <sheet name="Supply chain KPIs" sheetId="1" r:id="rId2"/>
    <sheet name="Supply Chain Dashboard" sheetId="3" r:id="rId3"/>
    <sheet name="Pivot" sheetId="4" r:id="rId4"/>
  </sheets>
  <definedNames>
    <definedName name="ExternalData_1" localSheetId="0" hidden="1">'Supply Chain'!$A$1:$AE$10195</definedName>
    <definedName name="Slicer_Country">#N/A</definedName>
    <definedName name="Slicer_Ship_Mode">#N/A</definedName>
    <definedName name="Slicer_Supplier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 l="1"/>
  <c r="B22" i="1"/>
  <c r="B17" i="1"/>
  <c r="B16" i="1"/>
  <c r="B12" i="1"/>
  <c r="B11" i="1"/>
  <c r="B10" i="1"/>
  <c r="B9" i="1"/>
  <c r="B4" i="1"/>
  <c r="B3" i="1"/>
  <c r="B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BA8FFA-B33D-4528-AEEE-15A70C795662}" keepAlive="1" name="Query - Supply Chain" description="Connection to the 'Supply Chain' query in the workbook." type="5" refreshedVersion="8" background="1" saveData="1">
    <dbPr connection="Provider=Microsoft.Mashup.OleDb.1;Data Source=$Workbook$;Location=&quot;Supply Chain&quot;;Extended Properties=&quot;&quot;" command="SELECT * FROM [Supply Chain]"/>
  </connection>
</connections>
</file>

<file path=xl/sharedStrings.xml><?xml version="1.0" encoding="utf-8"?>
<sst xmlns="http://schemas.openxmlformats.org/spreadsheetml/2006/main" count="17081" uniqueCount="4330">
  <si>
    <t>Order_ID</t>
  </si>
  <si>
    <t>Customer_ID</t>
  </si>
  <si>
    <t>Order_Date</t>
  </si>
  <si>
    <t>Ship_Date</t>
  </si>
  <si>
    <t>Ship_Mode</t>
  </si>
  <si>
    <t>Region</t>
  </si>
  <si>
    <t>Country</t>
  </si>
  <si>
    <t>City</t>
  </si>
  <si>
    <t>Product ID</t>
  </si>
  <si>
    <t>Category</t>
  </si>
  <si>
    <t>Sub-Category</t>
  </si>
  <si>
    <t>Product Name</t>
  </si>
  <si>
    <t>Unit_Price</t>
  </si>
  <si>
    <t>Quantity</t>
  </si>
  <si>
    <t>Supplier_ID</t>
  </si>
  <si>
    <t>Supplier_Name</t>
  </si>
  <si>
    <t>Warehouse_ID</t>
  </si>
  <si>
    <t>Transport_Mode</t>
  </si>
  <si>
    <t>Carrier</t>
  </si>
  <si>
    <t>Route</t>
  </si>
  <si>
    <t>Stock_On_Hand</t>
  </si>
  <si>
    <t>Reorder_Level</t>
  </si>
  <si>
    <t>Lead_Time_Days</t>
  </si>
  <si>
    <t>Procurement_Cost</t>
  </si>
  <si>
    <t>Transportation_Cost</t>
  </si>
  <si>
    <t>Total_Cost</t>
  </si>
  <si>
    <t>Delivery_Status</t>
  </si>
  <si>
    <t>Delay_Days</t>
  </si>
  <si>
    <t>Fill_Rate</t>
  </si>
  <si>
    <t>Forecast_Demand</t>
  </si>
  <si>
    <t>Actual_Demand</t>
  </si>
  <si>
    <t>O1000000</t>
  </si>
  <si>
    <t>C6915</t>
  </si>
  <si>
    <t>Same-day</t>
  </si>
  <si>
    <t>Asia</t>
  </si>
  <si>
    <t>USA</t>
  </si>
  <si>
    <t>New York</t>
  </si>
  <si>
    <t>OFF-PA-10000174</t>
  </si>
  <si>
    <t>Office Supplies</t>
  </si>
  <si>
    <t>Paper</t>
  </si>
  <si>
    <t>Message Book, Wirebound, Four 5 1/2" X 4" Forms/Pg., 200 Dupl. Sets/Book</t>
  </si>
  <si>
    <t>S933</t>
  </si>
  <si>
    <t>Alpha Corp</t>
  </si>
  <si>
    <t>W10</t>
  </si>
  <si>
    <t>Air</t>
  </si>
  <si>
    <t>FedEx</t>
  </si>
  <si>
    <t>Beijing-New York</t>
  </si>
  <si>
    <t>Delayed</t>
  </si>
  <si>
    <t>O1000001</t>
  </si>
  <si>
    <t>C5679</t>
  </si>
  <si>
    <t>Express</t>
  </si>
  <si>
    <t>North America</t>
  </si>
  <si>
    <t>India</t>
  </si>
  <si>
    <t>Berlin</t>
  </si>
  <si>
    <t>OFF-BI-10004094</t>
  </si>
  <si>
    <t>Binders</t>
  </si>
  <si>
    <t>GBC Standard Plastic Binding Systems Combs</t>
  </si>
  <si>
    <t>S987</t>
  </si>
  <si>
    <t>Delta Traders</t>
  </si>
  <si>
    <t>W49</t>
  </si>
  <si>
    <t>Road</t>
  </si>
  <si>
    <t>Toronto-Cape Town</t>
  </si>
  <si>
    <t>On-time</t>
  </si>
  <si>
    <t>O1000002</t>
  </si>
  <si>
    <t>C3498</t>
  </si>
  <si>
    <t>Standard</t>
  </si>
  <si>
    <t>Canada</t>
  </si>
  <si>
    <t>Mumbai</t>
  </si>
  <si>
    <t>OFF-LA-10003223</t>
  </si>
  <si>
    <t>Labels</t>
  </si>
  <si>
    <t>Avery 508</t>
  </si>
  <si>
    <t>S822</t>
  </si>
  <si>
    <t>W38</t>
  </si>
  <si>
    <t>DHL</t>
  </si>
  <si>
    <t>São Paulo-Cape Town</t>
  </si>
  <si>
    <t>O1000003</t>
  </si>
  <si>
    <t>C8748</t>
  </si>
  <si>
    <t>South America</t>
  </si>
  <si>
    <t>China</t>
  </si>
  <si>
    <t>Toronto</t>
  </si>
  <si>
    <t>OFF-ST-10002743</t>
  </si>
  <si>
    <t>Storage</t>
  </si>
  <si>
    <t>SAFCO Boltless Steel Shelving</t>
  </si>
  <si>
    <t>S114</t>
  </si>
  <si>
    <t>Gamma Inc</t>
  </si>
  <si>
    <t>W45</t>
  </si>
  <si>
    <t>Rail</t>
  </si>
  <si>
    <t>Maersk</t>
  </si>
  <si>
    <t>Cape Town-Toronto</t>
  </si>
  <si>
    <t>O1000004</t>
  </si>
  <si>
    <t>C7620</t>
  </si>
  <si>
    <t>Africa</t>
  </si>
  <si>
    <t>UK</t>
  </si>
  <si>
    <t>OFF-AR-10003478</t>
  </si>
  <si>
    <t>Art</t>
  </si>
  <si>
    <t>Avery Hi-Liter EverBold Pen Style Fluorescent Highlighters, 4/Pack</t>
  </si>
  <si>
    <t>S554</t>
  </si>
  <si>
    <t>W16</t>
  </si>
  <si>
    <t>BlueDart</t>
  </si>
  <si>
    <t>Berlin-São Paulo</t>
  </si>
  <si>
    <t>O1000005</t>
  </si>
  <si>
    <t>C2078</t>
  </si>
  <si>
    <t>Germany</t>
  </si>
  <si>
    <t>FUR-CH-10004063</t>
  </si>
  <si>
    <t>Furniture</t>
  </si>
  <si>
    <t>Chairs</t>
  </si>
  <si>
    <t>Global Deluxe High-Back Manager's Chair</t>
  </si>
  <si>
    <t>S135</t>
  </si>
  <si>
    <t>Epsilon LLC</t>
  </si>
  <si>
    <t>W15</t>
  </si>
  <si>
    <t>Toronto-Toronto</t>
  </si>
  <si>
    <t>O1000006</t>
  </si>
  <si>
    <t>C6228</t>
  </si>
  <si>
    <t>South Africa</t>
  </si>
  <si>
    <t>São Paulo</t>
  </si>
  <si>
    <t>OFF-AR-10001662</t>
  </si>
  <si>
    <t>Rogers Handheld Barrel Pencil Sharpener</t>
  </si>
  <si>
    <t>S974</t>
  </si>
  <si>
    <t>W34</t>
  </si>
  <si>
    <t>Cape Town-São Paulo</t>
  </si>
  <si>
    <t>O1000007</t>
  </si>
  <si>
    <t>C7718</t>
  </si>
  <si>
    <t>OFF-AR-10002399</t>
  </si>
  <si>
    <t>Dixon Prang Watercolor Pencils, 10-Color Set with Brush</t>
  </si>
  <si>
    <t>S154</t>
  </si>
  <si>
    <t>W6</t>
  </si>
  <si>
    <t>UPS</t>
  </si>
  <si>
    <t>Berlin-New York</t>
  </si>
  <si>
    <t>O1000008</t>
  </si>
  <si>
    <t>C3973</t>
  </si>
  <si>
    <t>OFF-BI-10004632</t>
  </si>
  <si>
    <t>Ibico Hi-Tech Manual Binding System</t>
  </si>
  <si>
    <t>S357</t>
  </si>
  <si>
    <t>W25</t>
  </si>
  <si>
    <t>New York-Beijing</t>
  </si>
  <si>
    <t>O1000009</t>
  </si>
  <si>
    <t>C1323</t>
  </si>
  <si>
    <t>OFF-FA-10001883</t>
  </si>
  <si>
    <t>Fasteners</t>
  </si>
  <si>
    <t>Alliance Super-Size Bands, Assorted Sizes</t>
  </si>
  <si>
    <t>S160</t>
  </si>
  <si>
    <t>Beta Ltd</t>
  </si>
  <si>
    <t>W5</t>
  </si>
  <si>
    <t>London-Berlin</t>
  </si>
  <si>
    <t>O1000010</t>
  </si>
  <si>
    <t>C3178</t>
  </si>
  <si>
    <t>Europe</t>
  </si>
  <si>
    <t>Beijing</t>
  </si>
  <si>
    <t>OFF-PA-10000955</t>
  </si>
  <si>
    <t>Southworth 25% Cotton Granite Paper &amp; Envelopes</t>
  </si>
  <si>
    <t>S132</t>
  </si>
  <si>
    <t>W4</t>
  </si>
  <si>
    <t>Sea</t>
  </si>
  <si>
    <t>Mumbai-Cape Town</t>
  </si>
  <si>
    <t>O1000011</t>
  </si>
  <si>
    <t>C3505</t>
  </si>
  <si>
    <t>OFF-PA-10002005</t>
  </si>
  <si>
    <t>Xerox 225</t>
  </si>
  <si>
    <t>S546</t>
  </si>
  <si>
    <t>W47</t>
  </si>
  <si>
    <t>Cape Town-Mumbai</t>
  </si>
  <si>
    <t>O1000012</t>
  </si>
  <si>
    <t>C4735</t>
  </si>
  <si>
    <t>Cape Town</t>
  </si>
  <si>
    <t>TEC-PH-10004539</t>
  </si>
  <si>
    <t>Technology</t>
  </si>
  <si>
    <t>Phones</t>
  </si>
  <si>
    <t>Wireless Extenders zBoost YX545 SOHO Signal Booster</t>
  </si>
  <si>
    <t>S468</t>
  </si>
  <si>
    <t>W29</t>
  </si>
  <si>
    <t>Beijing-London</t>
  </si>
  <si>
    <t>O1000013</t>
  </si>
  <si>
    <t>C1316</t>
  </si>
  <si>
    <t>TEC-PH-10004977</t>
  </si>
  <si>
    <t>GE 30524EE4</t>
  </si>
  <si>
    <t>S674</t>
  </si>
  <si>
    <t>W1</t>
  </si>
  <si>
    <t>Berlin-Cape Town</t>
  </si>
  <si>
    <t>O1000014</t>
  </si>
  <si>
    <t>C8897</t>
  </si>
  <si>
    <t>FUR-FU-10004864</t>
  </si>
  <si>
    <t>Furnishings</t>
  </si>
  <si>
    <t>Howard Miller 14-1/2" Diameter Chrome Round Wall Clock</t>
  </si>
  <si>
    <t>S777</t>
  </si>
  <si>
    <t>W40</t>
  </si>
  <si>
    <t>Beijing-Cape Town</t>
  </si>
  <si>
    <t>O1000015</t>
  </si>
  <si>
    <t>C9273</t>
  </si>
  <si>
    <t>OFF-BI-10003708</t>
  </si>
  <si>
    <t>Acco Four Pocket Poly Ring Binder with Label Holder, Smoke, 1"</t>
  </si>
  <si>
    <t>S303</t>
  </si>
  <si>
    <t>W9</t>
  </si>
  <si>
    <t>Berlin-Beijing</t>
  </si>
  <si>
    <t>O1000016</t>
  </si>
  <si>
    <t>C8456</t>
  </si>
  <si>
    <t>OFF-AR-10004078</t>
  </si>
  <si>
    <t>Newell 312</t>
  </si>
  <si>
    <t>S613</t>
  </si>
  <si>
    <t>Mumbai-New York</t>
  </si>
  <si>
    <t>O1000017</t>
  </si>
  <si>
    <t>C2608</t>
  </si>
  <si>
    <t>TEC-AC-10001266</t>
  </si>
  <si>
    <t>Accessories</t>
  </si>
  <si>
    <t>Memorex Micro Travel Drive 8 GB</t>
  </si>
  <si>
    <t>S227</t>
  </si>
  <si>
    <t>W3</t>
  </si>
  <si>
    <t>New York-Cape Town</t>
  </si>
  <si>
    <t>O1000018</t>
  </si>
  <si>
    <t>C3534</t>
  </si>
  <si>
    <t>FUR-FU-10000965</t>
  </si>
  <si>
    <t>Howard Miller 11-1/2" Diameter Ridgewood Wall Clock</t>
  </si>
  <si>
    <t>S665</t>
  </si>
  <si>
    <t>O1000019</t>
  </si>
  <si>
    <t>C6902</t>
  </si>
  <si>
    <t>OFF-LA-10004272</t>
  </si>
  <si>
    <t>Avery 482</t>
  </si>
  <si>
    <t>S742</t>
  </si>
  <si>
    <t>W28</t>
  </si>
  <si>
    <t>Cape Town-New York</t>
  </si>
  <si>
    <t>O1000020</t>
  </si>
  <si>
    <t>C9827</t>
  </si>
  <si>
    <t>London</t>
  </si>
  <si>
    <t>FUR-FU-10000010</t>
  </si>
  <si>
    <t>DAX Value U-Channel Document Frames, Easel Back</t>
  </si>
  <si>
    <t>S752</t>
  </si>
  <si>
    <t>Mumbai-São Paulo</t>
  </si>
  <si>
    <t>O1000021</t>
  </si>
  <si>
    <t>C4756</t>
  </si>
  <si>
    <t>FUR-BO-10003034</t>
  </si>
  <si>
    <t>Bookcases</t>
  </si>
  <si>
    <t>O'Sullivan Elevations Bookcase, Cherry Finish</t>
  </si>
  <si>
    <t>S448</t>
  </si>
  <si>
    <t>W26</t>
  </si>
  <si>
    <t>O1000022</t>
  </si>
  <si>
    <t>C6997</t>
  </si>
  <si>
    <t>FUR-CH-10000422</t>
  </si>
  <si>
    <t>Global Highback Leather Tilter in Burgundy</t>
  </si>
  <si>
    <t>S825</t>
  </si>
  <si>
    <t>W44</t>
  </si>
  <si>
    <t>Cape Town-London</t>
  </si>
  <si>
    <t>O1000023</t>
  </si>
  <si>
    <t>C1028</t>
  </si>
  <si>
    <t>OFF-AR-10003514</t>
  </si>
  <si>
    <t>4009 Highlighters by Sanford</t>
  </si>
  <si>
    <t>S576</t>
  </si>
  <si>
    <t>W8</t>
  </si>
  <si>
    <t>London-São Paulo</t>
  </si>
  <si>
    <t>O1000024</t>
  </si>
  <si>
    <t>C4401</t>
  </si>
  <si>
    <t>OFF-BI-10003476</t>
  </si>
  <si>
    <t>Avery Metallic Poly Binders</t>
  </si>
  <si>
    <t>S412</t>
  </si>
  <si>
    <t>W30</t>
  </si>
  <si>
    <t>London-Toronto</t>
  </si>
  <si>
    <t>O1000025</t>
  </si>
  <si>
    <t>C4979</t>
  </si>
  <si>
    <t>OFF-BI-10004187</t>
  </si>
  <si>
    <t>3-ring staple pack</t>
  </si>
  <si>
    <t>S664</t>
  </si>
  <si>
    <t>Berlin-Toronto</t>
  </si>
  <si>
    <t>O1000026</t>
  </si>
  <si>
    <t>C9865</t>
  </si>
  <si>
    <t>OFF-EN-10001532</t>
  </si>
  <si>
    <t>Envelopes</t>
  </si>
  <si>
    <t>Brown Kraft Recycled Envelopes</t>
  </si>
  <si>
    <t>S710</t>
  </si>
  <si>
    <t>W7</t>
  </si>
  <si>
    <t>New York-São Paulo</t>
  </si>
  <si>
    <t>O1000027</t>
  </si>
  <si>
    <t>C4004</t>
  </si>
  <si>
    <t>OFF-EN-10001990</t>
  </si>
  <si>
    <t>Staple envelope</t>
  </si>
  <si>
    <t>S764</t>
  </si>
  <si>
    <t>O1000028</t>
  </si>
  <si>
    <t>C6243</t>
  </si>
  <si>
    <t>OFF-PA-10002947</t>
  </si>
  <si>
    <t>Xerox 1923</t>
  </si>
  <si>
    <t>S306</t>
  </si>
  <si>
    <t>São Paulo-London</t>
  </si>
  <si>
    <t>O1000029</t>
  </si>
  <si>
    <t>C4550</t>
  </si>
  <si>
    <t>OFF-ST-10000025</t>
  </si>
  <si>
    <t>Fellowes Stor/Drawer Steel Plus Storage Drawers</t>
  </si>
  <si>
    <t>S936</t>
  </si>
  <si>
    <t>Beijing-Berlin</t>
  </si>
  <si>
    <t>O1000030</t>
  </si>
  <si>
    <t>C4586</t>
  </si>
  <si>
    <t>OFF-ST-10000078</t>
  </si>
  <si>
    <t>Tennsco 6- and 18-Compartment Lockers</t>
  </si>
  <si>
    <t>S366</t>
  </si>
  <si>
    <t>O1000031</t>
  </si>
  <si>
    <t>C1027</t>
  </si>
  <si>
    <t>TEC-AC-10003174</t>
  </si>
  <si>
    <t>Plantronics S12 Corded Telephone Headset System</t>
  </si>
  <si>
    <t>S203</t>
  </si>
  <si>
    <t>W13</t>
  </si>
  <si>
    <t>São Paulo-Mumbai</t>
  </si>
  <si>
    <t>O1000032</t>
  </si>
  <si>
    <t>C9007</t>
  </si>
  <si>
    <t>FUR-BO-10003433</t>
  </si>
  <si>
    <t>Sauder Cornerstone Collection Library</t>
  </si>
  <si>
    <t>S104</t>
  </si>
  <si>
    <t>Mumbai-Mumbai</t>
  </si>
  <si>
    <t>O1000033</t>
  </si>
  <si>
    <t>C5653</t>
  </si>
  <si>
    <t>TEC-AC-10003628</t>
  </si>
  <si>
    <t>Logitech 910-002974 M325 Wireless Mouse for Web Scrolling</t>
  </si>
  <si>
    <t>S156</t>
  </si>
  <si>
    <t>London-Cape Town</t>
  </si>
  <si>
    <t>O1000034</t>
  </si>
  <si>
    <t>C1669</t>
  </si>
  <si>
    <t>FUR-FU-10001095</t>
  </si>
  <si>
    <t>DAX Black Cherry Wood-Tone Poster Frame</t>
  </si>
  <si>
    <t>S386</t>
  </si>
  <si>
    <t>Beijing-Beijing</t>
  </si>
  <si>
    <t>O1000035</t>
  </si>
  <si>
    <t>C7631</t>
  </si>
  <si>
    <t>OFF-BI-10001575</t>
  </si>
  <si>
    <t>GBC Linen Binding Covers</t>
  </si>
  <si>
    <t>S148</t>
  </si>
  <si>
    <t>W37</t>
  </si>
  <si>
    <t>Cape Town-Berlin</t>
  </si>
  <si>
    <t>O1000036</t>
  </si>
  <si>
    <t>C3771</t>
  </si>
  <si>
    <t>OFF-LA-10001074</t>
  </si>
  <si>
    <t>Round Specialty Laser Printer Labels</t>
  </si>
  <si>
    <t>S525</t>
  </si>
  <si>
    <t>W14</t>
  </si>
  <si>
    <t>O1000037</t>
  </si>
  <si>
    <t>C9325</t>
  </si>
  <si>
    <t>TEC-PH-10004614</t>
  </si>
  <si>
    <t>AT&amp;T 841000 Phone</t>
  </si>
  <si>
    <t>S845</t>
  </si>
  <si>
    <t>W23</t>
  </si>
  <si>
    <t>Berlin-Mumbai</t>
  </si>
  <si>
    <t>O1000038</t>
  </si>
  <si>
    <t>C9195</t>
  </si>
  <si>
    <t>OFF-AP-10000692</t>
  </si>
  <si>
    <t>Appliances</t>
  </si>
  <si>
    <t>Fellowes Mighty 8 Compact Surge Protector</t>
  </si>
  <si>
    <t>S139</t>
  </si>
  <si>
    <t>O1000039</t>
  </si>
  <si>
    <t>C4804</t>
  </si>
  <si>
    <t>Brazil</t>
  </si>
  <si>
    <t>FUR-BO-10001972</t>
  </si>
  <si>
    <t>O'Sullivan 4-Shelf Bookcase in Odessa Pine</t>
  </si>
  <si>
    <t>W46</t>
  </si>
  <si>
    <t>Toronto-London</t>
  </si>
  <si>
    <t>O1000040</t>
  </si>
  <si>
    <t>C8013</t>
  </si>
  <si>
    <t>OFF-BI-10003676</t>
  </si>
  <si>
    <t>GBC Standard Recycled Report Covers, Clear Plastic Sheets</t>
  </si>
  <si>
    <t>S990</t>
  </si>
  <si>
    <t>W35</t>
  </si>
  <si>
    <t>O1000041</t>
  </si>
  <si>
    <t>C6886</t>
  </si>
  <si>
    <t>OFF-EN-10002504</t>
  </si>
  <si>
    <t>Tyvek  Top-Opening Peel &amp; Seel Envelopes, Plain White</t>
  </si>
  <si>
    <t>S112</t>
  </si>
  <si>
    <t>São Paulo-Beijing</t>
  </si>
  <si>
    <t>O1000042</t>
  </si>
  <si>
    <t>C8484</t>
  </si>
  <si>
    <t>OFF-PA-10000659</t>
  </si>
  <si>
    <t>TOPS Carbonless Receipt Book, Four 2-3/4 x 7-1/4 Money Receipts per Page</t>
  </si>
  <si>
    <t>S370</t>
  </si>
  <si>
    <t>O1000043</t>
  </si>
  <si>
    <t>C2385</t>
  </si>
  <si>
    <t>FUR-CH-10002331</t>
  </si>
  <si>
    <t>Hon 4700 Series Mobuis Mid-Back Task Chairs with Adjustable Arms</t>
  </si>
  <si>
    <t>S505</t>
  </si>
  <si>
    <t>W39</t>
  </si>
  <si>
    <t>Toronto-São Paulo</t>
  </si>
  <si>
    <t>O1000044</t>
  </si>
  <si>
    <t>C2707</t>
  </si>
  <si>
    <t>FUR-FU-10002268</t>
  </si>
  <si>
    <t>Ultra Door Push Plate</t>
  </si>
  <si>
    <t>S602</t>
  </si>
  <si>
    <t>W48</t>
  </si>
  <si>
    <t>Beijing-São Paulo</t>
  </si>
  <si>
    <t>O1000045</t>
  </si>
  <si>
    <t>C9057</t>
  </si>
  <si>
    <t>FUR-FU-10002918</t>
  </si>
  <si>
    <t>Eldon ClusterMat Chair Mat with Cordless Antistatic Protection</t>
  </si>
  <si>
    <t>S598</t>
  </si>
  <si>
    <t>O1000046</t>
  </si>
  <si>
    <t>C1719</t>
  </si>
  <si>
    <t>FUR-FU-10003194</t>
  </si>
  <si>
    <t>Eldon Expressions Desk Accessory, Wood Pencil Holder, Oak</t>
  </si>
  <si>
    <t>S272</t>
  </si>
  <si>
    <t>W24</t>
  </si>
  <si>
    <t>O1000047</t>
  </si>
  <si>
    <t>C1158</t>
  </si>
  <si>
    <t>S953</t>
  </si>
  <si>
    <t>O1000048</t>
  </si>
  <si>
    <t>C4222</t>
  </si>
  <si>
    <t>OFF-AP-10002311</t>
  </si>
  <si>
    <t>Holmes Replacement Filter for HEPA Air Cleaner, Very Large Room, HEPA Filter</t>
  </si>
  <si>
    <t>S958</t>
  </si>
  <si>
    <t>O1000049</t>
  </si>
  <si>
    <t>C8957</t>
  </si>
  <si>
    <t>OFF-AR-10002375</t>
  </si>
  <si>
    <t>Newell 351</t>
  </si>
  <si>
    <t>S392</t>
  </si>
  <si>
    <t>O1000050</t>
  </si>
  <si>
    <t>C7555</t>
  </si>
  <si>
    <t>OFF-AR-10003811</t>
  </si>
  <si>
    <t>Newell 327</t>
  </si>
  <si>
    <t>S837</t>
  </si>
  <si>
    <t>W17</t>
  </si>
  <si>
    <t>São Paulo-New York</t>
  </si>
  <si>
    <t>O1000051</t>
  </si>
  <si>
    <t>C1034</t>
  </si>
  <si>
    <t>OFF-AR-10004456</t>
  </si>
  <si>
    <t>Panasonic KP-4ABK Battery-Operated Pencil Sharpener</t>
  </si>
  <si>
    <t>S814</t>
  </si>
  <si>
    <t>O1000052</t>
  </si>
  <si>
    <t>C4232</t>
  </si>
  <si>
    <t>OFF-BI-10000605</t>
  </si>
  <si>
    <t>Acco Pressboard Covers with Storage Hooks, 9 1/2" x 11", Executive Red</t>
  </si>
  <si>
    <t>New York-New York</t>
  </si>
  <si>
    <t>O1000053</t>
  </si>
  <si>
    <t>C7882</t>
  </si>
  <si>
    <t>OFF-BI-10003091</t>
  </si>
  <si>
    <t>GBC DocuBind TL200 Manual Binding Machine</t>
  </si>
  <si>
    <t>S278</t>
  </si>
  <si>
    <t>W21</t>
  </si>
  <si>
    <t>London-Mumbai</t>
  </si>
  <si>
    <t>O1000054</t>
  </si>
  <si>
    <t>C7862</t>
  </si>
  <si>
    <t>OFF-BI-10004364</t>
  </si>
  <si>
    <t>Storex Dura Pro Binders</t>
  </si>
  <si>
    <t>S157</t>
  </si>
  <si>
    <t>W20</t>
  </si>
  <si>
    <t>O1000055</t>
  </si>
  <si>
    <t>C9281</t>
  </si>
  <si>
    <t>OFF-EN-10001539</t>
  </si>
  <si>
    <t>S763</t>
  </si>
  <si>
    <t>Toronto-Mumbai</t>
  </si>
  <si>
    <t>O1000056</t>
  </si>
  <si>
    <t>C5357</t>
  </si>
  <si>
    <t>OFF-PA-10002893</t>
  </si>
  <si>
    <t>Wirebound Service Call Books, 5 1/2" x 4"</t>
  </si>
  <si>
    <t>S919</t>
  </si>
  <si>
    <t>O1000057</t>
  </si>
  <si>
    <t>C3108</t>
  </si>
  <si>
    <t>OFF-ST-10000760</t>
  </si>
  <si>
    <t>Eldon Fold 'N Roll Cart System</t>
  </si>
  <si>
    <t>Mumbai-Berlin</t>
  </si>
  <si>
    <t>O1000058</t>
  </si>
  <si>
    <t>C3864</t>
  </si>
  <si>
    <t>OFF-ST-10003123</t>
  </si>
  <si>
    <t>Fellowes Bases and Tops For Staxonsteel/High-Stak Systems</t>
  </si>
  <si>
    <t>S538</t>
  </si>
  <si>
    <t>O1000059</t>
  </si>
  <si>
    <t>C4873</t>
  </si>
  <si>
    <t>TEC-PH-10001061</t>
  </si>
  <si>
    <t>Apple iPhone 5C</t>
  </si>
  <si>
    <t>S285</t>
  </si>
  <si>
    <t>W11</t>
  </si>
  <si>
    <t>O1000060</t>
  </si>
  <si>
    <t>C2688</t>
  </si>
  <si>
    <t>FUR-FU-10001889</t>
  </si>
  <si>
    <t>Ultra Door Pull Handle</t>
  </si>
  <si>
    <t>S930</t>
  </si>
  <si>
    <t>W31</t>
  </si>
  <si>
    <t>O1000061</t>
  </si>
  <si>
    <t>C6903</t>
  </si>
  <si>
    <t>FUR-FU-10001025</t>
  </si>
  <si>
    <t>Eldon Imàge Series Desk Accessories, Clear</t>
  </si>
  <si>
    <t>S198</t>
  </si>
  <si>
    <t>São Paulo-Toronto</t>
  </si>
  <si>
    <t>O1000062</t>
  </si>
  <si>
    <t>C2104</t>
  </si>
  <si>
    <t>FUR-FU-10002445</t>
  </si>
  <si>
    <t>DAX Two-Tone Rosewood/Black Document Frame, Desktop, 5 x 7</t>
  </si>
  <si>
    <t>S968</t>
  </si>
  <si>
    <t>O1000063</t>
  </si>
  <si>
    <t>C1767</t>
  </si>
  <si>
    <t>FUR-FU-10002960</t>
  </si>
  <si>
    <t>Eldon 200 Class Desk Accessories, Burgundy</t>
  </si>
  <si>
    <t>S379</t>
  </si>
  <si>
    <t>Berlin-Berlin</t>
  </si>
  <si>
    <t>O1000064</t>
  </si>
  <si>
    <t>C5982</t>
  </si>
  <si>
    <t>OFF-PA-10002689</t>
  </si>
  <si>
    <t>Weyerhaeuser First Choice Laser/Copy Paper (20Lb. and 88 Bright)</t>
  </si>
  <si>
    <t>O1000065</t>
  </si>
  <si>
    <t>C6311</t>
  </si>
  <si>
    <t>TEC-PH-10001300</t>
  </si>
  <si>
    <t>iKross Bluetooth Portable Keyboard + Cell Phone Stand Holder + Brush for Apple iPhone 5S 5C 5, 4S 4</t>
  </si>
  <si>
    <t>S440</t>
  </si>
  <si>
    <t>W19</t>
  </si>
  <si>
    <t>O1000066</t>
  </si>
  <si>
    <t>C3432</t>
  </si>
  <si>
    <t>OFF-FA-10003467</t>
  </si>
  <si>
    <t>Alliance Big Bands Rubber Bands, 12/Pack</t>
  </si>
  <si>
    <t>O1000067</t>
  </si>
  <si>
    <t>C8169</t>
  </si>
  <si>
    <t>OFF-PA-10001804</t>
  </si>
  <si>
    <t>Xerox 195</t>
  </si>
  <si>
    <t>S557</t>
  </si>
  <si>
    <t>O1000068</t>
  </si>
  <si>
    <t>C5354</t>
  </si>
  <si>
    <t>FUR-BO-10004409</t>
  </si>
  <si>
    <t>Safco Value Mate Series Steel Bookcases, Baked Enamel Finish on Steel, Gray</t>
  </si>
  <si>
    <t>S518</t>
  </si>
  <si>
    <t>O1000069</t>
  </si>
  <si>
    <t>C1433</t>
  </si>
  <si>
    <t>FUR-FU-10001847</t>
  </si>
  <si>
    <t>Eldon Image Series Black Desk Accessories</t>
  </si>
  <si>
    <t>S529</t>
  </si>
  <si>
    <t>Beijing-Toronto</t>
  </si>
  <si>
    <t>O1000070</t>
  </si>
  <si>
    <t>C9862</t>
  </si>
  <si>
    <t>FUR-FU-10004587</t>
  </si>
  <si>
    <t>GE General Use Halogen Bulbs, 100 Watts, 1 Bulb per Pack</t>
  </si>
  <si>
    <t>S426</t>
  </si>
  <si>
    <t>W12</t>
  </si>
  <si>
    <t>O1000071</t>
  </si>
  <si>
    <t>C2478</t>
  </si>
  <si>
    <t>OFF-BI-10001758</t>
  </si>
  <si>
    <t>Wilson Jones 14 Line Acrylic Coated Pressboard Data Binders</t>
  </si>
  <si>
    <t>S943</t>
  </si>
  <si>
    <t>O1000072</t>
  </si>
  <si>
    <t>C2586</t>
  </si>
  <si>
    <t>OFF-PA-10000380</t>
  </si>
  <si>
    <t>REDIFORM Incoming/Outgoing Call Register, 11" X 8 1/2", 100 Messages</t>
  </si>
  <si>
    <t>S333</t>
  </si>
  <si>
    <t>O1000073</t>
  </si>
  <si>
    <t>C9473</t>
  </si>
  <si>
    <t>OFF-PA-10003072</t>
  </si>
  <si>
    <t>Eureka Recycled Copy Paper 8 1/2" x 11", Ream</t>
  </si>
  <si>
    <t>W27</t>
  </si>
  <si>
    <t>Mumbai-Toronto</t>
  </si>
  <si>
    <t>O1000074</t>
  </si>
  <si>
    <t>C1081</t>
  </si>
  <si>
    <t>OFF-ST-10004337</t>
  </si>
  <si>
    <t>SAFCO Commercial Wire Shelving, 72h</t>
  </si>
  <si>
    <t>S243</t>
  </si>
  <si>
    <t>O1000075</t>
  </si>
  <si>
    <t>C5251</t>
  </si>
  <si>
    <t>TEC-PH-10002103</t>
  </si>
  <si>
    <t>Jabra SPEAK 410</t>
  </si>
  <si>
    <t>S159</t>
  </si>
  <si>
    <t>W43</t>
  </si>
  <si>
    <t>Toronto-Beijing</t>
  </si>
  <si>
    <t>O1000076</t>
  </si>
  <si>
    <t>C6830</t>
  </si>
  <si>
    <t>TEC-PH-10004833</t>
  </si>
  <si>
    <t>Macally Suction Cup Mount</t>
  </si>
  <si>
    <t>S687</t>
  </si>
  <si>
    <t>O1000077</t>
  </si>
  <si>
    <t>C5957</t>
  </si>
  <si>
    <t>FUR-TA-10003469</t>
  </si>
  <si>
    <t>Tables</t>
  </si>
  <si>
    <t>Balt Split Level Computer Training Table</t>
  </si>
  <si>
    <t>S107</t>
  </si>
  <si>
    <t>O1000078</t>
  </si>
  <si>
    <t>C1883</t>
  </si>
  <si>
    <t>OFF-AR-10003179</t>
  </si>
  <si>
    <t>Dixon Ticonderoga Core-Lock Colored Pencils</t>
  </si>
  <si>
    <t>S542</t>
  </si>
  <si>
    <t>W32</t>
  </si>
  <si>
    <t>London-Beijing</t>
  </si>
  <si>
    <t>O1000079</t>
  </si>
  <si>
    <t>C6759</t>
  </si>
  <si>
    <t>OFF-ST-10003692</t>
  </si>
  <si>
    <t>Recycled Steel Personal File for Hanging File Folders</t>
  </si>
  <si>
    <t>S253</t>
  </si>
  <si>
    <t>O1000080</t>
  </si>
  <si>
    <t>C2813</t>
  </si>
  <si>
    <t>OFF-BI-10000343</t>
  </si>
  <si>
    <t>Pressboard Covers with Storage Hooks, 9 1/2" x 11", Light Blue</t>
  </si>
  <si>
    <t>S162</t>
  </si>
  <si>
    <t>O1000081</t>
  </si>
  <si>
    <t>C9596</t>
  </si>
  <si>
    <t>OFF-PA-10001204</t>
  </si>
  <si>
    <t>Xerox 1972</t>
  </si>
  <si>
    <t>S565</t>
  </si>
  <si>
    <t>O1000082</t>
  </si>
  <si>
    <t>C3541</t>
  </si>
  <si>
    <t>OFF-ST-10000991</t>
  </si>
  <si>
    <t>Space Solutions HD Industrial Steel Shelving.</t>
  </si>
  <si>
    <t>O1000083</t>
  </si>
  <si>
    <t>C9877</t>
  </si>
  <si>
    <t>FUR-BO-10003966</t>
  </si>
  <si>
    <t>Sauder Facets Collection Library, Sky Alder Finish</t>
  </si>
  <si>
    <t>S897</t>
  </si>
  <si>
    <t>O1000084</t>
  </si>
  <si>
    <t>C4954</t>
  </si>
  <si>
    <t>TEC-AC-10001432</t>
  </si>
  <si>
    <t>Enermax Aurora Lite Keyboard</t>
  </si>
  <si>
    <t>S393</t>
  </si>
  <si>
    <t>O1000085</t>
  </si>
  <si>
    <t>C1507</t>
  </si>
  <si>
    <t>OFF-BI-10000666</t>
  </si>
  <si>
    <t>Surelock Post Binders</t>
  </si>
  <si>
    <t>S369</t>
  </si>
  <si>
    <t>O1000086</t>
  </si>
  <si>
    <t>C8854</t>
  </si>
  <si>
    <t>OFF-FA-10001843</t>
  </si>
  <si>
    <t>Staples</t>
  </si>
  <si>
    <t>S988</t>
  </si>
  <si>
    <t>O1000087</t>
  </si>
  <si>
    <t>C5795</t>
  </si>
  <si>
    <t>TEC-PH-10002890</t>
  </si>
  <si>
    <t>AT&amp;T 17929 Lendline Telephone</t>
  </si>
  <si>
    <t>S522</t>
  </si>
  <si>
    <t>O1000088</t>
  </si>
  <si>
    <t>C3846</t>
  </si>
  <si>
    <t>OFF-BI-10002827</t>
  </si>
  <si>
    <t>Avery Durable Poly Binders</t>
  </si>
  <si>
    <t>S995</t>
  </si>
  <si>
    <t>W41</t>
  </si>
  <si>
    <t>O1000089</t>
  </si>
  <si>
    <t>C3309</t>
  </si>
  <si>
    <t>OFF-BI-10004593</t>
  </si>
  <si>
    <t>Ibico Laser Imprintable Binding System Covers</t>
  </si>
  <si>
    <t>S801</t>
  </si>
  <si>
    <t>O1000090</t>
  </si>
  <si>
    <t>C3502</t>
  </si>
  <si>
    <t>S312</t>
  </si>
  <si>
    <t>O1000091</t>
  </si>
  <si>
    <t>C1182</t>
  </si>
  <si>
    <t>OFF-BI-10004230</t>
  </si>
  <si>
    <t>GBC Recycled Grain Textured Covers</t>
  </si>
  <si>
    <t>S310</t>
  </si>
  <si>
    <t>Cape Town-Beijing</t>
  </si>
  <si>
    <t>O1000092</t>
  </si>
  <si>
    <t>C5319</t>
  </si>
  <si>
    <t>OFF-PA-10000350</t>
  </si>
  <si>
    <t>Message Book, Standard Line "While You Were Out", 5 1/2" X 4", 200 Sets/Book</t>
  </si>
  <si>
    <t>S550</t>
  </si>
  <si>
    <t>O1000093</t>
  </si>
  <si>
    <t>C5567</t>
  </si>
  <si>
    <t>OFF-BI-10001196</t>
  </si>
  <si>
    <t>Avery Flip-Chart Easel Binder, Black</t>
  </si>
  <si>
    <t>S166</t>
  </si>
  <si>
    <t>New York-Toronto</t>
  </si>
  <si>
    <t>O1000094</t>
  </si>
  <si>
    <t>C4479</t>
  </si>
  <si>
    <t>OFF-LA-10002787</t>
  </si>
  <si>
    <t>Avery 480</t>
  </si>
  <si>
    <t>S254</t>
  </si>
  <si>
    <t>New York-Mumbai</t>
  </si>
  <si>
    <t>O1000095</t>
  </si>
  <si>
    <t>C3143</t>
  </si>
  <si>
    <t>TEC-PH-10001615</t>
  </si>
  <si>
    <t>AT&amp;T CL82213</t>
  </si>
  <si>
    <t>S690</t>
  </si>
  <si>
    <t>O1000096</t>
  </si>
  <si>
    <t>C3261</t>
  </si>
  <si>
    <t>TEC-PH-10003645</t>
  </si>
  <si>
    <t>Aastra 57i VoIP phone</t>
  </si>
  <si>
    <t>London-London</t>
  </si>
  <si>
    <t>O1000097</t>
  </si>
  <si>
    <t>C3141</t>
  </si>
  <si>
    <t>OFF-ST-10001558</t>
  </si>
  <si>
    <t>Acco Perma 4000 Stacking Storage Drawers</t>
  </si>
  <si>
    <t>S349</t>
  </si>
  <si>
    <t>O1000098</t>
  </si>
  <si>
    <t>C4662</t>
  </si>
  <si>
    <t>TEC-AC-10000710</t>
  </si>
  <si>
    <t>Maxell DVD-RAM Discs</t>
  </si>
  <si>
    <t>S347</t>
  </si>
  <si>
    <t>O1000099</t>
  </si>
  <si>
    <t>C1633</t>
  </si>
  <si>
    <t>FUR-FU-10002111</t>
  </si>
  <si>
    <t>Master Caster Door Stop, Large Brown</t>
  </si>
  <si>
    <t>S438</t>
  </si>
  <si>
    <t>O1000100</t>
  </si>
  <si>
    <t>C3638</t>
  </si>
  <si>
    <t>FUR-CH-10001146</t>
  </si>
  <si>
    <t>Global Value Mid-Back Manager's Chair, Gray</t>
  </si>
  <si>
    <t>S558</t>
  </si>
  <si>
    <t>Cape Town-Cape Town</t>
  </si>
  <si>
    <t>O1000101</t>
  </si>
  <si>
    <t>C1912</t>
  </si>
  <si>
    <t>FUR-FU-10002298</t>
  </si>
  <si>
    <t>Rubbermaid ClusterMat Chairmats, Mat Size- 66" x 60", Lip 20" x 11" -90 Degree Angle</t>
  </si>
  <si>
    <t>S176</t>
  </si>
  <si>
    <t>O1000102</t>
  </si>
  <si>
    <t>C6462</t>
  </si>
  <si>
    <t>FUR-TA-10003715</t>
  </si>
  <si>
    <t>Hon 2111 Invitation Series Corner Table</t>
  </si>
  <si>
    <t>S594</t>
  </si>
  <si>
    <t>W42</t>
  </si>
  <si>
    <t>O1000103</t>
  </si>
  <si>
    <t>C2679</t>
  </si>
  <si>
    <t>OFF-BI-10003291</t>
  </si>
  <si>
    <t>Wilson Jones Leather-Like Binders with DublLock Round Rings</t>
  </si>
  <si>
    <t>S678</t>
  </si>
  <si>
    <t>O1000104</t>
  </si>
  <si>
    <t>C1468</t>
  </si>
  <si>
    <t>OFF-BI-10004654</t>
  </si>
  <si>
    <t>VariCap6 Expandable Binder</t>
  </si>
  <si>
    <t>S820</t>
  </si>
  <si>
    <t>O1000105</t>
  </si>
  <si>
    <t>C6118</t>
  </si>
  <si>
    <t>OFF-BI-10004728</t>
  </si>
  <si>
    <t>Wilson Jones Turn Tabs Binder Tool for Ring Binders</t>
  </si>
  <si>
    <t>S302</t>
  </si>
  <si>
    <t>W33</t>
  </si>
  <si>
    <t>O1000106</t>
  </si>
  <si>
    <t>C3637</t>
  </si>
  <si>
    <t>OFF-LA-10004853</t>
  </si>
  <si>
    <t>Avery 483</t>
  </si>
  <si>
    <t>S563</t>
  </si>
  <si>
    <t>W18</t>
  </si>
  <si>
    <t>O1000107</t>
  </si>
  <si>
    <t>C1558</t>
  </si>
  <si>
    <t>OFF-ST-10002583</t>
  </si>
  <si>
    <t>Fellowes Neat Ideas Storage Cubes</t>
  </si>
  <si>
    <t>S803</t>
  </si>
  <si>
    <t>O1000108</t>
  </si>
  <si>
    <t>C1894</t>
  </si>
  <si>
    <t>S150</t>
  </si>
  <si>
    <t>O1000109</t>
  </si>
  <si>
    <t>C8742</t>
  </si>
  <si>
    <t>FUR-CH-10000225</t>
  </si>
  <si>
    <t>Global Geo Office Task Chair, Gray</t>
  </si>
  <si>
    <t>Beijing-Mumbai</t>
  </si>
  <si>
    <t>O1000110</t>
  </si>
  <si>
    <t>C1627</t>
  </si>
  <si>
    <t>OFF-AP-10001293</t>
  </si>
  <si>
    <t>Belkin 8 Outlet Surge Protector</t>
  </si>
  <si>
    <t>S789</t>
  </si>
  <si>
    <t>O1000111</t>
  </si>
  <si>
    <t>C9044</t>
  </si>
  <si>
    <t>OFF-PA-10000466</t>
  </si>
  <si>
    <t>Memo Book, 100 Message Capacity, 5 3/8” x 11”</t>
  </si>
  <si>
    <t>S909</t>
  </si>
  <si>
    <t>O1000112</t>
  </si>
  <si>
    <t>C1734</t>
  </si>
  <si>
    <t>OFF-SU-10000157</t>
  </si>
  <si>
    <t>Supplies</t>
  </si>
  <si>
    <t>Compact Automatic Electric Letter Opener</t>
  </si>
  <si>
    <t>S625</t>
  </si>
  <si>
    <t>Toronto-New York</t>
  </si>
  <si>
    <t>O1000113</t>
  </si>
  <si>
    <t>C7151</t>
  </si>
  <si>
    <t>TEC-AC-10000736</t>
  </si>
  <si>
    <t>Logitech G600 MMO Gaming Mouse</t>
  </si>
  <si>
    <t>S809</t>
  </si>
  <si>
    <t>O1000114</t>
  </si>
  <si>
    <t>C8759</t>
  </si>
  <si>
    <t>OFF-BI-10001031</t>
  </si>
  <si>
    <t>Pressboard Data Binders by Wilson Jones</t>
  </si>
  <si>
    <t>S297</t>
  </si>
  <si>
    <t>O1000115</t>
  </si>
  <si>
    <t>C7231</t>
  </si>
  <si>
    <t>OFF-AP-10001303</t>
  </si>
  <si>
    <t>Holmes Cool Mist Humidifier for the Whole House with 8-Gallon Output per Day, Extended Life Filter</t>
  </si>
  <si>
    <t>O1000116</t>
  </si>
  <si>
    <t>C1888</t>
  </si>
  <si>
    <t>OFF-BI-10002012</t>
  </si>
  <si>
    <t>Wilson Jones Easy Flow II Sheet Lifters</t>
  </si>
  <si>
    <t>S362</t>
  </si>
  <si>
    <t>O1000117</t>
  </si>
  <si>
    <t>C6371</t>
  </si>
  <si>
    <t>OFF-AR-10003631</t>
  </si>
  <si>
    <t>Staples in misc. colors</t>
  </si>
  <si>
    <t>S499</t>
  </si>
  <si>
    <t>O1000118</t>
  </si>
  <si>
    <t>C8386</t>
  </si>
  <si>
    <t>FUR-FU-10002396</t>
  </si>
  <si>
    <t>DAX Copper Panel Document Frame, 5 x 7 Size</t>
  </si>
  <si>
    <t>O1000119</t>
  </si>
  <si>
    <t>C2163</t>
  </si>
  <si>
    <t>OFF-ST-10000321</t>
  </si>
  <si>
    <t>Akro Stacking Bins</t>
  </si>
  <si>
    <t>S152</t>
  </si>
  <si>
    <t>O1000120</t>
  </si>
  <si>
    <t>C6193</t>
  </si>
  <si>
    <t>FUR-FU-10000221</t>
  </si>
  <si>
    <t>Master Caster Door Stop, Brown</t>
  </si>
  <si>
    <t>S142</t>
  </si>
  <si>
    <t>O1000121</t>
  </si>
  <si>
    <t>C4126</t>
  </si>
  <si>
    <t>OFF-PA-10003363</t>
  </si>
  <si>
    <t>Xerox 204</t>
  </si>
  <si>
    <t>S886</t>
  </si>
  <si>
    <t>O1000122</t>
  </si>
  <si>
    <t>C9218</t>
  </si>
  <si>
    <t>TEC-AC-10001284</t>
  </si>
  <si>
    <t>Enermax Briskie RF Wireless Keyboard and Mouse Combo</t>
  </si>
  <si>
    <t>S378</t>
  </si>
  <si>
    <t>O1000123</t>
  </si>
  <si>
    <t>C5646</t>
  </si>
  <si>
    <t>S414</t>
  </si>
  <si>
    <t>O1000124</t>
  </si>
  <si>
    <t>C4902</t>
  </si>
  <si>
    <t>OFF-PA-10001800</t>
  </si>
  <si>
    <t>Xerox 220</t>
  </si>
  <si>
    <t>O1000125</t>
  </si>
  <si>
    <t>C7267</t>
  </si>
  <si>
    <t>OFF-BI-10000320</t>
  </si>
  <si>
    <t>GBC Plastic Binding Combs</t>
  </si>
  <si>
    <t>S823</t>
  </si>
  <si>
    <t>O1000126</t>
  </si>
  <si>
    <t>C3614</t>
  </si>
  <si>
    <t>OFF-LA-10004425</t>
  </si>
  <si>
    <t>Staple-on labels</t>
  </si>
  <si>
    <t>S513</t>
  </si>
  <si>
    <t>O1000127</t>
  </si>
  <si>
    <t>C6328</t>
  </si>
  <si>
    <t>OFF-PA-10000069</t>
  </si>
  <si>
    <t>TOPS 4 x 6 Fluorescent Color Memo Sheets, 500 Sheets per Pack</t>
  </si>
  <si>
    <t>S866</t>
  </si>
  <si>
    <t>O1000128</t>
  </si>
  <si>
    <t>C6034</t>
  </si>
  <si>
    <t>S277</t>
  </si>
  <si>
    <t>Mumbai-Beijing</t>
  </si>
  <si>
    <t>O1000129</t>
  </si>
  <si>
    <t>C6764</t>
  </si>
  <si>
    <t>OFF-AR-10003560</t>
  </si>
  <si>
    <t>Zebra Zazzle Fluorescent Highlighters</t>
  </si>
  <si>
    <t>S465</t>
  </si>
  <si>
    <t>O1000130</t>
  </si>
  <si>
    <t>C3009</t>
  </si>
  <si>
    <t>FUR-CH-10000863</t>
  </si>
  <si>
    <t>Novimex Swivel Fabric Task Chair</t>
  </si>
  <si>
    <t>S472</t>
  </si>
  <si>
    <t>O1000131</t>
  </si>
  <si>
    <t>C1147</t>
  </si>
  <si>
    <t>FUR-CH-10001270</t>
  </si>
  <si>
    <t>Harbour Creations Steel Folding Chair</t>
  </si>
  <si>
    <t>O1000132</t>
  </si>
  <si>
    <t>C3712</t>
  </si>
  <si>
    <t>S873</t>
  </si>
  <si>
    <t>O1000133</t>
  </si>
  <si>
    <t>C3278</t>
  </si>
  <si>
    <t>S553</t>
  </si>
  <si>
    <t>O1000134</t>
  </si>
  <si>
    <t>C8152</t>
  </si>
  <si>
    <t>FUR-TA-10001866</t>
  </si>
  <si>
    <t>Bevis Round Conference Room Tables and Bases</t>
  </si>
  <si>
    <t>S161</t>
  </si>
  <si>
    <t>O1000135</t>
  </si>
  <si>
    <t>C7943</t>
  </si>
  <si>
    <t>OFF-FA-10004395</t>
  </si>
  <si>
    <t>Plymouth Boxed Rubber Bands by Plymouth</t>
  </si>
  <si>
    <t>S759</t>
  </si>
  <si>
    <t>O1000136</t>
  </si>
  <si>
    <t>C4204</t>
  </si>
  <si>
    <t>OFF-PA-10003036</t>
  </si>
  <si>
    <t>Black Print Carbonless 8 1/2" x 8 1/4" Rapid Memo Book</t>
  </si>
  <si>
    <t>S363</t>
  </si>
  <si>
    <t>O1000137</t>
  </si>
  <si>
    <t>C3995</t>
  </si>
  <si>
    <t>OFF-ST-10001469</t>
  </si>
  <si>
    <t>Fellowes Bankers Box Recycled Super Stor/Drawer</t>
  </si>
  <si>
    <t>S663</t>
  </si>
  <si>
    <t>O1000138</t>
  </si>
  <si>
    <t>C6341</t>
  </si>
  <si>
    <t>S927</t>
  </si>
  <si>
    <t>O1000139</t>
  </si>
  <si>
    <t>C5152</t>
  </si>
  <si>
    <t>TEC-PH-10003655</t>
  </si>
  <si>
    <t>Sannysis Cute Owl Design Soft Skin Case Cover for Samsung Galaxy S4</t>
  </si>
  <si>
    <t>O1000140</t>
  </si>
  <si>
    <t>C8874</t>
  </si>
  <si>
    <t>S692</t>
  </si>
  <si>
    <t>O1000141</t>
  </si>
  <si>
    <t>C6014</t>
  </si>
  <si>
    <t>OFF-PA-10000327</t>
  </si>
  <si>
    <t>Xerox 1971</t>
  </si>
  <si>
    <t>S555</t>
  </si>
  <si>
    <t>O1000142</t>
  </si>
  <si>
    <t>C4606</t>
  </si>
  <si>
    <t>OFF-PA-10000587</t>
  </si>
  <si>
    <t>Array Parchment Paper, Assorted Colors</t>
  </si>
  <si>
    <t>S293</t>
  </si>
  <si>
    <t>O1000143</t>
  </si>
  <si>
    <t>C2277</t>
  </si>
  <si>
    <t>TEC-AC-10004353</t>
  </si>
  <si>
    <t>Hypercom P1300 Pinpad</t>
  </si>
  <si>
    <t>S940</t>
  </si>
  <si>
    <t>O1000144</t>
  </si>
  <si>
    <t>C5012</t>
  </si>
  <si>
    <t>O1000145</t>
  </si>
  <si>
    <t>C7436</t>
  </si>
  <si>
    <t>FUR-TA-10002958</t>
  </si>
  <si>
    <t>Bevis Oval Conference Table, Walnut</t>
  </si>
  <si>
    <t>S787</t>
  </si>
  <si>
    <t>O1000146</t>
  </si>
  <si>
    <t>C6185</t>
  </si>
  <si>
    <t>OFF-AP-10002534</t>
  </si>
  <si>
    <t>3.6 Cubic Foot Counter Height Office Refrigerator</t>
  </si>
  <si>
    <t>S738</t>
  </si>
  <si>
    <t>O1000147</t>
  </si>
  <si>
    <t>C5097</t>
  </si>
  <si>
    <t>O1000148</t>
  </si>
  <si>
    <t>C2807</t>
  </si>
  <si>
    <t>OFF-BI-10003429</t>
  </si>
  <si>
    <t>Cardinal HOLDit! Binder Insert Strips,Extra Strips</t>
  </si>
  <si>
    <t>S242</t>
  </si>
  <si>
    <t>O1000149</t>
  </si>
  <si>
    <t>C9966</t>
  </si>
  <si>
    <t>O1000150</t>
  </si>
  <si>
    <t>C9666</t>
  </si>
  <si>
    <t>OFF-LA-10000305</t>
  </si>
  <si>
    <t>Avery 495</t>
  </si>
  <si>
    <t>S248</t>
  </si>
  <si>
    <t>O1000151</t>
  </si>
  <si>
    <t>C1806</t>
  </si>
  <si>
    <t>OFF-ST-10002486</t>
  </si>
  <si>
    <t>Eldon Shelf Savers Cubes and Bins</t>
  </si>
  <si>
    <t>S241</t>
  </si>
  <si>
    <t>W22</t>
  </si>
  <si>
    <t>São Paulo-Berlin</t>
  </si>
  <si>
    <t>O1000152</t>
  </si>
  <si>
    <t>C6451</t>
  </si>
  <si>
    <t>TEC-PH-10004700</t>
  </si>
  <si>
    <t>PowerGen Dual USB Car Charger</t>
  </si>
  <si>
    <t>S996</t>
  </si>
  <si>
    <t>São Paulo-São Paulo</t>
  </si>
  <si>
    <t>O1000153</t>
  </si>
  <si>
    <t>C4076</t>
  </si>
  <si>
    <t>OFF-AR-10001374</t>
  </si>
  <si>
    <t>BIC Brite Liner Highlighters, Chisel Tip</t>
  </si>
  <si>
    <t>S360</t>
  </si>
  <si>
    <t>London-New York</t>
  </si>
  <si>
    <t>O1000154</t>
  </si>
  <si>
    <t>C7031</t>
  </si>
  <si>
    <t>OFF-ST-10001370</t>
  </si>
  <si>
    <t>Sensible Storage WireTech Storage Systems</t>
  </si>
  <si>
    <t>O1000155</t>
  </si>
  <si>
    <t>C4633</t>
  </si>
  <si>
    <t>OFF-AR-10000588</t>
  </si>
  <si>
    <t>Newell 345</t>
  </si>
  <si>
    <t>S315</t>
  </si>
  <si>
    <t>O1000156</t>
  </si>
  <si>
    <t>C9506</t>
  </si>
  <si>
    <t>OFF-BI-10001617</t>
  </si>
  <si>
    <t>GBC Wire Binding Combs</t>
  </si>
  <si>
    <t>O1000157</t>
  </si>
  <si>
    <t>C9445</t>
  </si>
  <si>
    <t>OFF-PA-10001878</t>
  </si>
  <si>
    <t>Xerox 1891</t>
  </si>
  <si>
    <t>S582</t>
  </si>
  <si>
    <t>O1000158</t>
  </si>
  <si>
    <t>C8068</t>
  </si>
  <si>
    <t>OFF-SU-10000381</t>
  </si>
  <si>
    <t>Acme Forged Steel Scissors with Black Enamel Handles</t>
  </si>
  <si>
    <t>S460</t>
  </si>
  <si>
    <t>O1000159</t>
  </si>
  <si>
    <t>C3156</t>
  </si>
  <si>
    <t>TEC-AC-10002001</t>
  </si>
  <si>
    <t>Logitech Wireless Gaming Headset G930</t>
  </si>
  <si>
    <t>S863</t>
  </si>
  <si>
    <t>O1000160</t>
  </si>
  <si>
    <t>C5125</t>
  </si>
  <si>
    <t>FUR-CH-10002780</t>
  </si>
  <si>
    <t>Office Star - Task Chair with Contemporary Loop Arms</t>
  </si>
  <si>
    <t>S189</t>
  </si>
  <si>
    <t>O1000161</t>
  </si>
  <si>
    <t>C9529</t>
  </si>
  <si>
    <t>FUR-CH-10004477</t>
  </si>
  <si>
    <t>Global Push Button Manager's Chair, Indigo</t>
  </si>
  <si>
    <t>S124</t>
  </si>
  <si>
    <t>O1000162</t>
  </si>
  <si>
    <t>C8244</t>
  </si>
  <si>
    <t>FUR-CH-10004495</t>
  </si>
  <si>
    <t>Global Leather and Oak Executive Chair, Black</t>
  </si>
  <si>
    <t>S464</t>
  </si>
  <si>
    <t>O1000163</t>
  </si>
  <si>
    <t>C5385</t>
  </si>
  <si>
    <t>OFF-AR-10000390</t>
  </si>
  <si>
    <t>Newell Chalk Holder</t>
  </si>
  <si>
    <t>S900</t>
  </si>
  <si>
    <t>O1000164</t>
  </si>
  <si>
    <t>C3901</t>
  </si>
  <si>
    <t>OFF-AR-10001427</t>
  </si>
  <si>
    <t>Newell 330</t>
  </si>
  <si>
    <t>O1000165</t>
  </si>
  <si>
    <t>C9813</t>
  </si>
  <si>
    <t>OFF-BI-10004224</t>
  </si>
  <si>
    <t>Catalog Binders with Expanding Posts</t>
  </si>
  <si>
    <t>S749</t>
  </si>
  <si>
    <t>W36</t>
  </si>
  <si>
    <t>O1000166</t>
  </si>
  <si>
    <t>C8892</t>
  </si>
  <si>
    <t>OFF-ST-10000934</t>
  </si>
  <si>
    <t>Contico 72"H Heavy-Duty Storage System</t>
  </si>
  <si>
    <t>S467</t>
  </si>
  <si>
    <t>O1000167</t>
  </si>
  <si>
    <t>C6672</t>
  </si>
  <si>
    <t>OFF-ST-10002344</t>
  </si>
  <si>
    <t>Carina 42"Hx23 3/4"W Media Storage Unit</t>
  </si>
  <si>
    <t>S103</t>
  </si>
  <si>
    <t>O1000168</t>
  </si>
  <si>
    <t>C5809</t>
  </si>
  <si>
    <t>OFF-AR-10001044</t>
  </si>
  <si>
    <t>BOSTON Ranger #55 Pencil Sharpener, Black</t>
  </si>
  <si>
    <t>S771</t>
  </si>
  <si>
    <t>O1000169</t>
  </si>
  <si>
    <t>C2094</t>
  </si>
  <si>
    <t>OFF-PA-10002259</t>
  </si>
  <si>
    <t>Geographics Note Cards, Blank, White, 8 1/2" x 11"</t>
  </si>
  <si>
    <t>S681</t>
  </si>
  <si>
    <t>O1000170</t>
  </si>
  <si>
    <t>C2496</t>
  </si>
  <si>
    <t>S715</t>
  </si>
  <si>
    <t>Berlin-London</t>
  </si>
  <si>
    <t>O1000171</t>
  </si>
  <si>
    <t>C2146</t>
  </si>
  <si>
    <t>FUR-FU-10003981</t>
  </si>
  <si>
    <t>Eldon Wave Desk Accessories</t>
  </si>
  <si>
    <t>S456</t>
  </si>
  <si>
    <t>O1000172</t>
  </si>
  <si>
    <t>C5038</t>
  </si>
  <si>
    <t>OFF-AP-10002578</t>
  </si>
  <si>
    <t>Fellowes Premier Superior Surge Suppressor, 10-Outlet, With Phone and Remote</t>
  </si>
  <si>
    <t>S532</t>
  </si>
  <si>
    <t>O1000173</t>
  </si>
  <si>
    <t>C8147</t>
  </si>
  <si>
    <t>OFF-AR-10001770</t>
  </si>
  <si>
    <t>Economy #2 Pencils</t>
  </si>
  <si>
    <t>S545</t>
  </si>
  <si>
    <t>O1000174</t>
  </si>
  <si>
    <t>C8074</t>
  </si>
  <si>
    <t>OFF-FA-10001561</t>
  </si>
  <si>
    <t>Stockwell Push Pins</t>
  </si>
  <si>
    <t>S983</t>
  </si>
  <si>
    <t>O1000175</t>
  </si>
  <si>
    <t>C1829</t>
  </si>
  <si>
    <t>OFF-PA-10000213</t>
  </si>
  <si>
    <t>Xerox 198</t>
  </si>
  <si>
    <t>S345</t>
  </si>
  <si>
    <t>O1000176</t>
  </si>
  <si>
    <t>C1964</t>
  </si>
  <si>
    <t>OFF-PA-10002137</t>
  </si>
  <si>
    <t>Southworth 100% Résumé Paper, 24lb.</t>
  </si>
  <si>
    <t>S237</t>
  </si>
  <si>
    <t>O1000177</t>
  </si>
  <si>
    <t>C3952</t>
  </si>
  <si>
    <t>S707</t>
  </si>
  <si>
    <t>New York-London</t>
  </si>
  <si>
    <t>O1000178</t>
  </si>
  <si>
    <t>TEC-PH-10000984</t>
  </si>
  <si>
    <t>Panasonic KX-TG9471B</t>
  </si>
  <si>
    <t>S116</t>
  </si>
  <si>
    <t>O1000179</t>
  </si>
  <si>
    <t>C6013</t>
  </si>
  <si>
    <t>S818</t>
  </si>
  <si>
    <t>O1000180</t>
  </si>
  <si>
    <t>C4728</t>
  </si>
  <si>
    <t>FUR-FU-10001979</t>
  </si>
  <si>
    <t>Dana Halogen Swing-Arm Architect Lamp</t>
  </si>
  <si>
    <t>S860</t>
  </si>
  <si>
    <t>O1000181</t>
  </si>
  <si>
    <t>C7959</t>
  </si>
  <si>
    <t>FUR-CH-10003379</t>
  </si>
  <si>
    <t>Global Commerce Series High-Back Swivel/Tilt Chairs</t>
  </si>
  <si>
    <t>O1000182</t>
  </si>
  <si>
    <t>C3819</t>
  </si>
  <si>
    <t>OFF-AR-10003723</t>
  </si>
  <si>
    <t>Avery Hi-Liter Fluorescent Desk Style Markers</t>
  </si>
  <si>
    <t>S888</t>
  </si>
  <si>
    <t>O1000183</t>
  </si>
  <si>
    <t>C5698</t>
  </si>
  <si>
    <t>S214</t>
  </si>
  <si>
    <t>O1000184</t>
  </si>
  <si>
    <t>C6011</t>
  </si>
  <si>
    <t>OFF-BI-10003007</t>
  </si>
  <si>
    <t>Premium Transparent Presentation Covers, No Pattern/Clear, 8 1/2" x 11"</t>
  </si>
  <si>
    <t>S508</t>
  </si>
  <si>
    <t>O1000185</t>
  </si>
  <si>
    <t>C3914</t>
  </si>
  <si>
    <t>OFF-PA-10000176</t>
  </si>
  <si>
    <t>Xerox 1887</t>
  </si>
  <si>
    <t>S696</t>
  </si>
  <si>
    <t>O1000186</t>
  </si>
  <si>
    <t>C1223</t>
  </si>
  <si>
    <t>S676</t>
  </si>
  <si>
    <t>O1000187</t>
  </si>
  <si>
    <t>C4208</t>
  </si>
  <si>
    <t>OFF-PA-10001215</t>
  </si>
  <si>
    <t>Xerox 1963</t>
  </si>
  <si>
    <t>O1000188</t>
  </si>
  <si>
    <t>C1062</t>
  </si>
  <si>
    <t>OFF-ST-10000736</t>
  </si>
  <si>
    <t>Carina Double Wide Media Storage Towers in Natural &amp; Black</t>
  </si>
  <si>
    <t>S713</t>
  </si>
  <si>
    <t>O1000189</t>
  </si>
  <si>
    <t>C1917</t>
  </si>
  <si>
    <t>OFF-ST-10003221</t>
  </si>
  <si>
    <t>Staple magnet</t>
  </si>
  <si>
    <t>S887</t>
  </si>
  <si>
    <t>O1000190</t>
  </si>
  <si>
    <t>C5923</t>
  </si>
  <si>
    <t>TEC-AC-10004877</t>
  </si>
  <si>
    <t>Imation 30456 USB Flash Drive 8GB</t>
  </si>
  <si>
    <t>S786</t>
  </si>
  <si>
    <t>O1000191</t>
  </si>
  <si>
    <t>C8875</t>
  </si>
  <si>
    <t>TEC-MA-10003626</t>
  </si>
  <si>
    <t>Machines</t>
  </si>
  <si>
    <t>Hewlett-Packard Deskjet 6540 Color Inkjet Printer</t>
  </si>
  <si>
    <t>O1000192</t>
  </si>
  <si>
    <t>C1622</t>
  </si>
  <si>
    <t>FUR-FU-10001756</t>
  </si>
  <si>
    <t>Eldon Expressions Desk Accessory, Wood Photo Frame, Mahogany</t>
  </si>
  <si>
    <t>O1000193</t>
  </si>
  <si>
    <t>C9843</t>
  </si>
  <si>
    <t>OFF-BI-10000773</t>
  </si>
  <si>
    <t>Insertable Tab Post Binder Dividers</t>
  </si>
  <si>
    <t>S375</t>
  </si>
  <si>
    <t>O1000194</t>
  </si>
  <si>
    <t>C8894</t>
  </si>
  <si>
    <t>OFF-BI-10001543</t>
  </si>
  <si>
    <t>GBC VeloBinder Manual Binding System</t>
  </si>
  <si>
    <t>S212</t>
  </si>
  <si>
    <t>O1000195</t>
  </si>
  <si>
    <t>C5064</t>
  </si>
  <si>
    <t>OFF-PA-10002120</t>
  </si>
  <si>
    <t>Xerox 1889</t>
  </si>
  <si>
    <t>O1000196</t>
  </si>
  <si>
    <t>C7140</t>
  </si>
  <si>
    <t>OFF-ST-10001490</t>
  </si>
  <si>
    <t>Hot File 7-Pocket, Floor Stand</t>
  </si>
  <si>
    <t>S635</t>
  </si>
  <si>
    <t>O1000197</t>
  </si>
  <si>
    <t>C5167</t>
  </si>
  <si>
    <t>TEC-PH-10002415</t>
  </si>
  <si>
    <t>Polycom VoiceStation 500 Conference phone</t>
  </si>
  <si>
    <t>S570</t>
  </si>
  <si>
    <t>O1000198</t>
  </si>
  <si>
    <t>C9420</t>
  </si>
  <si>
    <t>FUR-TA-10001950</t>
  </si>
  <si>
    <t>Balt Solid Wood Round Tables</t>
  </si>
  <si>
    <t>S244</t>
  </si>
  <si>
    <t>O1000199</t>
  </si>
  <si>
    <t>C5948</t>
  </si>
  <si>
    <t>FUR-TA-10003473</t>
  </si>
  <si>
    <t>Bretford Rectangular Conference Table Tops</t>
  </si>
  <si>
    <t>S581</t>
  </si>
  <si>
    <t>O1000200</t>
  </si>
  <si>
    <t>C9340</t>
  </si>
  <si>
    <t>FUR-TA-10004175</t>
  </si>
  <si>
    <t>Hon 30" x 60" Table with Locking Drawer</t>
  </si>
  <si>
    <t>S224</t>
  </si>
  <si>
    <t>O1000201</t>
  </si>
  <si>
    <t>C2549</t>
  </si>
  <si>
    <t>OFF-AP-10001154</t>
  </si>
  <si>
    <t>Bionaire Personal Warm Mist Humidifier/Vaporizer</t>
  </si>
  <si>
    <t>S592</t>
  </si>
  <si>
    <t>O1000202</t>
  </si>
  <si>
    <t>C9903</t>
  </si>
  <si>
    <t>OFF-AP-10003971</t>
  </si>
  <si>
    <t>Belkin 6 Outlet Metallic Surge Strip</t>
  </si>
  <si>
    <t>S630</t>
  </si>
  <si>
    <t>O1000203</t>
  </si>
  <si>
    <t>C3832</t>
  </si>
  <si>
    <t>OFF-AR-10003732</t>
  </si>
  <si>
    <t>Newell 333</t>
  </si>
  <si>
    <t>S146</t>
  </si>
  <si>
    <t>O1000204</t>
  </si>
  <si>
    <t>C5673</t>
  </si>
  <si>
    <t>OFF-AR-10003829</t>
  </si>
  <si>
    <t>Newell 35</t>
  </si>
  <si>
    <t>S543</t>
  </si>
  <si>
    <t>O1000205</t>
  </si>
  <si>
    <t>C1211</t>
  </si>
  <si>
    <t>OFF-BI-10000136</t>
  </si>
  <si>
    <t>Avery Non-Stick Heavy Duty View Round Locking Ring Binders</t>
  </si>
  <si>
    <t>S332</t>
  </si>
  <si>
    <t>Toronto-Berlin</t>
  </si>
  <si>
    <t>O1000206</t>
  </si>
  <si>
    <t>C7208</t>
  </si>
  <si>
    <t>OFF-BI-10000309</t>
  </si>
  <si>
    <t>GBC Twin Loop Wire Binding Elements, 9/16" Spine, Black</t>
  </si>
  <si>
    <t>O1000207</t>
  </si>
  <si>
    <t>C9552</t>
  </si>
  <si>
    <t>S828</t>
  </si>
  <si>
    <t>O1000208</t>
  </si>
  <si>
    <t>C2825</t>
  </si>
  <si>
    <t>O1000209</t>
  </si>
  <si>
    <t>C6160</t>
  </si>
  <si>
    <t>S985</t>
  </si>
  <si>
    <t>O1000210</t>
  </si>
  <si>
    <t>C7204</t>
  </si>
  <si>
    <t>OFF-PA-10000919</t>
  </si>
  <si>
    <t>Xerox 1918</t>
  </si>
  <si>
    <t>S610</t>
  </si>
  <si>
    <t>O1000211</t>
  </si>
  <si>
    <t>C8558</t>
  </si>
  <si>
    <t>OFF-PA-10002195</t>
  </si>
  <si>
    <t>Xerox 1966</t>
  </si>
  <si>
    <t>S314</t>
  </si>
  <si>
    <t>O1000212</t>
  </si>
  <si>
    <t>C5084</t>
  </si>
  <si>
    <t>OFF-PA-10002365</t>
  </si>
  <si>
    <t>Xerox 1967</t>
  </si>
  <si>
    <t>S204</t>
  </si>
  <si>
    <t>O1000213</t>
  </si>
  <si>
    <t>C5576</t>
  </si>
  <si>
    <t>OFF-PA-10002960</t>
  </si>
  <si>
    <t>Xerox 1926</t>
  </si>
  <si>
    <t>O1000214</t>
  </si>
  <si>
    <t>C1139</t>
  </si>
  <si>
    <t>OFF-PA-10003063</t>
  </si>
  <si>
    <t>EcoTones Memo Sheets</t>
  </si>
  <si>
    <t>S321</t>
  </si>
  <si>
    <t>O1000215</t>
  </si>
  <si>
    <t>C2716</t>
  </si>
  <si>
    <t>OFF-PA-10003349</t>
  </si>
  <si>
    <t>Xerox 1957</t>
  </si>
  <si>
    <t>S562</t>
  </si>
  <si>
    <t>O1000216</t>
  </si>
  <si>
    <t>C2634</t>
  </si>
  <si>
    <t>OFF-PA-10003641</t>
  </si>
  <si>
    <t>Xerox 1909</t>
  </si>
  <si>
    <t>S945</t>
  </si>
  <si>
    <t>O1000217</t>
  </si>
  <si>
    <t>C4539</t>
  </si>
  <si>
    <t>FUR-BO-10004218</t>
  </si>
  <si>
    <t>Bush Heritage Pine Collection 5-Shelf Bookcase, Albany Pine Finish, *Special Order</t>
  </si>
  <si>
    <t>S701</t>
  </si>
  <si>
    <t>O1000218</t>
  </si>
  <si>
    <t>C7870</t>
  </si>
  <si>
    <t>FUR-FU-10001986</t>
  </si>
  <si>
    <t>Dana Fluorescent Magnifying Lamp, White, 36"</t>
  </si>
  <si>
    <t>S155</t>
  </si>
  <si>
    <t>O1000219</t>
  </si>
  <si>
    <t>C7278</t>
  </si>
  <si>
    <t>FUR-FU-10004270</t>
  </si>
  <si>
    <t>Executive Impressions 13" Clairmont Wall Clock</t>
  </si>
  <si>
    <t>New York-Berlin</t>
  </si>
  <si>
    <t>O1000220</t>
  </si>
  <si>
    <t>C5077</t>
  </si>
  <si>
    <t>FUR-FU-10004597</t>
  </si>
  <si>
    <t>Eldon Cleatmat Chair Mats for Medium Pile Carpets</t>
  </si>
  <si>
    <t>S270</t>
  </si>
  <si>
    <t>O1000221</t>
  </si>
  <si>
    <t>C1613</t>
  </si>
  <si>
    <t>OFF-AR-10003183</t>
  </si>
  <si>
    <t>Avery Fluorescent Highlighter Four-Color Set</t>
  </si>
  <si>
    <t>S415</t>
  </si>
  <si>
    <t>O1000222</t>
  </si>
  <si>
    <t>C7663</t>
  </si>
  <si>
    <t>OFF-FA-10003112</t>
  </si>
  <si>
    <t>S872</t>
  </si>
  <si>
    <t>W2</t>
  </si>
  <si>
    <t>O1000223</t>
  </si>
  <si>
    <t>C1569</t>
  </si>
  <si>
    <t>S656</t>
  </si>
  <si>
    <t>O1000224</t>
  </si>
  <si>
    <t>C7830</t>
  </si>
  <si>
    <t>O1000225</t>
  </si>
  <si>
    <t>C4760</t>
  </si>
  <si>
    <t>TEC-MA-10001148</t>
  </si>
  <si>
    <t>Swingline SM12-08 MicroCut Jam Free Shredder</t>
  </si>
  <si>
    <t>S938</t>
  </si>
  <si>
    <t>O1000226</t>
  </si>
  <si>
    <t>C4957</t>
  </si>
  <si>
    <t>TEC-MA-10002412</t>
  </si>
  <si>
    <t>Cisco TelePresence System EX90 Videoconferencing Unit</t>
  </si>
  <si>
    <t>O1000227</t>
  </si>
  <si>
    <t>C2376</t>
  </si>
  <si>
    <t>O1000228</t>
  </si>
  <si>
    <t>C4570</t>
  </si>
  <si>
    <t>FUR-FU-10002508</t>
  </si>
  <si>
    <t>Document Clip Frames</t>
  </si>
  <si>
    <t>S639</t>
  </si>
  <si>
    <t>O1000229</t>
  </si>
  <si>
    <t>C8805</t>
  </si>
  <si>
    <t>O1000230</t>
  </si>
  <si>
    <t>C1287</t>
  </si>
  <si>
    <t>S453</t>
  </si>
  <si>
    <t>O1000231</t>
  </si>
  <si>
    <t>C9542</t>
  </si>
  <si>
    <t>OFF-LA-10000443</t>
  </si>
  <si>
    <t>Avery 501</t>
  </si>
  <si>
    <t>S882</t>
  </si>
  <si>
    <t>O1000232</t>
  </si>
  <si>
    <t>C7957</t>
  </si>
  <si>
    <t>OFF-ST-10000918</t>
  </si>
  <si>
    <t>Crate-A-Files</t>
  </si>
  <si>
    <t>S225</t>
  </si>
  <si>
    <t>O1000233</t>
  </si>
  <si>
    <t>C1100</t>
  </si>
  <si>
    <t>TEC-AC-10002647</t>
  </si>
  <si>
    <t>Logitech Wireless Boombox Speaker - portable - wireless, wired</t>
  </si>
  <si>
    <t>S145</t>
  </si>
  <si>
    <t>O1000234</t>
  </si>
  <si>
    <t>C7719</t>
  </si>
  <si>
    <t>TEC-PH-10004667</t>
  </si>
  <si>
    <t>Cisco 8x8 Inc. 6753i IP Business Phone System</t>
  </si>
  <si>
    <t>S743</t>
  </si>
  <si>
    <t>O1000235</t>
  </si>
  <si>
    <t>C1890</t>
  </si>
  <si>
    <t>S762</t>
  </si>
  <si>
    <t>Mumbai-London</t>
  </si>
  <si>
    <t>O1000236</t>
  </si>
  <si>
    <t>C3179</t>
  </si>
  <si>
    <t>FUR-FU-10001473</t>
  </si>
  <si>
    <t>DAX Wood Document Frame</t>
  </si>
  <si>
    <t>S416</t>
  </si>
  <si>
    <t>O1000237</t>
  </si>
  <si>
    <t>C5234</t>
  </si>
  <si>
    <t>OFF-AR-10001573</t>
  </si>
  <si>
    <t>American Pencil</t>
  </si>
  <si>
    <t>S835</t>
  </si>
  <si>
    <t>O1000238</t>
  </si>
  <si>
    <t>C6964</t>
  </si>
  <si>
    <t>OFF-AR-10004027</t>
  </si>
  <si>
    <t>Binney &amp; Smith inkTank Erasable Desk Highlighter, Chisel Tip, Yellow, 12/Box</t>
  </si>
  <si>
    <t>S405</t>
  </si>
  <si>
    <t>O1000239</t>
  </si>
  <si>
    <t>C1787</t>
  </si>
  <si>
    <t>OFF-AR-10004685</t>
  </si>
  <si>
    <t>Binney &amp; Smith Crayola Metallic Colored Pencils, 8-Color Set</t>
  </si>
  <si>
    <t>S568</t>
  </si>
  <si>
    <t>O1000240</t>
  </si>
  <si>
    <t>C9534</t>
  </si>
  <si>
    <t>OFF-BI-10001597</t>
  </si>
  <si>
    <t>Wilson Jones Ledger-Size, Piano-Hinge Binder, 2", Blue</t>
  </si>
  <si>
    <t>S292</t>
  </si>
  <si>
    <t>O1000241</t>
  </si>
  <si>
    <t>C1434</t>
  </si>
  <si>
    <t>OFF-LA-10004409</t>
  </si>
  <si>
    <t>Avery 492</t>
  </si>
  <si>
    <t>S779</t>
  </si>
  <si>
    <t>O1000242</t>
  </si>
  <si>
    <t>C9292</t>
  </si>
  <si>
    <t>OFF-LA-10004544</t>
  </si>
  <si>
    <t>Avery 505</t>
  </si>
  <si>
    <t>O1000243</t>
  </si>
  <si>
    <t>C6852</t>
  </si>
  <si>
    <t>OFF-PA-10000675</t>
  </si>
  <si>
    <t>Xerox 1919</t>
  </si>
  <si>
    <t>S380</t>
  </si>
  <si>
    <t>O1000244</t>
  </si>
  <si>
    <t>C8344</t>
  </si>
  <si>
    <t>OFF-ST-10002301</t>
  </si>
  <si>
    <t>Tennsco Commercial Shelving</t>
  </si>
  <si>
    <t>S263</t>
  </si>
  <si>
    <t>O1000245</t>
  </si>
  <si>
    <t>C2764</t>
  </si>
  <si>
    <t>TEC-PH-10000730</t>
  </si>
  <si>
    <t>Samsung Galaxy S4 Active</t>
  </si>
  <si>
    <t>S869</t>
  </si>
  <si>
    <t>O1000246</t>
  </si>
  <si>
    <t>C1123</t>
  </si>
  <si>
    <t>FUR-CH-10001482</t>
  </si>
  <si>
    <t>Office Star - Mesh Screen back chair with Vinyl seat</t>
  </si>
  <si>
    <t>S429</t>
  </si>
  <si>
    <t>O1000247</t>
  </si>
  <si>
    <t>C5276</t>
  </si>
  <si>
    <t>S137</t>
  </si>
  <si>
    <t>O1000248</t>
  </si>
  <si>
    <t>C1144</t>
  </si>
  <si>
    <t>OFF-BI-10002735</t>
  </si>
  <si>
    <t>GBC Prestige Therm-A-Bind Covers</t>
  </si>
  <si>
    <t>S881</t>
  </si>
  <si>
    <t>O1000249</t>
  </si>
  <si>
    <t>C1009</t>
  </si>
  <si>
    <t>OFF-BI-10004410</t>
  </si>
  <si>
    <t>C-Line Peel &amp; Stick Add-On Filing Pockets, 8-3/4 x 5-1/8, 10/Pack</t>
  </si>
  <si>
    <t>S791</t>
  </si>
  <si>
    <t>O1000250</t>
  </si>
  <si>
    <t>C4867</t>
  </si>
  <si>
    <t>OFF-PA-10002581</t>
  </si>
  <si>
    <t>Xerox 1951</t>
  </si>
  <si>
    <t>O1000251</t>
  </si>
  <si>
    <t>C2605</t>
  </si>
  <si>
    <t>OFF-LA-10004484</t>
  </si>
  <si>
    <t>Avery 476</t>
  </si>
  <si>
    <t>S536</t>
  </si>
  <si>
    <t>O1000252</t>
  </si>
  <si>
    <t>C8502</t>
  </si>
  <si>
    <t>OFF-ST-10000585</t>
  </si>
  <si>
    <t>Economy Rollaway Files</t>
  </si>
  <si>
    <t>S231</t>
  </si>
  <si>
    <t>O1000253</t>
  </si>
  <si>
    <t>C6693</t>
  </si>
  <si>
    <t>TEC-PH-10003484</t>
  </si>
  <si>
    <t>Ooma Telo VoIP Home Phone System</t>
  </si>
  <si>
    <t>S712</t>
  </si>
  <si>
    <t>O1000254</t>
  </si>
  <si>
    <t>C5621</t>
  </si>
  <si>
    <t>FUR-FU-10002813</t>
  </si>
  <si>
    <t>DAX Contemporary Wood Frame with Silver Metal Mat, Desktop, 11 x 14 Size</t>
  </si>
  <si>
    <t>S788</t>
  </si>
  <si>
    <t>O1000255</t>
  </si>
  <si>
    <t>C4146</t>
  </si>
  <si>
    <t>OFF-PA-10004948</t>
  </si>
  <si>
    <t>Xerox 190</t>
  </si>
  <si>
    <t>O1000256</t>
  </si>
  <si>
    <t>C1971</t>
  </si>
  <si>
    <t>FUR-CH-10002439</t>
  </si>
  <si>
    <t>Iceberg Nesting Folding Chair, 19w x 6d x 43h</t>
  </si>
  <si>
    <t>S294</t>
  </si>
  <si>
    <t>O1000257</t>
  </si>
  <si>
    <t>C5220</t>
  </si>
  <si>
    <t>OFF-AR-10000034</t>
  </si>
  <si>
    <t>BIC Brite Liner Grip Highlighters, Assorted, 5/Pack</t>
  </si>
  <si>
    <t>S865</t>
  </si>
  <si>
    <t>O1000258</t>
  </si>
  <si>
    <t>C9932</t>
  </si>
  <si>
    <t>OFF-AR-10003338</t>
  </si>
  <si>
    <t>Eberhard Faber 3 1/2" Golf Pencils</t>
  </si>
  <si>
    <t>S480</t>
  </si>
  <si>
    <t>O1000259</t>
  </si>
  <si>
    <t>C5452</t>
  </si>
  <si>
    <t>S261</t>
  </si>
  <si>
    <t>O1000260</t>
  </si>
  <si>
    <t>C4404</t>
  </si>
  <si>
    <t>TEC-AC-10002558</t>
  </si>
  <si>
    <t>Imation Swivel Flash Drive USB flash drive - 8 GB</t>
  </si>
  <si>
    <t>S482</t>
  </si>
  <si>
    <t>O1000261</t>
  </si>
  <si>
    <t>C6086</t>
  </si>
  <si>
    <t>OFF-AR-10004272</t>
  </si>
  <si>
    <t>Newell 308</t>
  </si>
  <si>
    <t>S516</t>
  </si>
  <si>
    <t>O1000262</t>
  </si>
  <si>
    <t>C3687</t>
  </si>
  <si>
    <t>S593</t>
  </si>
  <si>
    <t>O1000263</t>
  </si>
  <si>
    <t>C3718</t>
  </si>
  <si>
    <t>OFF-LA-10001982</t>
  </si>
  <si>
    <t>Smead Alpha-Z Color-Coded Name Labels First Letter Starter Set</t>
  </si>
  <si>
    <t>S324</t>
  </si>
  <si>
    <t>O1000264</t>
  </si>
  <si>
    <t>C5050</t>
  </si>
  <si>
    <t>TEC-AC-10002323</t>
  </si>
  <si>
    <t>SanDisk Ultra 32 GB MicroSDHC Class 10 Memory Card</t>
  </si>
  <si>
    <t>S728</t>
  </si>
  <si>
    <t>O1000265</t>
  </si>
  <si>
    <t>C8685</t>
  </si>
  <si>
    <t>TEC-PH-10004100</t>
  </si>
  <si>
    <t>Griffin GC17055 Auxiliary Audio Cable</t>
  </si>
  <si>
    <t>O1000266</t>
  </si>
  <si>
    <t>C6912</t>
  </si>
  <si>
    <t>FUR-TA-10000198</t>
  </si>
  <si>
    <t>Chromcraft Bull-Nose Wood Oval Conference Tables &amp; Bases</t>
  </si>
  <si>
    <t>S858</t>
  </si>
  <si>
    <t>O1000267</t>
  </si>
  <si>
    <t>C7168</t>
  </si>
  <si>
    <t>FUR-TA-10003954</t>
  </si>
  <si>
    <t>Hon 94000 Series Round Tables</t>
  </si>
  <si>
    <t>S716</t>
  </si>
  <si>
    <t>O1000268</t>
  </si>
  <si>
    <t>C7880</t>
  </si>
  <si>
    <t>OFF-EN-10001509</t>
  </si>
  <si>
    <t>Poly String Tie Envelopes</t>
  </si>
  <si>
    <t>S811</t>
  </si>
  <si>
    <t>O1000269</t>
  </si>
  <si>
    <t>C4612</t>
  </si>
  <si>
    <t>TEC-PH-10003273</t>
  </si>
  <si>
    <t>AT&amp;T TR1909W</t>
  </si>
  <si>
    <t>S844</t>
  </si>
  <si>
    <t>O1000270</t>
  </si>
  <si>
    <t>C6418</t>
  </si>
  <si>
    <t>FUR-TA-10001889</t>
  </si>
  <si>
    <t>Bush Advantage Collection Racetrack Conference Table</t>
  </si>
  <si>
    <t>S717</t>
  </si>
  <si>
    <t>O1000271</t>
  </si>
  <si>
    <t>C5427</t>
  </si>
  <si>
    <t>FUR-BO-10001337</t>
  </si>
  <si>
    <t>O'Sullivan Living Dimensions 2-Shelf Bookcases</t>
  </si>
  <si>
    <t>S108</t>
  </si>
  <si>
    <t>O1000272</t>
  </si>
  <si>
    <t>FUR-CH-10002304</t>
  </si>
  <si>
    <t>Global Stack Chair without Arms, Black</t>
  </si>
  <si>
    <t>O1000273</t>
  </si>
  <si>
    <t>C8477</t>
  </si>
  <si>
    <t>OFF-AR-10001231</t>
  </si>
  <si>
    <t>Sanford EarthWrite Recycled Pencils, Medium Soft, #2</t>
  </si>
  <si>
    <t>S870</t>
  </si>
  <si>
    <t>O1000274</t>
  </si>
  <si>
    <t>C3431</t>
  </si>
  <si>
    <t>OFF-AR-10001915</t>
  </si>
  <si>
    <t>Peel-Off China Markers</t>
  </si>
  <si>
    <t>S934</t>
  </si>
  <si>
    <t>O1000275</t>
  </si>
  <si>
    <t>C1253</t>
  </si>
  <si>
    <t>OFF-EN-10002230</t>
  </si>
  <si>
    <t>Airmail Envelopes</t>
  </si>
  <si>
    <t>O1000276</t>
  </si>
  <si>
    <t>C4265</t>
  </si>
  <si>
    <t>OFF-LA-10002312</t>
  </si>
  <si>
    <t>Avery 490</t>
  </si>
  <si>
    <t>S352</t>
  </si>
  <si>
    <t>O1000277</t>
  </si>
  <si>
    <t>C1436</t>
  </si>
  <si>
    <t>OFF-ST-10001511</t>
  </si>
  <si>
    <t>Space Solutions Commercial Steel Shelving</t>
  </si>
  <si>
    <t>S794</t>
  </si>
  <si>
    <t>O1000278</t>
  </si>
  <si>
    <t>C5317</t>
  </si>
  <si>
    <t>OFF-ST-10002957</t>
  </si>
  <si>
    <t>Sterilite Show Offs Storage Containers</t>
  </si>
  <si>
    <t>S259</t>
  </si>
  <si>
    <t>O1000279</t>
  </si>
  <si>
    <t>C5501</t>
  </si>
  <si>
    <t>TEC-PH-10001819</t>
  </si>
  <si>
    <t>Innergie mMini Combo Duo USB Travel Charging Kit</t>
  </si>
  <si>
    <t>S588</t>
  </si>
  <si>
    <t>O1000280</t>
  </si>
  <si>
    <t>C1556</t>
  </si>
  <si>
    <t>FUR-CH-10002965</t>
  </si>
  <si>
    <t>Global Leather Highback Executive Chair with Pneumatic Height Adjustment, Black</t>
  </si>
  <si>
    <t>O1000281</t>
  </si>
  <si>
    <t>C8849</t>
  </si>
  <si>
    <t>OFF-AP-10002765</t>
  </si>
  <si>
    <t>Fellowes Advanced Computer Series Surge Protectors</t>
  </si>
  <si>
    <t>S289</t>
  </si>
  <si>
    <t>O1000282</t>
  </si>
  <si>
    <t>C9951</t>
  </si>
  <si>
    <t>S307</t>
  </si>
  <si>
    <t>O1000283</t>
  </si>
  <si>
    <t>C9176</t>
  </si>
  <si>
    <t>OFF-BI-10001097</t>
  </si>
  <si>
    <t>Avery Hole Reinforcements</t>
  </si>
  <si>
    <t>S931</t>
  </si>
  <si>
    <t>O1000284</t>
  </si>
  <si>
    <t>C9957</t>
  </si>
  <si>
    <t>OFF-BI-10001636</t>
  </si>
  <si>
    <t>Ibico Plastic and Wire Spiral Binding Combs</t>
  </si>
  <si>
    <t>S442</t>
  </si>
  <si>
    <t>O1000285</t>
  </si>
  <si>
    <t>C5263</t>
  </si>
  <si>
    <t>OFF-BI-10002071</t>
  </si>
  <si>
    <t>Fellowes Black Plastic Comb Bindings</t>
  </si>
  <si>
    <t>S205</t>
  </si>
  <si>
    <t>O1000286</t>
  </si>
  <si>
    <t>C1060</t>
  </si>
  <si>
    <t>OFF-BI-10003529</t>
  </si>
  <si>
    <t>Avery Round Ring Poly Binders</t>
  </si>
  <si>
    <t>S770</t>
  </si>
  <si>
    <t>O1000287</t>
  </si>
  <si>
    <t>C2259</t>
  </si>
  <si>
    <t>OFF-BI-10004390</t>
  </si>
  <si>
    <t>GBC DocuBind 200 Manual Binding Machine</t>
  </si>
  <si>
    <t>S954</t>
  </si>
  <si>
    <t>O1000288</t>
  </si>
  <si>
    <t>C5024</t>
  </si>
  <si>
    <t>TEC-AC-10004901</t>
  </si>
  <si>
    <t>Kensington SlimBlade Notebook Wireless Mouse with Nano Receiver</t>
  </si>
  <si>
    <t>S511</t>
  </si>
  <si>
    <t>O1000289</t>
  </si>
  <si>
    <t>C7303</t>
  </si>
  <si>
    <t>OFF-BI-10000042</t>
  </si>
  <si>
    <t>Pressboard Data Binder, Crimson, 12" X 8 1/2"</t>
  </si>
  <si>
    <t>S295</t>
  </si>
  <si>
    <t>O1000290</t>
  </si>
  <si>
    <t>C1289</t>
  </si>
  <si>
    <t>OFF-BI-10000145</t>
  </si>
  <si>
    <t>Zipper Ring Binder Pockets</t>
  </si>
  <si>
    <t>O1000291</t>
  </si>
  <si>
    <t>C4025</t>
  </si>
  <si>
    <t>S258</t>
  </si>
  <si>
    <t>O1000292</t>
  </si>
  <si>
    <t>OFF-ST-10000636</t>
  </si>
  <si>
    <t>Rogers Profile Extra Capacity Storage Tub</t>
  </si>
  <si>
    <t>S262</t>
  </si>
  <si>
    <t>O1000293</t>
  </si>
  <si>
    <t>C4099</t>
  </si>
  <si>
    <t>FUR-FU-10003192</t>
  </si>
  <si>
    <t>Luxo Adjustable Task Clamp Lamp</t>
  </si>
  <si>
    <t>S942</t>
  </si>
  <si>
    <t>O1000294</t>
  </si>
  <si>
    <t>C1136</t>
  </si>
  <si>
    <t>OFF-AP-10003842</t>
  </si>
  <si>
    <t>Euro-Pro Shark Turbo Vacuum</t>
  </si>
  <si>
    <t>S425</t>
  </si>
  <si>
    <t>O1000295</t>
  </si>
  <si>
    <t>C3730</t>
  </si>
  <si>
    <t>OFF-PA-10001593</t>
  </si>
  <si>
    <t>Xerox 1947</t>
  </si>
  <si>
    <t>S256</t>
  </si>
  <si>
    <t>O1000296</t>
  </si>
  <si>
    <t>C4953</t>
  </si>
  <si>
    <t>OFF-PA-10002986</t>
  </si>
  <si>
    <t>Xerox 1898</t>
  </si>
  <si>
    <t>S611</t>
  </si>
  <si>
    <t>O1000297</t>
  </si>
  <si>
    <t>C3986</t>
  </si>
  <si>
    <t>OFF-PA-10004248</t>
  </si>
  <si>
    <t>Xerox 1990</t>
  </si>
  <si>
    <t>S815</t>
  </si>
  <si>
    <t>O1000298</t>
  </si>
  <si>
    <t>C5328</t>
  </si>
  <si>
    <t>TEC-PH-10001128</t>
  </si>
  <si>
    <t>Motorola Droid Maxx</t>
  </si>
  <si>
    <t>S806</t>
  </si>
  <si>
    <t>O1000299</t>
  </si>
  <si>
    <t>C5041</t>
  </si>
  <si>
    <t>OFF-EN-10001415</t>
  </si>
  <si>
    <t>S939</t>
  </si>
  <si>
    <t>O1000300</t>
  </si>
  <si>
    <t>C6749</t>
  </si>
  <si>
    <t>S914</t>
  </si>
  <si>
    <t>O1000301</t>
  </si>
  <si>
    <t>C7019</t>
  </si>
  <si>
    <t>S948</t>
  </si>
  <si>
    <t>O1000302</t>
  </si>
  <si>
    <t>C6162</t>
  </si>
  <si>
    <t>FUR-FU-10004020</t>
  </si>
  <si>
    <t>Advantus Panel Wall Acrylic Frame</t>
  </si>
  <si>
    <t>O1000303</t>
  </si>
  <si>
    <t>C4910</t>
  </si>
  <si>
    <t>OFF-AR-10001955</t>
  </si>
  <si>
    <t>Newell 319</t>
  </si>
  <si>
    <t>S478</t>
  </si>
  <si>
    <t>O1000304</t>
  </si>
  <si>
    <t>C8208</t>
  </si>
  <si>
    <t>OFF-BI-10004140</t>
  </si>
  <si>
    <t>Avery Non-Stick Binders</t>
  </si>
  <si>
    <t>S235</t>
  </si>
  <si>
    <t>O1000305</t>
  </si>
  <si>
    <t>C5106</t>
  </si>
  <si>
    <t>OFF-LA-10001641</t>
  </si>
  <si>
    <t>Avery 518</t>
  </si>
  <si>
    <t>S609</t>
  </si>
  <si>
    <t>O1000306</t>
  </si>
  <si>
    <t>C2734</t>
  </si>
  <si>
    <t>O1000307</t>
  </si>
  <si>
    <t>C5402</t>
  </si>
  <si>
    <t>OFF-PA-10003797</t>
  </si>
  <si>
    <t>Xerox 209</t>
  </si>
  <si>
    <t>S240</t>
  </si>
  <si>
    <t>O1000308</t>
  </si>
  <si>
    <t>C3039</t>
  </si>
  <si>
    <t>OFF-ST-10004180</t>
  </si>
  <si>
    <t>Safco Commercial Shelving</t>
  </si>
  <si>
    <t>S780</t>
  </si>
  <si>
    <t>O1000309</t>
  </si>
  <si>
    <t>C1880</t>
  </si>
  <si>
    <t>TEC-AC-10002926</t>
  </si>
  <si>
    <t>Logitech Wireless Marathon Mouse M705</t>
  </si>
  <si>
    <t>S504</t>
  </si>
  <si>
    <t>O1000310</t>
  </si>
  <si>
    <t>C5408</t>
  </si>
  <si>
    <t>OFF-AR-10000127</t>
  </si>
  <si>
    <t>Newell 321</t>
  </si>
  <si>
    <t>S679</t>
  </si>
  <si>
    <t>O1000311</t>
  </si>
  <si>
    <t>C1884</t>
  </si>
  <si>
    <t>OFF-AR-10002952</t>
  </si>
  <si>
    <t>Stanley Contemporary Battery Pencil Sharpeners</t>
  </si>
  <si>
    <t>S620</t>
  </si>
  <si>
    <t>O1000312</t>
  </si>
  <si>
    <t>C2013</t>
  </si>
  <si>
    <t>O1000313</t>
  </si>
  <si>
    <t>C4927</t>
  </si>
  <si>
    <t>OFF-AR-10004757</t>
  </si>
  <si>
    <t>Crayola Colored Pencils</t>
  </si>
  <si>
    <t>S840</t>
  </si>
  <si>
    <t>O1000314</t>
  </si>
  <si>
    <t>C1464</t>
  </si>
  <si>
    <t>OFF-BI-10002852</t>
  </si>
  <si>
    <t>Ibico Standard Transparent Covers</t>
  </si>
  <si>
    <t>S662</t>
  </si>
  <si>
    <t>O1000315</t>
  </si>
  <si>
    <t>C5755</t>
  </si>
  <si>
    <t>OFF-BI-10004209</t>
  </si>
  <si>
    <t>Fellowes Twister Kit, Gray/Clear, 3/pkg</t>
  </si>
  <si>
    <t>O1000316</t>
  </si>
  <si>
    <t>C7376</t>
  </si>
  <si>
    <t>S723</t>
  </si>
  <si>
    <t>O1000317</t>
  </si>
  <si>
    <t>OFF-PA-10004071</t>
  </si>
  <si>
    <t>Eaton Premium Continuous-Feed Paper, 25% Cotton, Letter Size, White, 1000 Shts/Box</t>
  </si>
  <si>
    <t>S200</t>
  </si>
  <si>
    <t>O1000318</t>
  </si>
  <si>
    <t>C1866</t>
  </si>
  <si>
    <t>O1000319</t>
  </si>
  <si>
    <t>C9816</t>
  </si>
  <si>
    <t>OFF-ST-10001031</t>
  </si>
  <si>
    <t>Adjustable Personal File Tote</t>
  </si>
  <si>
    <t>S892</t>
  </si>
  <si>
    <t>O1000320</t>
  </si>
  <si>
    <t>C8794</t>
  </si>
  <si>
    <t>OFF-ST-10003455</t>
  </si>
  <si>
    <t>Tenex File Box, Personal Filing Tote with Lid, Black</t>
  </si>
  <si>
    <t>S384</t>
  </si>
  <si>
    <t>O1000321</t>
  </si>
  <si>
    <t>C8452</t>
  </si>
  <si>
    <t>OFF-SU-10002881</t>
  </si>
  <si>
    <t>Martin Yale Chadless Opener Electric Letter Opener</t>
  </si>
  <si>
    <t>S327</t>
  </si>
  <si>
    <t>O1000322</t>
  </si>
  <si>
    <t>C7495</t>
  </si>
  <si>
    <t>O1000323</t>
  </si>
  <si>
    <t>C5699</t>
  </si>
  <si>
    <t>FUR-FU-10000747</t>
  </si>
  <si>
    <t>Tenex B1-RE Series Chair Mats for Low Pile Carpets</t>
  </si>
  <si>
    <t>S374</t>
  </si>
  <si>
    <t>O1000324</t>
  </si>
  <si>
    <t>C7723</t>
  </si>
  <si>
    <t>FUR-FU-10001918</t>
  </si>
  <si>
    <t>C-Line Cubicle Keepers Polyproplyene Holder With Velcro Backings</t>
  </si>
  <si>
    <t>S144</t>
  </si>
  <si>
    <t>O1000325</t>
  </si>
  <si>
    <t>C7872</t>
  </si>
  <si>
    <t>FUR-TA-10000688</t>
  </si>
  <si>
    <t>Chromcraft Bull-Nose Wood Round Conference Table Top, Wood Base</t>
  </si>
  <si>
    <t>O1000326</t>
  </si>
  <si>
    <t>C4343</t>
  </si>
  <si>
    <t>FUR-TA-10001039</t>
  </si>
  <si>
    <t>KI Adjustable-Height Table</t>
  </si>
  <si>
    <t>O1000327</t>
  </si>
  <si>
    <t>C3241</t>
  </si>
  <si>
    <t>OFF-AR-10001725</t>
  </si>
  <si>
    <t>Boston Home &amp; Office Model 2000 Electric Pencil Sharpeners</t>
  </si>
  <si>
    <t>S361</t>
  </si>
  <si>
    <t>O1000328</t>
  </si>
  <si>
    <t>C1170</t>
  </si>
  <si>
    <t>OFF-BI-10002794</t>
  </si>
  <si>
    <t>Avery Trapezoid Ring Binder, 3" Capacity, Black, 1040 sheets</t>
  </si>
  <si>
    <t>O1000329</t>
  </si>
  <si>
    <t>C6639</t>
  </si>
  <si>
    <t>OFF-BI-10003719</t>
  </si>
  <si>
    <t>Large Capacity Hanging Post Binders</t>
  </si>
  <si>
    <t>S747</t>
  </si>
  <si>
    <t>O1000330</t>
  </si>
  <si>
    <t>C7443</t>
  </si>
  <si>
    <t>OFF-PA-10001977</t>
  </si>
  <si>
    <t>Xerox 194</t>
  </si>
  <si>
    <t>S343</t>
  </si>
  <si>
    <t>O1000331</t>
  </si>
  <si>
    <t>C9052</t>
  </si>
  <si>
    <t>OFF-PA-10003309</t>
  </si>
  <si>
    <t>Xerox 211</t>
  </si>
  <si>
    <t>O1000332</t>
  </si>
  <si>
    <t>C4690</t>
  </si>
  <si>
    <t>OFF-SU-10004498</t>
  </si>
  <si>
    <t>Martin-Yale Premier Letter Opener</t>
  </si>
  <si>
    <t>S167</t>
  </si>
  <si>
    <t>O1000333</t>
  </si>
  <si>
    <t>C9252</t>
  </si>
  <si>
    <t>TEC-AC-10003441</t>
  </si>
  <si>
    <t>Kingston Digital DataTraveler 32GB USB 2.0</t>
  </si>
  <si>
    <t>O1000334</t>
  </si>
  <si>
    <t>C8026</t>
  </si>
  <si>
    <t>TEC-AC-10004171</t>
  </si>
  <si>
    <t>Razer Kraken 7.1 Surround Sound Over Ear USB Gaming Headset</t>
  </si>
  <si>
    <t>O1000335</t>
  </si>
  <si>
    <t>C6482</t>
  </si>
  <si>
    <t>TEC-AC-10004659</t>
  </si>
  <si>
    <t>Imation Secure+ Hardware Encrypted USB 2.0 Flash Drive; 16GB</t>
  </si>
  <si>
    <t>S862</t>
  </si>
  <si>
    <t>O1000336</t>
  </si>
  <si>
    <t>C1516</t>
  </si>
  <si>
    <t>FUR-FU-10004415</t>
  </si>
  <si>
    <t>Stacking Tray, Side-Loading, Legal, Smoke</t>
  </si>
  <si>
    <t>S381</t>
  </si>
  <si>
    <t>O1000337</t>
  </si>
  <si>
    <t>C3978</t>
  </si>
  <si>
    <t>OFF-PA-10000100</t>
  </si>
  <si>
    <t>Xerox 1945</t>
  </si>
  <si>
    <t>S323</t>
  </si>
  <si>
    <t>O1000338</t>
  </si>
  <si>
    <t>C6008</t>
  </si>
  <si>
    <t>OFF-PA-10003441</t>
  </si>
  <si>
    <t>Xerox 226</t>
  </si>
  <si>
    <t>S852</t>
  </si>
  <si>
    <t>O1000339</t>
  </si>
  <si>
    <t>C1304</t>
  </si>
  <si>
    <t>O1000340</t>
  </si>
  <si>
    <t>C7219</t>
  </si>
  <si>
    <t>TEC-PH-10004922</t>
  </si>
  <si>
    <t>RCA Visys Integrated PBX 8-Line Router</t>
  </si>
  <si>
    <t>O1000341</t>
  </si>
  <si>
    <t>C7662</t>
  </si>
  <si>
    <t>FUR-TA-10001086</t>
  </si>
  <si>
    <t>SAFCO PlanMaster Boards, 60w x 37-1/2d, White Melamine</t>
  </si>
  <si>
    <t>S175</t>
  </si>
  <si>
    <t>O1000342</t>
  </si>
  <si>
    <t>C4507</t>
  </si>
  <si>
    <t>FUR-TA-10003748</t>
  </si>
  <si>
    <t>Bevis 36 x 72 Conference Tables</t>
  </si>
  <si>
    <t>S652</t>
  </si>
  <si>
    <t>O1000343</t>
  </si>
  <si>
    <t>C4835</t>
  </si>
  <si>
    <t>FUR-TA-10004442</t>
  </si>
  <si>
    <t>Riverside Furniture Stanwyck Manor Table Series</t>
  </si>
  <si>
    <t>S219</t>
  </si>
  <si>
    <t>O1000344</t>
  </si>
  <si>
    <t>OFF-FA-10000611</t>
  </si>
  <si>
    <t>Binder Clips by OIC</t>
  </si>
  <si>
    <t>S187</t>
  </si>
  <si>
    <t>O1000345</t>
  </si>
  <si>
    <t>C7942</t>
  </si>
  <si>
    <t>S966</t>
  </si>
  <si>
    <t>O1000346</t>
  </si>
  <si>
    <t>C6449</t>
  </si>
  <si>
    <t>OFF-PA-10004733</t>
  </si>
  <si>
    <t>Things To Do Today Spiral Book</t>
  </si>
  <si>
    <t>S890</t>
  </si>
  <si>
    <t>O1000347</t>
  </si>
  <si>
    <t>C4093</t>
  </si>
  <si>
    <t>TEC-AC-10001908</t>
  </si>
  <si>
    <t>Logitech Wireless Headset h800</t>
  </si>
  <si>
    <t>S519</t>
  </si>
  <si>
    <t>O1000348</t>
  </si>
  <si>
    <t>C3748</t>
  </si>
  <si>
    <t>OFF-BI-10004817</t>
  </si>
  <si>
    <t>GBC Personal VeloBind Strips</t>
  </si>
  <si>
    <t>O1000349</t>
  </si>
  <si>
    <t>C5771</t>
  </si>
  <si>
    <t>OFF-FA-10001332</t>
  </si>
  <si>
    <t>Acco Banker's Clasps, 5 3/4"-Long</t>
  </si>
  <si>
    <t>O1000350</t>
  </si>
  <si>
    <t>C1492</t>
  </si>
  <si>
    <t>OFF-PA-10000029</t>
  </si>
  <si>
    <t>Xerox 224</t>
  </si>
  <si>
    <t>O1000351</t>
  </si>
  <si>
    <t>C9070</t>
  </si>
  <si>
    <t>OFF-ST-10000876</t>
  </si>
  <si>
    <t>Eldon Simplefile Box Office</t>
  </si>
  <si>
    <t>S528</t>
  </si>
  <si>
    <t>O1000352</t>
  </si>
  <si>
    <t>C1656</t>
  </si>
  <si>
    <t>TEC-AC-10001874</t>
  </si>
  <si>
    <t>Logitech Wireless Anywhere Mouse MX for PC and Mac</t>
  </si>
  <si>
    <t>S329</t>
  </si>
  <si>
    <t>O1000353</t>
  </si>
  <si>
    <t>C4596</t>
  </si>
  <si>
    <t>S399</t>
  </si>
  <si>
    <t>O1000354</t>
  </si>
  <si>
    <t>C3227</t>
  </si>
  <si>
    <t>TEC-AC-10003399</t>
  </si>
  <si>
    <t>Memorex Mini Travel Drive 64 GB USB 2.0 Flash Drive</t>
  </si>
  <si>
    <t>S998</t>
  </si>
  <si>
    <t>O1000355</t>
  </si>
  <si>
    <t>C8534</t>
  </si>
  <si>
    <t>TEC-PH-10000586</t>
  </si>
  <si>
    <t>AT&amp;T SB67148 SynJ</t>
  </si>
  <si>
    <t>S878</t>
  </si>
  <si>
    <t>O1000356</t>
  </si>
  <si>
    <t>C9707</t>
  </si>
  <si>
    <t>TEC-PH-10001835</t>
  </si>
  <si>
    <t>Jawbone JAMBOX Wireless Bluetooth Speaker</t>
  </si>
  <si>
    <t>S470</t>
  </si>
  <si>
    <t>O1000357</t>
  </si>
  <si>
    <t>C7403</t>
  </si>
  <si>
    <t>O1000358</t>
  </si>
  <si>
    <t>C6021</t>
  </si>
  <si>
    <t>OFF-AR-10002987</t>
  </si>
  <si>
    <t>Prismacolor Color Pencil Set</t>
  </si>
  <si>
    <t>O1000359</t>
  </si>
  <si>
    <t>C4312</t>
  </si>
  <si>
    <t>OFF-BI-10002764</t>
  </si>
  <si>
    <t>Recycled Pressboard Report Cover with Reinforced Top Hinge</t>
  </si>
  <si>
    <t>S320</t>
  </si>
  <si>
    <t>O1000360</t>
  </si>
  <si>
    <t>C2551</t>
  </si>
  <si>
    <t>OFF-PA-10000289</t>
  </si>
  <si>
    <t>Xerox 213</t>
  </si>
  <si>
    <t>S339</t>
  </si>
  <si>
    <t>O1000361</t>
  </si>
  <si>
    <t>C8790</t>
  </si>
  <si>
    <t>TEC-PH-10000576</t>
  </si>
  <si>
    <t>AT&amp;T 1080 Corded phone</t>
  </si>
  <si>
    <t>O1000362</t>
  </si>
  <si>
    <t>C6564</t>
  </si>
  <si>
    <t>TEC-PH-10001557</t>
  </si>
  <si>
    <t>Pyle PMP37LED</t>
  </si>
  <si>
    <t>S458</t>
  </si>
  <si>
    <t>O1000363</t>
  </si>
  <si>
    <t>OFF-AR-10000122</t>
  </si>
  <si>
    <t>Newell 314</t>
  </si>
  <si>
    <t>S138</t>
  </si>
  <si>
    <t>O1000364</t>
  </si>
  <si>
    <t>C1247</t>
  </si>
  <si>
    <t>OFF-BI-10003656</t>
  </si>
  <si>
    <t>Fellowes PB200 Plastic Comb Binding Machine</t>
  </si>
  <si>
    <t>O1000365</t>
  </si>
  <si>
    <t>C5516</t>
  </si>
  <si>
    <t>OFF-FA-10002780</t>
  </si>
  <si>
    <t>S672</t>
  </si>
  <si>
    <t>O1000366</t>
  </si>
  <si>
    <t>C3199</t>
  </si>
  <si>
    <t>OFF-LA-10002368</t>
  </si>
  <si>
    <t>Avery 479</t>
  </si>
  <si>
    <t>S441</t>
  </si>
  <si>
    <t>O1000367</t>
  </si>
  <si>
    <t>C5149</t>
  </si>
  <si>
    <t>TEC-PH-10000702</t>
  </si>
  <si>
    <t>Square Credit Card Reader, 4 1/2" x 4 1/2" x 1", White</t>
  </si>
  <si>
    <t>O1000368</t>
  </si>
  <si>
    <t>C9783</t>
  </si>
  <si>
    <t>FUR-FU-10004091</t>
  </si>
  <si>
    <t>Howard Miller 13" Diameter Goldtone Round Wall Clock</t>
  </si>
  <si>
    <t>S857</t>
  </si>
  <si>
    <t>O1000369</t>
  </si>
  <si>
    <t>C7887</t>
  </si>
  <si>
    <t>OFF-AP-10000240</t>
  </si>
  <si>
    <t>Belkin F9G930V10-GRY 9 Outlet Surge</t>
  </si>
  <si>
    <t>O1000370</t>
  </si>
  <si>
    <t>C1401</t>
  </si>
  <si>
    <t>O1000371</t>
  </si>
  <si>
    <t>C2694</t>
  </si>
  <si>
    <t>FUR-CH-10002602</t>
  </si>
  <si>
    <t>DMI Arturo Collection Mission-style Design Wood Chair</t>
  </si>
  <si>
    <t>S695</t>
  </si>
  <si>
    <t>O1000372</t>
  </si>
  <si>
    <t>C5585</t>
  </si>
  <si>
    <t>OFF-AR-10000657</t>
  </si>
  <si>
    <t>Binney &amp; Smith inkTank Desk Highlighter, Chisel Tip, Yellow, 12/Box</t>
  </si>
  <si>
    <t>O1000373</t>
  </si>
  <si>
    <t>C6553</t>
  </si>
  <si>
    <t>OFF-AR-10001868</t>
  </si>
  <si>
    <t>Prang Dustless Chalk Sticks</t>
  </si>
  <si>
    <t>S567</t>
  </si>
  <si>
    <t>O1000374</t>
  </si>
  <si>
    <t>C6375</t>
  </si>
  <si>
    <t>S740</t>
  </si>
  <si>
    <t>O1000375</t>
  </si>
  <si>
    <t>C2677</t>
  </si>
  <si>
    <t>OFF-EN-10000056</t>
  </si>
  <si>
    <t>Cameo Buff Policy Envelopes</t>
  </si>
  <si>
    <t>S804</t>
  </si>
  <si>
    <t>O1000376</t>
  </si>
  <si>
    <t>C3760</t>
  </si>
  <si>
    <t>OFF-FA-10000134</t>
  </si>
  <si>
    <t>Advantus Push Pins, Aluminum Head</t>
  </si>
  <si>
    <t>O1000377</t>
  </si>
  <si>
    <t>C3869</t>
  </si>
  <si>
    <t>TEC-AC-10000474</t>
  </si>
  <si>
    <t>Kensington Expert Mouse Optical USB Trackball for PC or Mac</t>
  </si>
  <si>
    <t>O1000378</t>
  </si>
  <si>
    <t>C2973</t>
  </si>
  <si>
    <t>TEC-MA-10002859</t>
  </si>
  <si>
    <t>Ativa MDM8000 8-Sheet Micro-Cut Shredder</t>
  </si>
  <si>
    <t>O1000379</t>
  </si>
  <si>
    <t>C8727</t>
  </si>
  <si>
    <t>FUR-FU-10004017</t>
  </si>
  <si>
    <t>Executive Impressions 13" Chairman Wall Clock</t>
  </si>
  <si>
    <t>S394</t>
  </si>
  <si>
    <t>O1000380</t>
  </si>
  <si>
    <t>C7570</t>
  </si>
  <si>
    <t>OFF-BI-10003638</t>
  </si>
  <si>
    <t>GBC Durable Plastic Covers</t>
  </si>
  <si>
    <t>S751</t>
  </si>
  <si>
    <t>O1000381</t>
  </si>
  <si>
    <t>C6714</t>
  </si>
  <si>
    <t>OFF-PA-10001569</t>
  </si>
  <si>
    <t>Xerox 232</t>
  </si>
  <si>
    <t>O1000382</t>
  </si>
  <si>
    <t>C5663</t>
  </si>
  <si>
    <t>FUR-FU-10000409</t>
  </si>
  <si>
    <t>GE 4 Foot Flourescent Tube, 40 Watt</t>
  </si>
  <si>
    <t>S273</t>
  </si>
  <si>
    <t>O1000383</t>
  </si>
  <si>
    <t>C8597</t>
  </si>
  <si>
    <t>FUR-TA-10001705</t>
  </si>
  <si>
    <t>Bush Advantage Collection Round Conference Table</t>
  </si>
  <si>
    <t>O1000384</t>
  </si>
  <si>
    <t>C7939</t>
  </si>
  <si>
    <t>S661</t>
  </si>
  <si>
    <t>O1000385</t>
  </si>
  <si>
    <t>C8056</t>
  </si>
  <si>
    <t>OFF-ST-10004634</t>
  </si>
  <si>
    <t>Personal Folder Holder, Ebony</t>
  </si>
  <si>
    <t>S548</t>
  </si>
  <si>
    <t>O1000386</t>
  </si>
  <si>
    <t>C2380</t>
  </si>
  <si>
    <t>OFF-BI-10002976</t>
  </si>
  <si>
    <t>ACCOHIDE Binder by Acco</t>
  </si>
  <si>
    <t>S971</t>
  </si>
  <si>
    <t>O1000387</t>
  </si>
  <si>
    <t>C9907</t>
  </si>
  <si>
    <t>OFF-ST-10002574</t>
  </si>
  <si>
    <t>SAFCO Commercial Wire Shelving, Black</t>
  </si>
  <si>
    <t>S775</t>
  </si>
  <si>
    <t>O1000388</t>
  </si>
  <si>
    <t>C2155</t>
  </si>
  <si>
    <t>OFF-BI-10004970</t>
  </si>
  <si>
    <t>ACCOHIDE 3-Ring Binder, Blue, 1"</t>
  </si>
  <si>
    <t>O1000389</t>
  </si>
  <si>
    <t>C8969</t>
  </si>
  <si>
    <t>OFF-EN-10004773</t>
  </si>
  <si>
    <t>S975</t>
  </si>
  <si>
    <t>O1000390</t>
  </si>
  <si>
    <t>C8045</t>
  </si>
  <si>
    <t>S387</t>
  </si>
  <si>
    <t>O1000391</t>
  </si>
  <si>
    <t>C5359</t>
  </si>
  <si>
    <t>S910</t>
  </si>
  <si>
    <t>O1000392</t>
  </si>
  <si>
    <t>C8293</t>
  </si>
  <si>
    <t>FUR-FU-10002191</t>
  </si>
  <si>
    <t>G.E. Halogen Desk Lamp Bulbs</t>
  </si>
  <si>
    <t>S209</t>
  </si>
  <si>
    <t>O1000393</t>
  </si>
  <si>
    <t>C9716</t>
  </si>
  <si>
    <t>S832</t>
  </si>
  <si>
    <t>O1000394</t>
  </si>
  <si>
    <t>C4084</t>
  </si>
  <si>
    <t>OFF-BI-10004876</t>
  </si>
  <si>
    <t>Wilson Jones Suede Grain Vinyl Binders</t>
  </si>
  <si>
    <t>S222</t>
  </si>
  <si>
    <t>O1000395</t>
  </si>
  <si>
    <t>C9132</t>
  </si>
  <si>
    <t>S644</t>
  </si>
  <si>
    <t>O1000396</t>
  </si>
  <si>
    <t>C4450</t>
  </si>
  <si>
    <t>FUR-CH-10003973</t>
  </si>
  <si>
    <t>GuestStacker Chair with Chrome Finish Legs</t>
  </si>
  <si>
    <t>O1000397</t>
  </si>
  <si>
    <t>C9509</t>
  </si>
  <si>
    <t>FUR-FU-10003708</t>
  </si>
  <si>
    <t>Tenex Traditional Chairmats for Medium Pile Carpet, Standard Lip, 36" x 48"</t>
  </si>
  <si>
    <t>S623</t>
  </si>
  <si>
    <t>O1000398</t>
  </si>
  <si>
    <t>C1609</t>
  </si>
  <si>
    <t>OFF-AP-10001391</t>
  </si>
  <si>
    <t>Kensington 6 Outlet MasterPiece HOMEOFFICE Power Control Center</t>
  </si>
  <si>
    <t>O1000399</t>
  </si>
  <si>
    <t>C7277</t>
  </si>
  <si>
    <t>OFF-AR-10002221</t>
  </si>
  <si>
    <t>12 Colored Short Pencils</t>
  </si>
  <si>
    <t>O1000400</t>
  </si>
  <si>
    <t>C2865</t>
  </si>
  <si>
    <t>OFF-PA-10003543</t>
  </si>
  <si>
    <t>Xerox 1985</t>
  </si>
  <si>
    <t>S855</t>
  </si>
  <si>
    <t>O1000401</t>
  </si>
  <si>
    <t>C5839</t>
  </si>
  <si>
    <t>TEC-PH-10004531</t>
  </si>
  <si>
    <t>AT&amp;T CL2909</t>
  </si>
  <si>
    <t>O1000402</t>
  </si>
  <si>
    <t>C1940</t>
  </si>
  <si>
    <t>FUR-CH-10004886</t>
  </si>
  <si>
    <t>Bevis Steel Folding Chairs</t>
  </si>
  <si>
    <t>S430</t>
  </si>
  <si>
    <t>O1000403</t>
  </si>
  <si>
    <t>C7562</t>
  </si>
  <si>
    <t>OFF-AR-10003504</t>
  </si>
  <si>
    <t>Newell 347</t>
  </si>
  <si>
    <t>S549</t>
  </si>
  <si>
    <t>O1000404</t>
  </si>
  <si>
    <t>C2794</t>
  </si>
  <si>
    <t>OFF-BI-10001525</t>
  </si>
  <si>
    <t>Acco Pressboard Covers with Storage Hooks, 14 7/8" x 11", Executive Red</t>
  </si>
  <si>
    <t>O1000405</t>
  </si>
  <si>
    <t>C3781</t>
  </si>
  <si>
    <t>S100</t>
  </si>
  <si>
    <t>O1000406</t>
  </si>
  <si>
    <t>C8990</t>
  </si>
  <si>
    <t>OFF-AR-10004752</t>
  </si>
  <si>
    <t>Blackstonian Pencils</t>
  </si>
  <si>
    <t>S483</t>
  </si>
  <si>
    <t>O1000407</t>
  </si>
  <si>
    <t>C5788</t>
  </si>
  <si>
    <t>OFF-BI-10001628</t>
  </si>
  <si>
    <t>Acco Data Flex Cable Posts For Top &amp; Bottom Load Binders, 6" Capacity</t>
  </si>
  <si>
    <t>S758</t>
  </si>
  <si>
    <t>O1000408</t>
  </si>
  <si>
    <t>C8353</t>
  </si>
  <si>
    <t>OFF-LA-10000452</t>
  </si>
  <si>
    <t>Avery 488</t>
  </si>
  <si>
    <t>S894</t>
  </si>
  <si>
    <t>O1000409</t>
  </si>
  <si>
    <t>C9768</t>
  </si>
  <si>
    <t>OFF-LA-10001613</t>
  </si>
  <si>
    <t>Avery File Folder Labels</t>
  </si>
  <si>
    <t>S260</t>
  </si>
  <si>
    <t>O1000410</t>
  </si>
  <si>
    <t>C6081</t>
  </si>
  <si>
    <t>OFF-ST-10000877</t>
  </si>
  <si>
    <t>Recycled Steel Personal File for Standard File Folders</t>
  </si>
  <si>
    <t>S634</t>
  </si>
  <si>
    <t>O1000411</t>
  </si>
  <si>
    <t>C2432</t>
  </si>
  <si>
    <t>OFF-ST-10001128</t>
  </si>
  <si>
    <t>Carina Mini System Audio Rack, Model AR050B</t>
  </si>
  <si>
    <t>S265</t>
  </si>
  <si>
    <t>O1000412</t>
  </si>
  <si>
    <t>OFF-ST-10002214</t>
  </si>
  <si>
    <t>X-Rack File for Hanging Folders</t>
  </si>
  <si>
    <t>S208</t>
  </si>
  <si>
    <t>O1000413</t>
  </si>
  <si>
    <t>C2191</t>
  </si>
  <si>
    <t>S773</t>
  </si>
  <si>
    <t>O1000414</t>
  </si>
  <si>
    <t>TEC-PH-10001459</t>
  </si>
  <si>
    <t>Samsung Galaxy Mega 6.3</t>
  </si>
  <si>
    <t>O1000415</t>
  </si>
  <si>
    <t>C2882</t>
  </si>
  <si>
    <t>FUR-CH-10001394</t>
  </si>
  <si>
    <t>Global Leather Executive Chair</t>
  </si>
  <si>
    <t>S590</t>
  </si>
  <si>
    <t>O1000416</t>
  </si>
  <si>
    <t>C8131</t>
  </si>
  <si>
    <t>O1000417</t>
  </si>
  <si>
    <t>C5972</t>
  </si>
  <si>
    <t>FUR-FU-10001424</t>
  </si>
  <si>
    <t>Dax Clear Box Frame</t>
  </si>
  <si>
    <t>S223</t>
  </si>
  <si>
    <t>O1000418</t>
  </si>
  <si>
    <t>C4410</t>
  </si>
  <si>
    <t>S298</t>
  </si>
  <si>
    <t>O1000419</t>
  </si>
  <si>
    <t>C2118</t>
  </si>
  <si>
    <t>OFF-ST-10000798</t>
  </si>
  <si>
    <t>2300 Heavy-Duty Transfer File Systems by Perma</t>
  </si>
  <si>
    <t>S495</t>
  </si>
  <si>
    <t>O1000420</t>
  </si>
  <si>
    <t>C4441</t>
  </si>
  <si>
    <t>TEC-PH-10000376</t>
  </si>
  <si>
    <t>Square Credit Card Reader</t>
  </si>
  <si>
    <t>O1000421</t>
  </si>
  <si>
    <t>C8983</t>
  </si>
  <si>
    <t>OFF-AR-10004010</t>
  </si>
  <si>
    <t>Hunt Boston Vacuum Mount KS Pencil Sharpener</t>
  </si>
  <si>
    <t>S994</t>
  </si>
  <si>
    <t>O1000422</t>
  </si>
  <si>
    <t>C5261</t>
  </si>
  <si>
    <t>O1000423</t>
  </si>
  <si>
    <t>C5524</t>
  </si>
  <si>
    <t>TEC-AC-10002550</t>
  </si>
  <si>
    <t>Maxell 4.7GB DVD-RW 3/Pack</t>
  </si>
  <si>
    <t>S867</t>
  </si>
  <si>
    <t>O1000424</t>
  </si>
  <si>
    <t>C8424</t>
  </si>
  <si>
    <t>O1000425</t>
  </si>
  <si>
    <t>C9407</t>
  </si>
  <si>
    <t>TEC-CO-10004202</t>
  </si>
  <si>
    <t>Copiers</t>
  </si>
  <si>
    <t>Brother DCP1000 Digital 3 in 1 Multifunction Machine</t>
  </si>
  <si>
    <t>O1000426</t>
  </si>
  <si>
    <t>C9223</t>
  </si>
  <si>
    <t>OFF-BI-10003981</t>
  </si>
  <si>
    <t>Avery Durable Plastic 1" Binders</t>
  </si>
  <si>
    <t>S964</t>
  </si>
  <si>
    <t>O1000427</t>
  </si>
  <si>
    <t>C5419</t>
  </si>
  <si>
    <t>OFF-BI-10004828</t>
  </si>
  <si>
    <t>GBC Poly Designer Binding Covers</t>
  </si>
  <si>
    <t>S685</t>
  </si>
  <si>
    <t>O1000428</t>
  </si>
  <si>
    <t>C6781</t>
  </si>
  <si>
    <t>OFF-LA-10002195</t>
  </si>
  <si>
    <t>Avery 481</t>
  </si>
  <si>
    <t>S131</t>
  </si>
  <si>
    <t>O1000429</t>
  </si>
  <si>
    <t>C2954</t>
  </si>
  <si>
    <t>S407</t>
  </si>
  <si>
    <t>O1000430</t>
  </si>
  <si>
    <t>C4119</t>
  </si>
  <si>
    <t>FUR-FU-10001852</t>
  </si>
  <si>
    <t>Eldon Regeneration Recycled Desk Accessories, Smoke</t>
  </si>
  <si>
    <t>S180</t>
  </si>
  <si>
    <t>O1000431</t>
  </si>
  <si>
    <t>C6570</t>
  </si>
  <si>
    <t>OFF-AP-10000696</t>
  </si>
  <si>
    <t>Holmes Odor Grabber</t>
  </si>
  <si>
    <t>S255</t>
  </si>
  <si>
    <t>O1000432</t>
  </si>
  <si>
    <t>C9285</t>
  </si>
  <si>
    <t>O1000433</t>
  </si>
  <si>
    <t>C6970</t>
  </si>
  <si>
    <t>OFF-BI-10001294</t>
  </si>
  <si>
    <t>Fellowes Binding Cases</t>
  </si>
  <si>
    <t>S784</t>
  </si>
  <si>
    <t>O1000434</t>
  </si>
  <si>
    <t>C2798</t>
  </si>
  <si>
    <t>OFF-FA-10000840</t>
  </si>
  <si>
    <t>OIC Thumb-Tacks</t>
  </si>
  <si>
    <t>S319</t>
  </si>
  <si>
    <t>O1000435</t>
  </si>
  <si>
    <t>C8189</t>
  </si>
  <si>
    <t>O1000436</t>
  </si>
  <si>
    <t>C7621</t>
  </si>
  <si>
    <t>OFF-AR-10003651</t>
  </si>
  <si>
    <t>Newell 350</t>
  </si>
  <si>
    <t>S186</t>
  </si>
  <si>
    <t>O1000437</t>
  </si>
  <si>
    <t>C4133</t>
  </si>
  <si>
    <t>S409</t>
  </si>
  <si>
    <t>O1000438</t>
  </si>
  <si>
    <t>C5348</t>
  </si>
  <si>
    <t>OFF-PA-10000474</t>
  </si>
  <si>
    <t>Easy-staple paper</t>
  </si>
  <si>
    <t>S417</t>
  </si>
  <si>
    <t>O1000439</t>
  </si>
  <si>
    <t>C4529</t>
  </si>
  <si>
    <t>OFF-PA-10001363</t>
  </si>
  <si>
    <t>Xerox 1933</t>
  </si>
  <si>
    <t>S833</t>
  </si>
  <si>
    <t>O1000440</t>
  </si>
  <si>
    <t>C7057</t>
  </si>
  <si>
    <t>OFF-PA-10003016</t>
  </si>
  <si>
    <t>Adams "While You Were Out" Message Pads</t>
  </si>
  <si>
    <t>O1000441</t>
  </si>
  <si>
    <t>C7230</t>
  </si>
  <si>
    <t>OFF-ST-10003442</t>
  </si>
  <si>
    <t>Eldon Portable Mobile Manager</t>
  </si>
  <si>
    <t>S527</t>
  </si>
  <si>
    <t>O1000442</t>
  </si>
  <si>
    <t>C5286</t>
  </si>
  <si>
    <t>OFF-AR-10001897</t>
  </si>
  <si>
    <t>Model L Table or Wall-Mount Pencil Sharpener</t>
  </si>
  <si>
    <t>O1000443</t>
  </si>
  <si>
    <t>OFF-BI-10003684</t>
  </si>
  <si>
    <t>Wilson Jones Legal Size Ring Binders</t>
  </si>
  <si>
    <t>S800</t>
  </si>
  <si>
    <t>O1000444</t>
  </si>
  <si>
    <t>C5885</t>
  </si>
  <si>
    <t>S330</t>
  </si>
  <si>
    <t>O1000445</t>
  </si>
  <si>
    <t>C3480</t>
  </si>
  <si>
    <t>FUR-CH-10004675</t>
  </si>
  <si>
    <t>Lifetime Advantage Folding Chairs, 4/Carton</t>
  </si>
  <si>
    <t>O1000446</t>
  </si>
  <si>
    <t>C6942</t>
  </si>
  <si>
    <t>S846</t>
  </si>
  <si>
    <t>O1000447</t>
  </si>
  <si>
    <t>C6161</t>
  </si>
  <si>
    <t>OFF-AR-10002578</t>
  </si>
  <si>
    <t>Newell 335</t>
  </si>
  <si>
    <t>S184</t>
  </si>
  <si>
    <t>O1000448</t>
  </si>
  <si>
    <t>C4104</t>
  </si>
  <si>
    <t>OFF-BI-10001078</t>
  </si>
  <si>
    <t>Acco PRESSTEX Data Binder with Storage Hooks, Dark Blue, 14 7/8" X 11"</t>
  </si>
  <si>
    <t>S251</t>
  </si>
  <si>
    <t>O1000449</t>
  </si>
  <si>
    <t>S778</t>
  </si>
  <si>
    <t>O1000450</t>
  </si>
  <si>
    <t>C5430</t>
  </si>
  <si>
    <t>S657</t>
  </si>
  <si>
    <t>O1000451</t>
  </si>
  <si>
    <t>C6265</t>
  </si>
  <si>
    <t>S969</t>
  </si>
  <si>
    <t>O1000452</t>
  </si>
  <si>
    <t>C1172</t>
  </si>
  <si>
    <t>O1000453</t>
  </si>
  <si>
    <t>C1271</t>
  </si>
  <si>
    <t>TEC-CO-10001449</t>
  </si>
  <si>
    <t>Hewlett Packard LaserJet 3310 Copier</t>
  </si>
  <si>
    <t>O1000454</t>
  </si>
  <si>
    <t>C3183</t>
  </si>
  <si>
    <t>S949</t>
  </si>
  <si>
    <t>O1000455</t>
  </si>
  <si>
    <t>C4254</t>
  </si>
  <si>
    <t>OFF-LA-10003121</t>
  </si>
  <si>
    <t>Avery 506</t>
  </si>
  <si>
    <t>S885</t>
  </si>
  <si>
    <t>O1000456</t>
  </si>
  <si>
    <t>C2172</t>
  </si>
  <si>
    <t>O1000457</t>
  </si>
  <si>
    <t>C3908</t>
  </si>
  <si>
    <t>OFF-ST-10000107</t>
  </si>
  <si>
    <t>Fellowes Super Stor/Drawer</t>
  </si>
  <si>
    <t>S486</t>
  </si>
  <si>
    <t>O1000458</t>
  </si>
  <si>
    <t>C4013</t>
  </si>
  <si>
    <t>TEC-AC-10000109</t>
  </si>
  <si>
    <t>Sony Micro Vault Click 16 GB USB 2.0 Flash Drive</t>
  </si>
  <si>
    <t>S808</t>
  </si>
  <si>
    <t>O1000459</t>
  </si>
  <si>
    <t>C3752</t>
  </si>
  <si>
    <t>O1000460</t>
  </si>
  <si>
    <t>C1874</t>
  </si>
  <si>
    <t>FUR-BO-10004467</t>
  </si>
  <si>
    <t>Bestar Classic Bookcase</t>
  </si>
  <si>
    <t>O1000461</t>
  </si>
  <si>
    <t>C7451</t>
  </si>
  <si>
    <t>FUR-CH-10002320</t>
  </si>
  <si>
    <t>Hon Pagoda Stacking Chairs</t>
  </si>
  <si>
    <t>O1000462</t>
  </si>
  <si>
    <t>C5467</t>
  </si>
  <si>
    <t>OFF-AR-10000716</t>
  </si>
  <si>
    <t>DIXON Ticonderoga Erasable Checking Pencils</t>
  </si>
  <si>
    <t>O1000463</t>
  </si>
  <si>
    <t>C4256</t>
  </si>
  <si>
    <t>OFF-EN-10001434</t>
  </si>
  <si>
    <t>Strathmore #10 Envelopes, Ultimate White</t>
  </si>
  <si>
    <t>S342</t>
  </si>
  <si>
    <t>O1000464</t>
  </si>
  <si>
    <t>C8514</t>
  </si>
  <si>
    <t>OFF-PA-10004353</t>
  </si>
  <si>
    <t>Southworth 25% Cotton Premium Laser Paper and Envelopes</t>
  </si>
  <si>
    <t>O1000465</t>
  </si>
  <si>
    <t>C9055</t>
  </si>
  <si>
    <t>OFF-SU-10004737</t>
  </si>
  <si>
    <t>Acme Design Stainless Steel Bent Scissors</t>
  </si>
  <si>
    <t>S735</t>
  </si>
  <si>
    <t>O1000466</t>
  </si>
  <si>
    <t>C8183</t>
  </si>
  <si>
    <t>TEC-PH-10001817</t>
  </si>
  <si>
    <t>Wilson Electronics DB Pro Signal Booster</t>
  </si>
  <si>
    <t>S659</t>
  </si>
  <si>
    <t>O1000467</t>
  </si>
  <si>
    <t>C9742</t>
  </si>
  <si>
    <t>TEC-PH-10003988</t>
  </si>
  <si>
    <t>LF Elite 3D Dazzle Designer Hard Case Cover, Lf Stylus Pen and Wiper For Apple Iphone 5c Mini Lite</t>
  </si>
  <si>
    <t>O1000468</t>
  </si>
  <si>
    <t>C9709</t>
  </si>
  <si>
    <t>FUR-CH-10000015</t>
  </si>
  <si>
    <t>Hon Multipurpose Stacking Arm Chairs</t>
  </si>
  <si>
    <t>O1000469</t>
  </si>
  <si>
    <t>C4798</t>
  </si>
  <si>
    <t>FUR-FU-10000723</t>
  </si>
  <si>
    <t>Deflect-o EconoMat Studded, No Bevel Mat for Low Pile Carpeting</t>
  </si>
  <si>
    <t>O1000470</t>
  </si>
  <si>
    <t>C8740</t>
  </si>
  <si>
    <t>OFF-AP-10004249</t>
  </si>
  <si>
    <t>Staple holder</t>
  </si>
  <si>
    <t>O1000471</t>
  </si>
  <si>
    <t>C8744</t>
  </si>
  <si>
    <t>OFF-BI-10002026</t>
  </si>
  <si>
    <t>Avery Arch Ring Binders</t>
  </si>
  <si>
    <t>S185</t>
  </si>
  <si>
    <t>O1000472</t>
  </si>
  <si>
    <t>C6367</t>
  </si>
  <si>
    <t>S597</t>
  </si>
  <si>
    <t>O1000473</t>
  </si>
  <si>
    <t>C9364</t>
  </si>
  <si>
    <t>TEC-AC-10001013</t>
  </si>
  <si>
    <t>Logitech ClearChat Comfort/USB Headset H390</t>
  </si>
  <si>
    <t>O1000474</t>
  </si>
  <si>
    <t>TEC-AC-10001465</t>
  </si>
  <si>
    <t>SanDisk Cruzer 64 GB USB Flash Drive</t>
  </si>
  <si>
    <t>S313</t>
  </si>
  <si>
    <t>O1000475</t>
  </si>
  <si>
    <t>C7793</t>
  </si>
  <si>
    <t>TEC-PH-10002597</t>
  </si>
  <si>
    <t>Xblue XB-1670-86 X16 Small Office Telephone - Titanium</t>
  </si>
  <si>
    <t>S290</t>
  </si>
  <si>
    <t>O1000476</t>
  </si>
  <si>
    <t>C1615</t>
  </si>
  <si>
    <t>O1000477</t>
  </si>
  <si>
    <t>FUR-TA-10002228</t>
  </si>
  <si>
    <t>Bevis Traditional Conference Table Top, Plinth Base</t>
  </si>
  <si>
    <t>S730</t>
  </si>
  <si>
    <t>O1000478</t>
  </si>
  <si>
    <t>C9931</t>
  </si>
  <si>
    <t>S396</t>
  </si>
  <si>
    <t>O1000479</t>
  </si>
  <si>
    <t>C3137</t>
  </si>
  <si>
    <t>OFF-BI-10004519</t>
  </si>
  <si>
    <t>GBC DocuBind P100 Manual Binding Machine</t>
  </si>
  <si>
    <t>O1000480</t>
  </si>
  <si>
    <t>C2661</t>
  </si>
  <si>
    <t>OFF-FA-10002815</t>
  </si>
  <si>
    <t>O1000481</t>
  </si>
  <si>
    <t>C5043</t>
  </si>
  <si>
    <t>O1000482</t>
  </si>
  <si>
    <t>C5216</t>
  </si>
  <si>
    <t>O1000483</t>
  </si>
  <si>
    <t>C6584</t>
  </si>
  <si>
    <t>TEC-AC-10002800</t>
  </si>
  <si>
    <t>Plantronics Audio 478 Stereo USB Headset</t>
  </si>
  <si>
    <t>S410</t>
  </si>
  <si>
    <t>O1000484</t>
  </si>
  <si>
    <t>C2622</t>
  </si>
  <si>
    <t>FUR-FU-10004306</t>
  </si>
  <si>
    <t>Electrix Halogen Magnifier Lamp</t>
  </si>
  <si>
    <t>O1000485</t>
  </si>
  <si>
    <t>O1000486</t>
  </si>
  <si>
    <t>C2765</t>
  </si>
  <si>
    <t>TEC-AC-10002217</t>
  </si>
  <si>
    <t>Imation Clip USB flash drive - 8 GB</t>
  </si>
  <si>
    <t>S669</t>
  </si>
  <si>
    <t>O1000487</t>
  </si>
  <si>
    <t>C7654</t>
  </si>
  <si>
    <t>S246</t>
  </si>
  <si>
    <t>O1000488</t>
  </si>
  <si>
    <t>FUR-FU-10000308</t>
  </si>
  <si>
    <t>Deflect-o Glass Clear Studded Chair Mats</t>
  </si>
  <si>
    <t>S781</t>
  </si>
  <si>
    <t>O1000489</t>
  </si>
  <si>
    <t>C2651</t>
  </si>
  <si>
    <t>OFF-PA-10001526</t>
  </si>
  <si>
    <t>Xerox 1949</t>
  </si>
  <si>
    <t>O1000490</t>
  </si>
  <si>
    <t>C4802</t>
  </si>
  <si>
    <t>O1000491</t>
  </si>
  <si>
    <t>C4895</t>
  </si>
  <si>
    <t>TEC-PH-10002885</t>
  </si>
  <si>
    <t>Apple iPhone 5</t>
  </si>
  <si>
    <t>S408</t>
  </si>
  <si>
    <t>O1000492</t>
  </si>
  <si>
    <t>C8954</t>
  </si>
  <si>
    <t>OFF-BI-10001249</t>
  </si>
  <si>
    <t>Avery Heavy-Duty EZD View Binder with Locking Rings</t>
  </si>
  <si>
    <t>S871</t>
  </si>
  <si>
    <t>O1000493</t>
  </si>
  <si>
    <t>C5700</t>
  </si>
  <si>
    <t>S117</t>
  </si>
  <si>
    <t>O1000494</t>
  </si>
  <si>
    <t>C7264</t>
  </si>
  <si>
    <t>FUR-FU-10000076</t>
  </si>
  <si>
    <t>24-Hour Round Wall Clock</t>
  </si>
  <si>
    <t>O1000495</t>
  </si>
  <si>
    <t>C9624</t>
  </si>
  <si>
    <t>FUR-FU-10003489</t>
  </si>
  <si>
    <t>Contemporary Borderless Frame</t>
  </si>
  <si>
    <t>O1000496</t>
  </si>
  <si>
    <t>C9892</t>
  </si>
  <si>
    <t>OFF-AP-10000124</t>
  </si>
  <si>
    <t>Acco 6 Outlet Guardian Basic Surge Suppressor</t>
  </si>
  <si>
    <t>S977</t>
  </si>
  <si>
    <t>O1000497</t>
  </si>
  <si>
    <t>C6377</t>
  </si>
  <si>
    <t>OFF-AR-10004511</t>
  </si>
  <si>
    <t>Sanford Colorific Scented Colored Pencils, 12/Pack</t>
  </si>
  <si>
    <t>S192</t>
  </si>
  <si>
    <t>O1000498</t>
  </si>
  <si>
    <t>C8665</t>
  </si>
  <si>
    <t>O1000499</t>
  </si>
  <si>
    <t>C1941</t>
  </si>
  <si>
    <t>S228</t>
  </si>
  <si>
    <t>O1000500</t>
  </si>
  <si>
    <t>C7874</t>
  </si>
  <si>
    <t>TEC-AC-10004227</t>
  </si>
  <si>
    <t>SanDisk Ultra 16 GB MicroSDHC Class 10 Memory Card</t>
  </si>
  <si>
    <t>O1000501</t>
  </si>
  <si>
    <t>C8693</t>
  </si>
  <si>
    <t>S247</t>
  </si>
  <si>
    <t>O1000502</t>
  </si>
  <si>
    <t>C4296</t>
  </si>
  <si>
    <t>O1000503</t>
  </si>
  <si>
    <t>C3820</t>
  </si>
  <si>
    <t>TEC-MA-10003176</t>
  </si>
  <si>
    <t>Okidata B400 Printer</t>
  </si>
  <si>
    <t>S750</t>
  </si>
  <si>
    <t>O1000504</t>
  </si>
  <si>
    <t>C2100</t>
  </si>
  <si>
    <t>FUR-CH-10003396</t>
  </si>
  <si>
    <t>Global Deluxe Steno Chair</t>
  </si>
  <si>
    <t>S120</t>
  </si>
  <si>
    <t>O1000505</t>
  </si>
  <si>
    <t>C8852</t>
  </si>
  <si>
    <t>S655</t>
  </si>
  <si>
    <t>O1000506</t>
  </si>
  <si>
    <t>C4432</t>
  </si>
  <si>
    <t>S906</t>
  </si>
  <si>
    <t>O1000507</t>
  </si>
  <si>
    <t>C3030</t>
  </si>
  <si>
    <t>OFF-BI-10000977</t>
  </si>
  <si>
    <t>Ibico Plastic Spiral Binding Combs</t>
  </si>
  <si>
    <t>S829</t>
  </si>
  <si>
    <t>O1000508</t>
  </si>
  <si>
    <t>C8236</t>
  </si>
  <si>
    <t>OFF-BI-10001071</t>
  </si>
  <si>
    <t>GBC ProClick Punch Binding System</t>
  </si>
  <si>
    <t>S141</t>
  </si>
  <si>
    <t>O1000509</t>
  </si>
  <si>
    <t>C8933</t>
  </si>
  <si>
    <t>OFF-BI-10003925</t>
  </si>
  <si>
    <t>Fellowes PB300 Plastic Comb Binding Machine</t>
  </si>
  <si>
    <t>S424</t>
  </si>
  <si>
    <t>O1000510</t>
  </si>
  <si>
    <t>C1783</t>
  </si>
  <si>
    <t>OFF-EN-10003134</t>
  </si>
  <si>
    <t>S119</t>
  </si>
  <si>
    <t>O1000511</t>
  </si>
  <si>
    <t>C5722</t>
  </si>
  <si>
    <t>OFF-PA-10001560</t>
  </si>
  <si>
    <t>Adams Telephone Message Books, 5 1/4” x 11”</t>
  </si>
  <si>
    <t>S481</t>
  </si>
  <si>
    <t>O1000512</t>
  </si>
  <si>
    <t>C4454</t>
  </si>
  <si>
    <t>OFF-PA-10003022</t>
  </si>
  <si>
    <t>Xerox 1992</t>
  </si>
  <si>
    <t>O1000513</t>
  </si>
  <si>
    <t>C4354</t>
  </si>
  <si>
    <t>TEC-PH-10001530</t>
  </si>
  <si>
    <t>Plantronics Voyager Pro Legend</t>
  </si>
  <si>
    <t>O1000514</t>
  </si>
  <si>
    <t>C2577</t>
  </si>
  <si>
    <t>S843</t>
  </si>
  <si>
    <t>O1000515</t>
  </si>
  <si>
    <t>C5226</t>
  </si>
  <si>
    <t>O1000516</t>
  </si>
  <si>
    <t>C3002</t>
  </si>
  <si>
    <t>S767</t>
  </si>
  <si>
    <t>O1000517</t>
  </si>
  <si>
    <t>TEC-PH-10002660</t>
  </si>
  <si>
    <t>Nortel Networks T7316 E Nt8 B27</t>
  </si>
  <si>
    <t>S367</t>
  </si>
  <si>
    <t>O1000518</t>
  </si>
  <si>
    <t>C6530</t>
  </si>
  <si>
    <t>TEC-PH-10003171</t>
  </si>
  <si>
    <t>Plantronics Encore H101 Dual Earpieces Headset</t>
  </si>
  <si>
    <t>S703</t>
  </si>
  <si>
    <t>O1000519</t>
  </si>
  <si>
    <t>C8866</t>
  </si>
  <si>
    <t>OFF-AP-10002118</t>
  </si>
  <si>
    <t>1.7 Cubic Foot Compact "Cube" Office Refrigerators</t>
  </si>
  <si>
    <t>S115</t>
  </si>
  <si>
    <t>O1000520</t>
  </si>
  <si>
    <t>C8841</t>
  </si>
  <si>
    <t>OFF-AR-10001246</t>
  </si>
  <si>
    <t>Newell 317</t>
  </si>
  <si>
    <t>S326</t>
  </si>
  <si>
    <t>O1000521</t>
  </si>
  <si>
    <t>C9622</t>
  </si>
  <si>
    <t>OFF-BI-10000829</t>
  </si>
  <si>
    <t>O1000522</t>
  </si>
  <si>
    <t>C3095</t>
  </si>
  <si>
    <t>OFF-BI-10000848</t>
  </si>
  <si>
    <t>Angle-D Ring Binders</t>
  </si>
  <si>
    <t>O1000523</t>
  </si>
  <si>
    <t>C3821</t>
  </si>
  <si>
    <t>OFF-PA-10003177</t>
  </si>
  <si>
    <t>Xerox 1999</t>
  </si>
  <si>
    <t>O1000524</t>
  </si>
  <si>
    <t>C1115</t>
  </si>
  <si>
    <t>OFF-SU-10003002</t>
  </si>
  <si>
    <t>Letter Slitter</t>
  </si>
  <si>
    <t>O1000525</t>
  </si>
  <si>
    <t>C6335</t>
  </si>
  <si>
    <t>TEC-PH-10003092</t>
  </si>
  <si>
    <t>Motorola L804</t>
  </si>
  <si>
    <t>S629</t>
  </si>
  <si>
    <t>O1000526</t>
  </si>
  <si>
    <t>C9574</t>
  </si>
  <si>
    <t>OFF-PA-10002319</t>
  </si>
  <si>
    <t>Xerox 1944</t>
  </si>
  <si>
    <t>S129</t>
  </si>
  <si>
    <t>O1000527</t>
  </si>
  <si>
    <t>C7710</t>
  </si>
  <si>
    <t>FUR-FU-10002553</t>
  </si>
  <si>
    <t>Electrix Incandescent Magnifying Lamp, Black</t>
  </si>
  <si>
    <t>S579</t>
  </si>
  <si>
    <t>O1000528</t>
  </si>
  <si>
    <t>C3334</t>
  </si>
  <si>
    <t>OFF-AP-10001394</t>
  </si>
  <si>
    <t>Harmony Air Purifier</t>
  </si>
  <si>
    <t>O1000529</t>
  </si>
  <si>
    <t>C9738</t>
  </si>
  <si>
    <t>OFF-PA-10001471</t>
  </si>
  <si>
    <t>Strathmore Photo Frame Cards</t>
  </si>
  <si>
    <t>S839</t>
  </si>
  <si>
    <t>O1000530</t>
  </si>
  <si>
    <t>C2165</t>
  </si>
  <si>
    <t>FUR-BO-10000362</t>
  </si>
  <si>
    <t>Sauder Inglewood Library Bookcases</t>
  </si>
  <si>
    <t>O1000531</t>
  </si>
  <si>
    <t>C9697</t>
  </si>
  <si>
    <t>FUR-CH-10000988</t>
  </si>
  <si>
    <t>Hon Olson Stacker Stools</t>
  </si>
  <si>
    <t>S595</t>
  </si>
  <si>
    <t>O1000532</t>
  </si>
  <si>
    <t>C8851</t>
  </si>
  <si>
    <t>FUR-CH-10003981</t>
  </si>
  <si>
    <t>Global Commerce Series Low-Back Swivel/Tilt Chairs</t>
  </si>
  <si>
    <t>O1000533</t>
  </si>
  <si>
    <t>C6747</t>
  </si>
  <si>
    <t>S753</t>
  </si>
  <si>
    <t>O1000534</t>
  </si>
  <si>
    <t>C6044</t>
  </si>
  <si>
    <t>O1000535</t>
  </si>
  <si>
    <t>C5033</t>
  </si>
  <si>
    <t>OFF-ST-10001837</t>
  </si>
  <si>
    <t>SAFCO Mobile Desk Side File, Wire Frame</t>
  </si>
  <si>
    <t>O1000536</t>
  </si>
  <si>
    <t>TEC-PH-10000441</t>
  </si>
  <si>
    <t>VTech DS6151</t>
  </si>
  <si>
    <t>O1000537</t>
  </si>
  <si>
    <t>C7547</t>
  </si>
  <si>
    <t>TEC-PH-10002726</t>
  </si>
  <si>
    <t>netTALK DUO VoIP Telephone Service</t>
  </si>
  <si>
    <t>O1000538</t>
  </si>
  <si>
    <t>C8466</t>
  </si>
  <si>
    <t>FUR-TA-10002607</t>
  </si>
  <si>
    <t>KI Conference Tables</t>
  </si>
  <si>
    <t>S667</t>
  </si>
  <si>
    <t>O1000539</t>
  </si>
  <si>
    <t>C6907</t>
  </si>
  <si>
    <t>OFF-BI-10004139</t>
  </si>
  <si>
    <t>Fellowes Presentation Covers for Comb Binding Machines</t>
  </si>
  <si>
    <t>S437</t>
  </si>
  <si>
    <t>O1000540</t>
  </si>
  <si>
    <t>C4388</t>
  </si>
  <si>
    <t>OFF-ST-10001809</t>
  </si>
  <si>
    <t>Fellowes Officeware Wire Shelving</t>
  </si>
  <si>
    <t>O1000541</t>
  </si>
  <si>
    <t>C1162</t>
  </si>
  <si>
    <t>TEC-AC-10001606</t>
  </si>
  <si>
    <t>Logitech Wireless Performance Mouse MX for PC and Mac</t>
  </si>
  <si>
    <t>O1000542</t>
  </si>
  <si>
    <t>C1067</t>
  </si>
  <si>
    <t>TEC-PH-10000486</t>
  </si>
  <si>
    <t>Plantronics HL10 Handset Lifter</t>
  </si>
  <si>
    <t>O1000543</t>
  </si>
  <si>
    <t>C4351</t>
  </si>
  <si>
    <t>OFF-BI-10003876</t>
  </si>
  <si>
    <t>Green Canvas Binder for 8-1/2" x 14" Sheets</t>
  </si>
  <si>
    <t>S874</t>
  </si>
  <si>
    <t>O1000544</t>
  </si>
  <si>
    <t>C5229</t>
  </si>
  <si>
    <t>O1000545</t>
  </si>
  <si>
    <t>C8460</t>
  </si>
  <si>
    <t>TEC-PH-10001552</t>
  </si>
  <si>
    <t>I Need's 3d Hello Kitty Hybrid Silicone Case Cover for HTC One X 4g with 3d Hello Kitty Stylus Pen Green/pink</t>
  </si>
  <si>
    <t>O1000546</t>
  </si>
  <si>
    <t>C3655</t>
  </si>
  <si>
    <t>FUR-TA-10001539</t>
  </si>
  <si>
    <t>Chromcraft Rectangular Conference Tables</t>
  </si>
  <si>
    <t>O1000547</t>
  </si>
  <si>
    <t>C5816</t>
  </si>
  <si>
    <t>OFF-AP-10001005</t>
  </si>
  <si>
    <t>Honeywell Quietcare HEPA Air Cleaner</t>
  </si>
  <si>
    <t>O1000548</t>
  </si>
  <si>
    <t>C9032</t>
  </si>
  <si>
    <t>S917</t>
  </si>
  <si>
    <t>O1000549</t>
  </si>
  <si>
    <t>C7271</t>
  </si>
  <si>
    <t>OFF-BI-10004233</t>
  </si>
  <si>
    <t>GBC Pre-Punched Binding Paper, Plastic, White, 8-1/2" x 11"</t>
  </si>
  <si>
    <t>S544</t>
  </si>
  <si>
    <t>O1000550</t>
  </si>
  <si>
    <t>C9215</t>
  </si>
  <si>
    <t>OFF-PA-10001622</t>
  </si>
  <si>
    <t>Ampad Poly Cover Wirebound Steno Book, 6" x 9" Assorted Colors, Gregg Ruled</t>
  </si>
  <si>
    <t>S281</t>
  </si>
  <si>
    <t>O1000551</t>
  </si>
  <si>
    <t>C3461</t>
  </si>
  <si>
    <t>OFF-PA-10001712</t>
  </si>
  <si>
    <t>Xerox 1948</t>
  </si>
  <si>
    <t>S535</t>
  </si>
  <si>
    <t>O1000552</t>
  </si>
  <si>
    <t>C9250</t>
  </si>
  <si>
    <t>O1000553</t>
  </si>
  <si>
    <t>C8471</t>
  </si>
  <si>
    <t>TEC-PH-10003505</t>
  </si>
  <si>
    <t>Geemarc AmpliPOWER60</t>
  </si>
  <si>
    <t>S963</t>
  </si>
  <si>
    <t>O1000554</t>
  </si>
  <si>
    <t>C4521</t>
  </si>
  <si>
    <t>TEC-PH-10002538</t>
  </si>
  <si>
    <t>Grandstream GXP1160 VoIP phone</t>
  </si>
  <si>
    <t>S960</t>
  </si>
  <si>
    <t>O1000555</t>
  </si>
  <si>
    <t>C1741</t>
  </si>
  <si>
    <t>TEC-PH-10002680</t>
  </si>
  <si>
    <t>Samsung Galaxy Note 3</t>
  </si>
  <si>
    <t>S694</t>
  </si>
  <si>
    <t>O1000556</t>
  </si>
  <si>
    <t>C9175</t>
  </si>
  <si>
    <t>S746</t>
  </si>
  <si>
    <t>O1000557</t>
  </si>
  <si>
    <t>C9826</t>
  </si>
  <si>
    <t>FUR-FU-10001935</t>
  </si>
  <si>
    <t>3M Hangers With Command Adhesive</t>
  </si>
  <si>
    <t>O1000558</t>
  </si>
  <si>
    <t>C5052</t>
  </si>
  <si>
    <t>OFF-AP-10002945</t>
  </si>
  <si>
    <t>Honeywell Enviracaire Portable HEPA Air Cleaner for 17' x 22' Room</t>
  </si>
  <si>
    <t>O1000559</t>
  </si>
  <si>
    <t>C6332</t>
  </si>
  <si>
    <t>OFF-AP-10004859</t>
  </si>
  <si>
    <t>Acco 6 Outlet Guardian Premium Surge Suppressor</t>
  </si>
  <si>
    <t>O1000560</t>
  </si>
  <si>
    <t>C1264</t>
  </si>
  <si>
    <t>OFF-AR-10002135</t>
  </si>
  <si>
    <t>Boston Heavy-Duty Trimline Electric Pencil Sharpeners</t>
  </si>
  <si>
    <t>S951</t>
  </si>
  <si>
    <t>O1000561</t>
  </si>
  <si>
    <t>C1716</t>
  </si>
  <si>
    <t>OFF-BI-10001072</t>
  </si>
  <si>
    <t>GBC Clear Cover, 8-1/2 x 11, unpunched, 25 covers per pack</t>
  </si>
  <si>
    <t>S213</t>
  </si>
  <si>
    <t>O1000562</t>
  </si>
  <si>
    <t>C4881</t>
  </si>
  <si>
    <t>OFF-BI-10001765</t>
  </si>
  <si>
    <t>Wilson Jones Heavy-Duty Casebound Ring Binders with Metal Hinges</t>
  </si>
  <si>
    <t>O1000563</t>
  </si>
  <si>
    <t>C3148</t>
  </si>
  <si>
    <t>OFF-PA-10000061</t>
  </si>
  <si>
    <t>Xerox 205</t>
  </si>
  <si>
    <t>O1000564</t>
  </si>
  <si>
    <t>C1226</t>
  </si>
  <si>
    <t>OFF-PA-10004082</t>
  </si>
  <si>
    <t>Adams Telephone Message Book w/Frequently-Called Numbers Space, 400 Messages per Book</t>
  </si>
  <si>
    <t>O1000565</t>
  </si>
  <si>
    <t>C4951</t>
  </si>
  <si>
    <t>OFF-ST-10002276</t>
  </si>
  <si>
    <t>Safco Steel Mobile File Cart</t>
  </si>
  <si>
    <t>S194</t>
  </si>
  <si>
    <t>O1000566</t>
  </si>
  <si>
    <t>C2511</t>
  </si>
  <si>
    <t>TEC-PH-10002563</t>
  </si>
  <si>
    <t>Adtran 1202752G1</t>
  </si>
  <si>
    <t>S397</t>
  </si>
  <si>
    <t>O1000567</t>
  </si>
  <si>
    <t>C8947</t>
  </si>
  <si>
    <t>FUR-FU-10000246</t>
  </si>
  <si>
    <t>Aluminum Document Frame</t>
  </si>
  <si>
    <t>O1000568</t>
  </si>
  <si>
    <t>C3007</t>
  </si>
  <si>
    <t>S961</t>
  </si>
  <si>
    <t>O1000569</t>
  </si>
  <si>
    <t>C7141</t>
  </si>
  <si>
    <t>OFF-BI-10001658</t>
  </si>
  <si>
    <t>GBC Standard Therm-A-Bind Covers</t>
  </si>
  <si>
    <t>O1000570</t>
  </si>
  <si>
    <t>C4402</t>
  </si>
  <si>
    <t>S729</t>
  </si>
  <si>
    <t>O1000571</t>
  </si>
  <si>
    <t>C1977</t>
  </si>
  <si>
    <t>TEC-PH-10001425</t>
  </si>
  <si>
    <t>Mophie Juice Pack Helium for iPhone</t>
  </si>
  <si>
    <t>S109</t>
  </si>
  <si>
    <t>O1000572</t>
  </si>
  <si>
    <t>C2547</t>
  </si>
  <si>
    <t>FUR-FU-10001475</t>
  </si>
  <si>
    <t>Contract Clock, 14", Brown</t>
  </si>
  <si>
    <t>S896</t>
  </si>
  <si>
    <t>O1000573</t>
  </si>
  <si>
    <t>C2978</t>
  </si>
  <si>
    <t>FUR-TA-10004086</t>
  </si>
  <si>
    <t>S647</t>
  </si>
  <si>
    <t>O1000574</t>
  </si>
  <si>
    <t>C9687</t>
  </si>
  <si>
    <t>OFF-EN-10004459</t>
  </si>
  <si>
    <t>Security-Tint Envelopes</t>
  </si>
  <si>
    <t>O1000575</t>
  </si>
  <si>
    <t>C2184</t>
  </si>
  <si>
    <t>OFF-LA-10001771</t>
  </si>
  <si>
    <t>Avery 513</t>
  </si>
  <si>
    <t>S512</t>
  </si>
  <si>
    <t>O1000576</t>
  </si>
  <si>
    <t>S444</t>
  </si>
  <si>
    <t>O1000577</t>
  </si>
  <si>
    <t>C2982</t>
  </si>
  <si>
    <t>FUR-BO-10003272</t>
  </si>
  <si>
    <t>O'Sullivan Living Dimensions 5-Shelf Bookcases</t>
  </si>
  <si>
    <t>S798</t>
  </si>
  <si>
    <t>O1000578</t>
  </si>
  <si>
    <t>C2961</t>
  </si>
  <si>
    <t>S569</t>
  </si>
  <si>
    <t>O1000579</t>
  </si>
  <si>
    <t>C5453</t>
  </si>
  <si>
    <t>FUR-FU-10002878</t>
  </si>
  <si>
    <t>Seth Thomas 14" Day/Date Wall Clock</t>
  </si>
  <si>
    <t>S395</t>
  </si>
  <si>
    <t>O1000580</t>
  </si>
  <si>
    <t>C1539</t>
  </si>
  <si>
    <t>OFF-AP-10001626</t>
  </si>
  <si>
    <t>Commercial WindTunnel Clean Air Upright Vacuum, Replacement Belts, Filtration Bags</t>
  </si>
  <si>
    <t>O1000581</t>
  </si>
  <si>
    <t>C8467</t>
  </si>
  <si>
    <t>OFF-PA-10001685</t>
  </si>
  <si>
    <t>O1000582</t>
  </si>
  <si>
    <t>C7505</t>
  </si>
  <si>
    <t>FUR-TA-10003238</t>
  </si>
  <si>
    <t>Chromcraft Bull-Nose Wood 48" x 96" Rectangular Conference Tables</t>
  </si>
  <si>
    <t>S521</t>
  </si>
  <si>
    <t>O1000583</t>
  </si>
  <si>
    <t>C7601</t>
  </si>
  <si>
    <t>OFF-AR-10002656</t>
  </si>
  <si>
    <t>Sanford Liquid Accent Highlighters</t>
  </si>
  <si>
    <t>S944</t>
  </si>
  <si>
    <t>O1000584</t>
  </si>
  <si>
    <t>OFF-BI-10002557</t>
  </si>
  <si>
    <t>Presstex Flexible Ring Binders</t>
  </si>
  <si>
    <t>O1000585</t>
  </si>
  <si>
    <t>C5423</t>
  </si>
  <si>
    <t>S600</t>
  </si>
  <si>
    <t>O1000586</t>
  </si>
  <si>
    <t>C8654</t>
  </si>
  <si>
    <t>OFF-BI-10003982</t>
  </si>
  <si>
    <t>Wilson Jones Century Plastic Molded Ring Binders</t>
  </si>
  <si>
    <t>O1000587</t>
  </si>
  <si>
    <t>C2928</t>
  </si>
  <si>
    <t>OFF-EN-10000461</t>
  </si>
  <si>
    <t>#10- 4 1/8" x 9 1/2" Recycled Envelopes</t>
  </si>
  <si>
    <t>O1000588</t>
  </si>
  <si>
    <t>C4310</t>
  </si>
  <si>
    <t>O1000589</t>
  </si>
  <si>
    <t>C8137</t>
  </si>
  <si>
    <t>O1000590</t>
  </si>
  <si>
    <t>C4125</t>
  </si>
  <si>
    <t>OFF-SU-10001664</t>
  </si>
  <si>
    <t>Acme Office Executive Series Stainless Steel Trimmers</t>
  </si>
  <si>
    <t>S680</t>
  </si>
  <si>
    <t>O1000591</t>
  </si>
  <si>
    <t>C1926</t>
  </si>
  <si>
    <t>FUR-TA-10002041</t>
  </si>
  <si>
    <t>Bevis Round Conference Table Top, X-Base</t>
  </si>
  <si>
    <t>S907</t>
  </si>
  <si>
    <t>O1000592</t>
  </si>
  <si>
    <t>C4427</t>
  </si>
  <si>
    <t>O1000593</t>
  </si>
  <si>
    <t>C4103</t>
  </si>
  <si>
    <t>FUR-CH-10002647</t>
  </si>
  <si>
    <t>Situations Contoured Folding Chairs, 4/Set</t>
  </si>
  <si>
    <t>S170</t>
  </si>
  <si>
    <t>O1000594</t>
  </si>
  <si>
    <t>C7233</t>
  </si>
  <si>
    <t>FUR-CH-10002758</t>
  </si>
  <si>
    <t>Hon Deluxe Fabric Upholstered Stacking Chairs, Squared Back</t>
  </si>
  <si>
    <t>S709</t>
  </si>
  <si>
    <t>O1000595</t>
  </si>
  <si>
    <t>C1636</t>
  </si>
  <si>
    <t>S732</t>
  </si>
  <si>
    <t>O1000596</t>
  </si>
  <si>
    <t>C5607</t>
  </si>
  <si>
    <t>OFF-ST-10003470</t>
  </si>
  <si>
    <t>Tennsco Snap-Together Open Shelving Units, Starter Sets and Add-On Units</t>
  </si>
  <si>
    <t>S841</t>
  </si>
  <si>
    <t>O1000597</t>
  </si>
  <si>
    <t>C6272</t>
  </si>
  <si>
    <t>FUR-FU-10001487</t>
  </si>
  <si>
    <t>Eldon Expressions Wood and Plastic Desk Accessories, Cherry Wood</t>
  </si>
  <si>
    <t>S591</t>
  </si>
  <si>
    <t>O1000598</t>
  </si>
  <si>
    <t>C1555</t>
  </si>
  <si>
    <t>FUR-FU-10002685</t>
  </si>
  <si>
    <t>Executive Impressions 13-1/2" Indoor/Outdoor Wall Clock</t>
  </si>
  <si>
    <t>O1000599</t>
  </si>
  <si>
    <t>C3836</t>
  </si>
  <si>
    <t>S188</t>
  </si>
  <si>
    <t>O1000600</t>
  </si>
  <si>
    <t>C1091</t>
  </si>
  <si>
    <t>FUR-TA-10004534</t>
  </si>
  <si>
    <t>Bevis 44 x 96 Conference Tables</t>
  </si>
  <si>
    <t>O1000601</t>
  </si>
  <si>
    <t>C5387</t>
  </si>
  <si>
    <t>OFF-AP-10002892</t>
  </si>
  <si>
    <t>Belkin F5C206VTEL 6 Outlet Surge</t>
  </si>
  <si>
    <t>O1000602</t>
  </si>
  <si>
    <t>C5925</t>
  </si>
  <si>
    <t>OFF-AR-10001953</t>
  </si>
  <si>
    <t>Boston 1645 Deluxe Heavier-Duty Electric Pencil Sharpener</t>
  </si>
  <si>
    <t>S177</t>
  </si>
  <si>
    <t>O1000603</t>
  </si>
  <si>
    <t>C7305</t>
  </si>
  <si>
    <t>OFF-AR-10002335</t>
  </si>
  <si>
    <t>DIXON Oriole Pencils</t>
  </si>
  <si>
    <t>S373</t>
  </si>
  <si>
    <t>O1000604</t>
  </si>
  <si>
    <t>C8072</t>
  </si>
  <si>
    <t>OFF-AR-10002833</t>
  </si>
  <si>
    <t>Newell 322</t>
  </si>
  <si>
    <t>S413</t>
  </si>
  <si>
    <t>O1000605</t>
  </si>
  <si>
    <t>C5054</t>
  </si>
  <si>
    <t>OFF-AR-10003752</t>
  </si>
  <si>
    <t>Deluxe Chalkboard Eraser Cleaner</t>
  </si>
  <si>
    <t>S721</t>
  </si>
  <si>
    <t>O1000606</t>
  </si>
  <si>
    <t>C1860</t>
  </si>
  <si>
    <t>OFF-BI-10003910</t>
  </si>
  <si>
    <t>DXL Angle-View Binders with Locking Rings by Samsill</t>
  </si>
  <si>
    <t>S745</t>
  </si>
  <si>
    <t>O1000607</t>
  </si>
  <si>
    <t>C3906</t>
  </si>
  <si>
    <t>S377</t>
  </si>
  <si>
    <t>O1000608</t>
  </si>
  <si>
    <t>C7921</t>
  </si>
  <si>
    <t>OFF-SU-10001225</t>
  </si>
  <si>
    <t>Staple remover</t>
  </si>
  <si>
    <t>S726</t>
  </si>
  <si>
    <t>O1000609</t>
  </si>
  <si>
    <t>C7800</t>
  </si>
  <si>
    <t>TEC-AC-10000303</t>
  </si>
  <si>
    <t>Logitech M510 Wireless Mouse</t>
  </si>
  <si>
    <t>S699</t>
  </si>
  <si>
    <t>O1000610</t>
  </si>
  <si>
    <t>C2710</t>
  </si>
  <si>
    <t>S471</t>
  </si>
  <si>
    <t>O1000611</t>
  </si>
  <si>
    <t>C9551</t>
  </si>
  <si>
    <t>TEC-PH-10002033</t>
  </si>
  <si>
    <t>Konftel 250 Conference phone - Charcoal black</t>
  </si>
  <si>
    <t>S537</t>
  </si>
  <si>
    <t>O1000612</t>
  </si>
  <si>
    <t>C9346</t>
  </si>
  <si>
    <t>TEC-PH-10002275</t>
  </si>
  <si>
    <t>Mitel 5320 IP Phone VoIP phone</t>
  </si>
  <si>
    <t>S978</t>
  </si>
  <si>
    <t>O1000613</t>
  </si>
  <si>
    <t>C6075</t>
  </si>
  <si>
    <t>OFF-LA-10003930</t>
  </si>
  <si>
    <t>Dot Matrix Printer Tape Reel Labels, White, 5000/Box</t>
  </si>
  <si>
    <t>O1000614</t>
  </si>
  <si>
    <t>C3117</t>
  </si>
  <si>
    <t>O1000615</t>
  </si>
  <si>
    <t>C5980</t>
  </si>
  <si>
    <t>FUR-BO-10000711</t>
  </si>
  <si>
    <t>Hon Metal Bookcases, Gray</t>
  </si>
  <si>
    <t>S541</t>
  </si>
  <si>
    <t>O1000616</t>
  </si>
  <si>
    <t>C1500</t>
  </si>
  <si>
    <t>S950</t>
  </si>
  <si>
    <t>O1000617</t>
  </si>
  <si>
    <t>C8054</t>
  </si>
  <si>
    <t>FUR-TA-10001520</t>
  </si>
  <si>
    <t>Lesro Sheffield Collection Coffee Table, End Table, Center Table, Corner Table</t>
  </si>
  <si>
    <t>S574</t>
  </si>
  <si>
    <t>O1000618</t>
  </si>
  <si>
    <t>C2763</t>
  </si>
  <si>
    <t>OFF-BI-10002706</t>
  </si>
  <si>
    <t>Avery Premier Heavy-Duty Binder with Round Locking Rings</t>
  </si>
  <si>
    <t>S201</t>
  </si>
  <si>
    <t>O1000619</t>
  </si>
  <si>
    <t>OFF-PA-10001952</t>
  </si>
  <si>
    <t>Xerox 1902</t>
  </si>
  <si>
    <t>S400</t>
  </si>
  <si>
    <t>O1000620</t>
  </si>
  <si>
    <t>C6107</t>
  </si>
  <si>
    <t>S500</t>
  </si>
  <si>
    <t>O1000621</t>
  </si>
  <si>
    <t>C6145</t>
  </si>
  <si>
    <t>OFF-AR-10003772</t>
  </si>
  <si>
    <t>Boston 16750 Black Compact Battery Pencil Sharpener</t>
  </si>
  <si>
    <t>O1000622</t>
  </si>
  <si>
    <t>C3211</t>
  </si>
  <si>
    <t>O1000623</t>
  </si>
  <si>
    <t>C9396</t>
  </si>
  <si>
    <t>OFF-EN-10003286</t>
  </si>
  <si>
    <t>O1000624</t>
  </si>
  <si>
    <t>C2280</t>
  </si>
  <si>
    <t>S631</t>
  </si>
  <si>
    <t>O1000625</t>
  </si>
  <si>
    <t>C4540</t>
  </si>
  <si>
    <t>OFF-BI-10004995</t>
  </si>
  <si>
    <t>GBC DocuBind P400 Electric Binding System</t>
  </si>
  <si>
    <t>O1000626</t>
  </si>
  <si>
    <t>OFF-FA-10000624</t>
  </si>
  <si>
    <t>OIC Binder Clips</t>
  </si>
  <si>
    <t>S884</t>
  </si>
  <si>
    <t>O1000627</t>
  </si>
  <si>
    <t>C9994</t>
  </si>
  <si>
    <t>OFF-PA-10001725</t>
  </si>
  <si>
    <t>Xerox 1892</t>
  </si>
  <si>
    <t>S334</t>
  </si>
  <si>
    <t>O1000628</t>
  </si>
  <si>
    <t>C7537</t>
  </si>
  <si>
    <t>TEC-MA-10000423</t>
  </si>
  <si>
    <t>Texas Instruments TI-34 Scientific Calculator</t>
  </si>
  <si>
    <t>O1000629</t>
  </si>
  <si>
    <t>C2328</t>
  </si>
  <si>
    <t>TEC-PH-10000215</t>
  </si>
  <si>
    <t>Plantronics Cordless Phone Headset with In-line Volume - M214C</t>
  </si>
  <si>
    <t>O1000630</t>
  </si>
  <si>
    <t>C9021</t>
  </si>
  <si>
    <t>OFF-PA-10000167</t>
  </si>
  <si>
    <t>Xerox 1925</t>
  </si>
  <si>
    <t>O1000631</t>
  </si>
  <si>
    <t>C7638</t>
  </si>
  <si>
    <t>FUR-BO-10001608</t>
  </si>
  <si>
    <t>Hon Metal Bookcases, Black</t>
  </si>
  <si>
    <t>O1000632</t>
  </si>
  <si>
    <t>O1000633</t>
  </si>
  <si>
    <t>C9197</t>
  </si>
  <si>
    <t>OFF-AR-10003469</t>
  </si>
  <si>
    <t>Nontoxic Chalk</t>
  </si>
  <si>
    <t>O1000634</t>
  </si>
  <si>
    <t>C6724</t>
  </si>
  <si>
    <t>OFF-BI-10000756</t>
  </si>
  <si>
    <t>Storex DuraTech Recycled Plastic Frosted Binders</t>
  </si>
  <si>
    <t>O1000635</t>
  </si>
  <si>
    <t>C1582</t>
  </si>
  <si>
    <t>S196</t>
  </si>
  <si>
    <t>O1000636</t>
  </si>
  <si>
    <t>OFF-PA-10001166</t>
  </si>
  <si>
    <t>Xerox 2</t>
  </si>
  <si>
    <t>S149</t>
  </si>
  <si>
    <t>O1000637</t>
  </si>
  <si>
    <t>C3899</t>
  </si>
  <si>
    <t>OFF-ST-10004123</t>
  </si>
  <si>
    <t>Safco Industrial Wire Shelving System</t>
  </si>
  <si>
    <t>O1000638</t>
  </si>
  <si>
    <t>C8379</t>
  </si>
  <si>
    <t>TEC-MA-10001972</t>
  </si>
  <si>
    <t>Okidata C331dn Printer</t>
  </si>
  <si>
    <t>O1000639</t>
  </si>
  <si>
    <t>C5612</t>
  </si>
  <si>
    <t>TEC-PH-10000369</t>
  </si>
  <si>
    <t>HTC One Mini</t>
  </si>
  <si>
    <t>S640</t>
  </si>
  <si>
    <t>O1000640</t>
  </si>
  <si>
    <t>C2640</t>
  </si>
  <si>
    <t>FUR-FU-10000550</t>
  </si>
  <si>
    <t>Stacking Trays by OIC</t>
  </si>
  <si>
    <t>S649</t>
  </si>
  <si>
    <t>O1000641</t>
  </si>
  <si>
    <t>C4160</t>
  </si>
  <si>
    <t>FUR-FU-10004071</t>
  </si>
  <si>
    <t>Luxo Professional Magnifying Clamp-On Fluorescent Lamps</t>
  </si>
  <si>
    <t>O1000642</t>
  </si>
  <si>
    <t>C9612</t>
  </si>
  <si>
    <t>O1000643</t>
  </si>
  <si>
    <t>C6947</t>
  </si>
  <si>
    <t>OFF-AP-10003860</t>
  </si>
  <si>
    <t>Fellowes Advanced 8 Outlet Surge Suppressor with Phone/Fax Protection</t>
  </si>
  <si>
    <t>S972</t>
  </si>
  <si>
    <t>O1000644</t>
  </si>
  <si>
    <t>C6096</t>
  </si>
  <si>
    <t>OFF-AR-10001919</t>
  </si>
  <si>
    <t>OIC #2 Pencils, Medium Soft</t>
  </si>
  <si>
    <t>S929</t>
  </si>
  <si>
    <t>O1000645</t>
  </si>
  <si>
    <t>C1268</t>
  </si>
  <si>
    <t>OFF-AR-10003056</t>
  </si>
  <si>
    <t>Newell 341</t>
  </si>
  <si>
    <t>S876</t>
  </si>
  <si>
    <t>O1000646</t>
  </si>
  <si>
    <t>C6427</t>
  </si>
  <si>
    <t>OFF-BI-10000069</t>
  </si>
  <si>
    <t>GBC Prepunched Paper, 19-Hole, for Binding Systems, 24-lb</t>
  </si>
  <si>
    <t>O1000647</t>
  </si>
  <si>
    <t>C2585</t>
  </si>
  <si>
    <t>OFF-BI-10001116</t>
  </si>
  <si>
    <t>Wilson Jones 1" Hanging DublLock Ring Binders</t>
  </si>
  <si>
    <t>S238</t>
  </si>
  <si>
    <t>O1000648</t>
  </si>
  <si>
    <t>C2261</t>
  </si>
  <si>
    <t>OFF-BI-10002931</t>
  </si>
  <si>
    <t>Avery Trapezoid Extra Heavy Duty 4" Binders</t>
  </si>
  <si>
    <t>O1000649</t>
  </si>
  <si>
    <t>C9191</t>
  </si>
  <si>
    <t>O1000650</t>
  </si>
  <si>
    <t>C4307</t>
  </si>
  <si>
    <t>OFF-PA-10003883</t>
  </si>
  <si>
    <t>Message Book, Phone, Wirebound Standard Line Memo, 2 3/4" X 5"</t>
  </si>
  <si>
    <t>O1000651</t>
  </si>
  <si>
    <t>C9614</t>
  </si>
  <si>
    <t>OFF-ST-10002444</t>
  </si>
  <si>
    <t>Recycled Eldon Regeneration Jumbo File</t>
  </si>
  <si>
    <t>S585</t>
  </si>
  <si>
    <t>O1000652</t>
  </si>
  <si>
    <t>C8692</t>
  </si>
  <si>
    <t>O1000653</t>
  </si>
  <si>
    <t>C8788</t>
  </si>
  <si>
    <t>TEC-MA-10004521</t>
  </si>
  <si>
    <t>Epson Perfection V600 Photo Scanner</t>
  </si>
  <si>
    <t>O1000654</t>
  </si>
  <si>
    <t>C4442</t>
  </si>
  <si>
    <t>TEC-PH-10001578</t>
  </si>
  <si>
    <t>Polycom SoundStation2 EX Conference phone</t>
  </si>
  <si>
    <t>O1000655</t>
  </si>
  <si>
    <t>C4147</t>
  </si>
  <si>
    <t>O1000656</t>
  </si>
  <si>
    <t>C5636</t>
  </si>
  <si>
    <t>TEC-PH-10003963</t>
  </si>
  <si>
    <t>GE 2-Jack Phone Line Splitter</t>
  </si>
  <si>
    <t>O1000657</t>
  </si>
  <si>
    <t>C6534</t>
  </si>
  <si>
    <t>O1000658</t>
  </si>
  <si>
    <t>C6542</t>
  </si>
  <si>
    <t>FUR-CH-10000454</t>
  </si>
  <si>
    <t>Hon Deluxe Fabric Upholstered Stacking Chairs, Rounded Back</t>
  </si>
  <si>
    <t>O1000659</t>
  </si>
  <si>
    <t>C6376</t>
  </si>
  <si>
    <t>FUR-CH-10004698</t>
  </si>
  <si>
    <t>Padded Folding Chairs, Black, 4/Carton</t>
  </si>
  <si>
    <t>O1000660</t>
  </si>
  <si>
    <t>OFF-BI-10001553</t>
  </si>
  <si>
    <t>SpineVue Locking Slant-D Ring Binders by Cardinal</t>
  </si>
  <si>
    <t>S341</t>
  </si>
  <si>
    <t>O1000661</t>
  </si>
  <si>
    <t>C2289</t>
  </si>
  <si>
    <t>OFF-ST-10001097</t>
  </si>
  <si>
    <t>Office Impressions Heavy Duty Welded Shelving &amp; Multimedia Storage Drawers</t>
  </si>
  <si>
    <t>S731</t>
  </si>
  <si>
    <t>O1000662</t>
  </si>
  <si>
    <t>C2876</t>
  </si>
  <si>
    <t>S193</t>
  </si>
  <si>
    <t>O1000663</t>
  </si>
  <si>
    <t>C3739</t>
  </si>
  <si>
    <t>TEC-AC-10004114</t>
  </si>
  <si>
    <t>KeyTronic 6101 Series - Keyboard - Black</t>
  </si>
  <si>
    <t>O1000664</t>
  </si>
  <si>
    <t>C9967</t>
  </si>
  <si>
    <t>TEC-PH-10004093</t>
  </si>
  <si>
    <t>Panasonic Kx-TS550</t>
  </si>
  <si>
    <t>S439</t>
  </si>
  <si>
    <t>O1000665</t>
  </si>
  <si>
    <t>OFF-AR-10002766</t>
  </si>
  <si>
    <t>Prang Drawing Pencil Set</t>
  </si>
  <si>
    <t>O1000666</t>
  </si>
  <si>
    <t>C7119</t>
  </si>
  <si>
    <t>OFF-SU-10002522</t>
  </si>
  <si>
    <t>Acme Kleen Earth Office Shears</t>
  </si>
  <si>
    <t>S491</t>
  </si>
  <si>
    <t>O1000667</t>
  </si>
  <si>
    <t>C4478</t>
  </si>
  <si>
    <t>TEC-AC-10000158</t>
  </si>
  <si>
    <t>Sony 64GB Class 10 Micro SDHC R40 Memory Card</t>
  </si>
  <si>
    <t>O1000668</t>
  </si>
  <si>
    <t>C8498</t>
  </si>
  <si>
    <t>FUR-FU-10001731</t>
  </si>
  <si>
    <t>Acrylic Self-Standing Desk Frames</t>
  </si>
  <si>
    <t>S653</t>
  </si>
  <si>
    <t>O1000669</t>
  </si>
  <si>
    <t>C4371</t>
  </si>
  <si>
    <t>FUR-TA-10004147</t>
  </si>
  <si>
    <t>Hon 4060 Series Tables</t>
  </si>
  <si>
    <t>O1000670</t>
  </si>
  <si>
    <t>C1374</t>
  </si>
  <si>
    <t>OFF-AR-10000475</t>
  </si>
  <si>
    <t>Hunt BOSTON Vista Battery-Operated Pencil Sharpener, Black</t>
  </si>
  <si>
    <t>O1000671</t>
  </si>
  <si>
    <t>C1774</t>
  </si>
  <si>
    <t>S645</t>
  </si>
  <si>
    <t>O1000672</t>
  </si>
  <si>
    <t>C9526</t>
  </si>
  <si>
    <t>TEC-PH-10002115</t>
  </si>
  <si>
    <t>Plantronics 81402</t>
  </si>
  <si>
    <t>S432</t>
  </si>
  <si>
    <t>O1000673</t>
  </si>
  <si>
    <t>C9954</t>
  </si>
  <si>
    <t>O1000674</t>
  </si>
  <si>
    <t>C9430</t>
  </si>
  <si>
    <t>S269</t>
  </si>
  <si>
    <t>O1000675</t>
  </si>
  <si>
    <t>C4102</t>
  </si>
  <si>
    <t>S959</t>
  </si>
  <si>
    <t>O1000676</t>
  </si>
  <si>
    <t>C9186</t>
  </si>
  <si>
    <t>O1000677</t>
  </si>
  <si>
    <t>C5918</t>
  </si>
  <si>
    <t>OFF-BI-10003094</t>
  </si>
  <si>
    <t>Self-Adhesive Ring Binder Labels</t>
  </si>
  <si>
    <t>O1000678</t>
  </si>
  <si>
    <t>C3673</t>
  </si>
  <si>
    <t>O1000679</t>
  </si>
  <si>
    <t>C2048</t>
  </si>
  <si>
    <t>OFF-FA-10003495</t>
  </si>
  <si>
    <t>S769</t>
  </si>
  <si>
    <t>O1000680</t>
  </si>
  <si>
    <t>C5154</t>
  </si>
  <si>
    <t>OFF-PA-10000304</t>
  </si>
  <si>
    <t>Xerox 1995</t>
  </si>
  <si>
    <t>S952</t>
  </si>
  <si>
    <t>O1000681</t>
  </si>
  <si>
    <t>C3564</t>
  </si>
  <si>
    <t>OFF-PA-10003395</t>
  </si>
  <si>
    <t>Xerox 1941</t>
  </si>
  <si>
    <t>O1000682</t>
  </si>
  <si>
    <t>OFF-AR-10003405</t>
  </si>
  <si>
    <t>Dixon My First Ticonderoga Pencil, #2</t>
  </si>
  <si>
    <t>S760</t>
  </si>
  <si>
    <t>O1000683</t>
  </si>
  <si>
    <t>C9119</t>
  </si>
  <si>
    <t>OFF-BI-10000174</t>
  </si>
  <si>
    <t>Wilson Jones Clip &amp; Carry Folder Binder Tool for Ring Binders, Clear</t>
  </si>
  <si>
    <t>O1000684</t>
  </si>
  <si>
    <t>C1087</t>
  </si>
  <si>
    <t>OFF-AR-10001026</t>
  </si>
  <si>
    <t>Sanford Uni-Blazer View Highlighters, Chisel Tip, Yellow</t>
  </si>
  <si>
    <t>S434</t>
  </si>
  <si>
    <t>O1000685</t>
  </si>
  <si>
    <t>C3301</t>
  </si>
  <si>
    <t>O1000686</t>
  </si>
  <si>
    <t>C2936</t>
  </si>
  <si>
    <t>OFF-AR-10004582</t>
  </si>
  <si>
    <t>BIC Brite Liner Grip Highlighters</t>
  </si>
  <si>
    <t>O1000687</t>
  </si>
  <si>
    <t>C3066</t>
  </si>
  <si>
    <t>OFF-BI-10002867</t>
  </si>
  <si>
    <t>GBC Recycled Regency Composition Covers</t>
  </si>
  <si>
    <t>O1000688</t>
  </si>
  <si>
    <t>C7763</t>
  </si>
  <si>
    <t>OFF-BI-10004528</t>
  </si>
  <si>
    <t>Cardinal Poly Pocket Divider Pockets for Ring Binders</t>
  </si>
  <si>
    <t>O1000689</t>
  </si>
  <si>
    <t>C6318</t>
  </si>
  <si>
    <t>O1000690</t>
  </si>
  <si>
    <t>C3562</t>
  </si>
  <si>
    <t>OFF-PA-10001144</t>
  </si>
  <si>
    <t>Xerox 1913</t>
  </si>
  <si>
    <t>O1000691</t>
  </si>
  <si>
    <t>C7083</t>
  </si>
  <si>
    <t>S826</t>
  </si>
  <si>
    <t>O1000692</t>
  </si>
  <si>
    <t>C6352</t>
  </si>
  <si>
    <t>OFF-BI-10000546</t>
  </si>
  <si>
    <t>Avery Durable Binders</t>
  </si>
  <si>
    <t>O1000693</t>
  </si>
  <si>
    <t>C7354</t>
  </si>
  <si>
    <t>OFF-BI-10003355</t>
  </si>
  <si>
    <t>Cardinal Holdit Business Card Pockets</t>
  </si>
  <si>
    <t>O1000694</t>
  </si>
  <si>
    <t>C8006</t>
  </si>
  <si>
    <t>TEC-PH-10004586</t>
  </si>
  <si>
    <t>Wilson SignalBoost 841262 DB PRO Amplifier Kit</t>
  </si>
  <si>
    <t>S708</t>
  </si>
  <si>
    <t>O1000695</t>
  </si>
  <si>
    <t>C5001</t>
  </si>
  <si>
    <t>S691</t>
  </si>
  <si>
    <t>O1000696</t>
  </si>
  <si>
    <t>C4842</t>
  </si>
  <si>
    <t>TEC-PH-10002923</t>
  </si>
  <si>
    <t>Logitech B530 USB Headset - headset - Full size, Binaural</t>
  </si>
  <si>
    <t>S266</t>
  </si>
  <si>
    <t>O1000697</t>
  </si>
  <si>
    <t>C3953</t>
  </si>
  <si>
    <t>S252</t>
  </si>
  <si>
    <t>O1000698</t>
  </si>
  <si>
    <t>C1879</t>
  </si>
  <si>
    <t>O1000699</t>
  </si>
  <si>
    <t>C6987</t>
  </si>
  <si>
    <t>S488</t>
  </si>
  <si>
    <t>O1000700</t>
  </si>
  <si>
    <t>C5868</t>
  </si>
  <si>
    <t>OFF-PA-10004734</t>
  </si>
  <si>
    <t>Southworth Structures Collection</t>
  </si>
  <si>
    <t>S997</t>
  </si>
  <si>
    <t>O1000701</t>
  </si>
  <si>
    <t>C6914</t>
  </si>
  <si>
    <t>FUR-FU-10001591</t>
  </si>
  <si>
    <t>Advantus Panel Wall Certificate Holder - 8.5x11</t>
  </si>
  <si>
    <t>S821</t>
  </si>
  <si>
    <t>O1000702</t>
  </si>
  <si>
    <t>O1000703</t>
  </si>
  <si>
    <t>C4755</t>
  </si>
  <si>
    <t>S147</t>
  </si>
  <si>
    <t>O1000704</t>
  </si>
  <si>
    <t>C2590</t>
  </si>
  <si>
    <t>OFF-BI-10001670</t>
  </si>
  <si>
    <t>Vinyl Sectional Post Binders</t>
  </si>
  <si>
    <t>S706</t>
  </si>
  <si>
    <t>O1000705</t>
  </si>
  <si>
    <t>C7085</t>
  </si>
  <si>
    <t>OFF-BI-10001787</t>
  </si>
  <si>
    <t>Wilson Jones Four-Pocket Poly Binders</t>
  </si>
  <si>
    <t>O1000706</t>
  </si>
  <si>
    <t>C9053</t>
  </si>
  <si>
    <t>OFF-LA-10001934</t>
  </si>
  <si>
    <t>Avery 516</t>
  </si>
  <si>
    <t>S494</t>
  </si>
  <si>
    <t>O1000707</t>
  </si>
  <si>
    <t>C1011</t>
  </si>
  <si>
    <t>O1000708</t>
  </si>
  <si>
    <t>C2429</t>
  </si>
  <si>
    <t>OFF-ST-10000563</t>
  </si>
  <si>
    <t>Fellowes Bankers Box Stor/Drawer Steel Plus</t>
  </si>
  <si>
    <t>O1000709</t>
  </si>
  <si>
    <t>C9378</t>
  </si>
  <si>
    <t>OFF-ST-10001522</t>
  </si>
  <si>
    <t>Gould Plastics 18-Pocket Panel Bin, 34w x 5-1/4d x 20-1/2h</t>
  </si>
  <si>
    <t>O1000710</t>
  </si>
  <si>
    <t>C1647</t>
  </si>
  <si>
    <t>TEC-AC-10003911</t>
  </si>
  <si>
    <t>NETGEAR AC1750 Dual Band Gigabit Smart WiFi Router</t>
  </si>
  <si>
    <t>S346</t>
  </si>
  <si>
    <t>O1000711</t>
  </si>
  <si>
    <t>C1856</t>
  </si>
  <si>
    <t>FUR-CH-10000155</t>
  </si>
  <si>
    <t>Global Comet Stacking Armless Chair</t>
  </si>
  <si>
    <t>S683</t>
  </si>
  <si>
    <t>O1000712</t>
  </si>
  <si>
    <t>C8162</t>
  </si>
  <si>
    <t>TEC-CO-10001046</t>
  </si>
  <si>
    <t>Canon Imageclass D680 Copier / Fax</t>
  </si>
  <si>
    <t>S383</t>
  </si>
  <si>
    <t>O1000713</t>
  </si>
  <si>
    <t>C2895</t>
  </si>
  <si>
    <t>FUR-CH-10002880</t>
  </si>
  <si>
    <t>Global High-Back Leather Tilter, Burgundy</t>
  </si>
  <si>
    <t>O1000714</t>
  </si>
  <si>
    <t>C3661</t>
  </si>
  <si>
    <t>FUR-FU-10003039</t>
  </si>
  <si>
    <t>Howard Miller 11-1/2" Diameter Grantwood Wall Clock</t>
  </si>
  <si>
    <t>S920</t>
  </si>
  <si>
    <t>O1000715</t>
  </si>
  <si>
    <t>C8905</t>
  </si>
  <si>
    <t>S596</t>
  </si>
  <si>
    <t>O1000716</t>
  </si>
  <si>
    <t>C4212</t>
  </si>
  <si>
    <t>O1000717</t>
  </si>
  <si>
    <t>C2181</t>
  </si>
  <si>
    <t>S280</t>
  </si>
  <si>
    <t>O1000718</t>
  </si>
  <si>
    <t>C3897</t>
  </si>
  <si>
    <t>O1000719</t>
  </si>
  <si>
    <t>C7929</t>
  </si>
  <si>
    <t>OFF-AR-10003251</t>
  </si>
  <si>
    <t>O1000720</t>
  </si>
  <si>
    <t>C7966</t>
  </si>
  <si>
    <t>OFF-BI-10002609</t>
  </si>
  <si>
    <t>Avery Hidden Tab Dividers for Binding Systems</t>
  </si>
  <si>
    <t>O1000721</t>
  </si>
  <si>
    <t>C9746</t>
  </si>
  <si>
    <t>O1000722</t>
  </si>
  <si>
    <t>C5598</t>
  </si>
  <si>
    <t>OFF-LA-10004559</t>
  </si>
  <si>
    <t>Avery 49</t>
  </si>
  <si>
    <t>S168</t>
  </si>
  <si>
    <t>O1000723</t>
  </si>
  <si>
    <t>C1554</t>
  </si>
  <si>
    <t>OFF-PA-10002245</t>
  </si>
  <si>
    <t>Xerox 1895</t>
  </si>
  <si>
    <t>O1000724</t>
  </si>
  <si>
    <t>C8330</t>
  </si>
  <si>
    <t>S515</t>
  </si>
  <si>
    <t>O1000725</t>
  </si>
  <si>
    <t>C8116</t>
  </si>
  <si>
    <t>O1000726</t>
  </si>
  <si>
    <t>C5207</t>
  </si>
  <si>
    <t>OFF-ST-10001505</t>
  </si>
  <si>
    <t>Perma STOR-ALL Hanging File Box, 13 1/8"W x 12 1/4"D x 10 1/2"H</t>
  </si>
  <si>
    <t>S624</t>
  </si>
  <si>
    <t>O1000727</t>
  </si>
  <si>
    <t>C8122</t>
  </si>
  <si>
    <t>O1000728</t>
  </si>
  <si>
    <t>C2700</t>
  </si>
  <si>
    <t>FUR-FU-10000629</t>
  </si>
  <si>
    <t>9-3/4 Diameter Round Wall Clock</t>
  </si>
  <si>
    <t>S539</t>
  </si>
  <si>
    <t>O1000729</t>
  </si>
  <si>
    <t>C5440</t>
  </si>
  <si>
    <t>OFF-BI-10002954</t>
  </si>
  <si>
    <t>Newell 3-Hole Punched Plastic Slotted Magazine Holders for Binders</t>
  </si>
  <si>
    <t>O1000730</t>
  </si>
  <si>
    <t>C1675</t>
  </si>
  <si>
    <t>OFF-LA-10001175</t>
  </si>
  <si>
    <t>Avery 514</t>
  </si>
  <si>
    <t>O1000731</t>
  </si>
  <si>
    <t>C2208</t>
  </si>
  <si>
    <t>S433</t>
  </si>
  <si>
    <t>O1000732</t>
  </si>
  <si>
    <t>C7424</t>
  </si>
  <si>
    <t>OFF-PA-10000552</t>
  </si>
  <si>
    <t>Xerox 200</t>
  </si>
  <si>
    <t>S912</t>
  </si>
  <si>
    <t>O1000733</t>
  </si>
  <si>
    <t>C7595</t>
  </si>
  <si>
    <t>OFF-PA-10001970</t>
  </si>
  <si>
    <t>Xerox 1881</t>
  </si>
  <si>
    <t>O1000734</t>
  </si>
  <si>
    <t>C1254</t>
  </si>
  <si>
    <t>TEC-PH-10000895</t>
  </si>
  <si>
    <t>Polycom VVX 310 VoIP phone</t>
  </si>
  <si>
    <t>O1000735</t>
  </si>
  <si>
    <t>C7745</t>
  </si>
  <si>
    <t>TEC-PH-10003885</t>
  </si>
  <si>
    <t>Cisco SPA508G</t>
  </si>
  <si>
    <t>S955</t>
  </si>
  <si>
    <t>O1000736</t>
  </si>
  <si>
    <t>C3829</t>
  </si>
  <si>
    <t>TEC-PH-10004912</t>
  </si>
  <si>
    <t>Cisco SPA112 2 Port Phone Adapter</t>
  </si>
  <si>
    <t>O1000737</t>
  </si>
  <si>
    <t>C9303</t>
  </si>
  <si>
    <t>FUR-CH-10001797</t>
  </si>
  <si>
    <t>Safco Chair Connectors, 6/Carton</t>
  </si>
  <si>
    <t>S382</t>
  </si>
  <si>
    <t>O1000738</t>
  </si>
  <si>
    <t>C5214</t>
  </si>
  <si>
    <t>FUR-CH-10002126</t>
  </si>
  <si>
    <t>Hon Deluxe Fabric Upholstered Stacking Chairs</t>
  </si>
  <si>
    <t>O1000739</t>
  </si>
  <si>
    <t>C6397</t>
  </si>
  <si>
    <t>FUR-TA-10004575</t>
  </si>
  <si>
    <t>Hon 5100 Series Wood Tables</t>
  </si>
  <si>
    <t>O1000740</t>
  </si>
  <si>
    <t>C9817</t>
  </si>
  <si>
    <t>OFF-AR-10003158</t>
  </si>
  <si>
    <t>Fluorescent Highlighters by Dixon</t>
  </si>
  <si>
    <t>O1000741</t>
  </si>
  <si>
    <t>C4458</t>
  </si>
  <si>
    <t>S984</t>
  </si>
  <si>
    <t>O1000742</t>
  </si>
  <si>
    <t>C6879</t>
  </si>
  <si>
    <t>OFF-BI-10003314</t>
  </si>
  <si>
    <t>Tuff Stuff Recycled Round Ring Binders</t>
  </si>
  <si>
    <t>O1000743</t>
  </si>
  <si>
    <t>C5863</t>
  </si>
  <si>
    <t>O1000744</t>
  </si>
  <si>
    <t>C3063</t>
  </si>
  <si>
    <t>S626</t>
  </si>
  <si>
    <t>O1000745</t>
  </si>
  <si>
    <t>C1921</t>
  </si>
  <si>
    <t>O1000746</t>
  </si>
  <si>
    <t>C8415</t>
  </si>
  <si>
    <t>O1000747</t>
  </si>
  <si>
    <t>TEC-AC-10002857</t>
  </si>
  <si>
    <t>Verbatim 25 GB 6x Blu-ray Single Layer Recordable Disc, 1/Pack</t>
  </si>
  <si>
    <t>O1000748</t>
  </si>
  <si>
    <t>C9254</t>
  </si>
  <si>
    <t>TEC-PH-10000439</t>
  </si>
  <si>
    <t>GE DSL Phone Line Filter</t>
  </si>
  <si>
    <t>S838</t>
  </si>
  <si>
    <t>O1000749</t>
  </si>
  <si>
    <t>C9139</t>
  </si>
  <si>
    <t>FUR-TA-10002855</t>
  </si>
  <si>
    <t>Bevis Round Conference Table Top &amp; Single Column Base</t>
  </si>
  <si>
    <t>S979</t>
  </si>
  <si>
    <t>O1000750</t>
  </si>
  <si>
    <t>C5029</t>
  </si>
  <si>
    <t>FUR-FU-10001057</t>
  </si>
  <si>
    <t>Tensor Track Tree Floor Lamp</t>
  </si>
  <si>
    <t>O1000751</t>
  </si>
  <si>
    <t>C1414</t>
  </si>
  <si>
    <t>OFF-AP-10000576</t>
  </si>
  <si>
    <t>Belkin 7 Outlet SurgeMaster II</t>
  </si>
  <si>
    <t>O1000752</t>
  </si>
  <si>
    <t>C7883</t>
  </si>
  <si>
    <t>S153</t>
  </si>
  <si>
    <t>O1000753</t>
  </si>
  <si>
    <t>C9621</t>
  </si>
  <si>
    <t>OFF-AR-10004999</t>
  </si>
  <si>
    <t>Newell 315</t>
  </si>
  <si>
    <t>O1000754</t>
  </si>
  <si>
    <t>C2076</t>
  </si>
  <si>
    <t>OFF-BI-10001098</t>
  </si>
  <si>
    <t>Acco D-Ring Binder w/DublLock</t>
  </si>
  <si>
    <t>S275</t>
  </si>
  <si>
    <t>O1000755</t>
  </si>
  <si>
    <t>C6667</t>
  </si>
  <si>
    <t>O1000756</t>
  </si>
  <si>
    <t>C5062</t>
  </si>
  <si>
    <t>S365</t>
  </si>
  <si>
    <t>O1000757</t>
  </si>
  <si>
    <t>C6032</t>
  </si>
  <si>
    <t>TEC-PH-10002070</t>
  </si>
  <si>
    <t>Griffin GC36547 PowerJolt SE Lightning Charger</t>
  </si>
  <si>
    <t>O1000758</t>
  </si>
  <si>
    <t>C8166</t>
  </si>
  <si>
    <t>TEC-PH-10002583</t>
  </si>
  <si>
    <t>iOttie HLCRIO102 Car Mount</t>
  </si>
  <si>
    <t>O1000759</t>
  </si>
  <si>
    <t>C5428</t>
  </si>
  <si>
    <t>OFF-FA-10000304</t>
  </si>
  <si>
    <t>Advantus Push Pins</t>
  </si>
  <si>
    <t>S436</t>
  </si>
  <si>
    <t>O1000760</t>
  </si>
  <si>
    <t>C2124</t>
  </si>
  <si>
    <t>TEC-AC-10003709</t>
  </si>
  <si>
    <t>Maxell 4.7GB DVD-R 5/Pack</t>
  </si>
  <si>
    <t>S895</t>
  </si>
  <si>
    <t>O1000761</t>
  </si>
  <si>
    <t>C7940</t>
  </si>
  <si>
    <t>FUR-CH-10002372</t>
  </si>
  <si>
    <t>Office Star - Ergonomically Designed Knee Chair</t>
  </si>
  <si>
    <t>O1000762</t>
  </si>
  <si>
    <t>C2229</t>
  </si>
  <si>
    <t>OFF-BI-10002103</t>
  </si>
  <si>
    <t>Cardinal Slant-D Ring Binder, Heavy Gauge Vinyl</t>
  </si>
  <si>
    <t>S534</t>
  </si>
  <si>
    <t>O1000763</t>
  </si>
  <si>
    <t>C2768</t>
  </si>
  <si>
    <t>FUR-TA-10004152</t>
  </si>
  <si>
    <t>Barricks 18" x 48" Non-Folding Utility Table with Bottom Storage Shelf</t>
  </si>
  <si>
    <t>O1000764</t>
  </si>
  <si>
    <t>OFF-BI-10001759</t>
  </si>
  <si>
    <t>Acco Pressboard Covers with Storage Hooks, 14 7/8" x 11", Dark Blue</t>
  </si>
  <si>
    <t>S632</t>
  </si>
  <si>
    <t>O1000765</t>
  </si>
  <si>
    <t>C9844</t>
  </si>
  <si>
    <t>OFF-BI-10002160</t>
  </si>
  <si>
    <t>Acco Hanging Data Binders</t>
  </si>
  <si>
    <t>S765</t>
  </si>
  <si>
    <t>O1000766</t>
  </si>
  <si>
    <t>OFF-BI-10003694</t>
  </si>
  <si>
    <t>Avery 3 1/2" Diskette Storage Pages, 10/Pack</t>
  </si>
  <si>
    <t>S197</t>
  </si>
  <si>
    <t>O1000767</t>
  </si>
  <si>
    <t>C9587</t>
  </si>
  <si>
    <t>O1000768</t>
  </si>
  <si>
    <t>C2447</t>
  </si>
  <si>
    <t>FUR-CH-10002024</t>
  </si>
  <si>
    <t>HON 5400 Series Task Chairs for Big and Tall</t>
  </si>
  <si>
    <t>O1000769</t>
  </si>
  <si>
    <t>C1690</t>
  </si>
  <si>
    <t>FUR-FU-10003577</t>
  </si>
  <si>
    <t>Nu-Dell Leatherette Frames</t>
  </si>
  <si>
    <t>O1000770</t>
  </si>
  <si>
    <t>C5797</t>
  </si>
  <si>
    <t>FUR-FU-10003724</t>
  </si>
  <si>
    <t>Westinghouse Clip-On Gooseneck Lamps</t>
  </si>
  <si>
    <t>O1000771</t>
  </si>
  <si>
    <t>C6416</t>
  </si>
  <si>
    <t>OFF-AR-10003481</t>
  </si>
  <si>
    <t>Newell 348</t>
  </si>
  <si>
    <t>S682</t>
  </si>
  <si>
    <t>O1000772</t>
  </si>
  <si>
    <t>C1313</t>
  </si>
  <si>
    <t>O1000773</t>
  </si>
  <si>
    <t>C2706</t>
  </si>
  <si>
    <t>OFF-BI-10001982</t>
  </si>
  <si>
    <t>Wilson Jones Custom Binder Spines &amp; Labels</t>
  </si>
  <si>
    <t>S355</t>
  </si>
  <si>
    <t>O1000774</t>
  </si>
  <si>
    <t>C1703</t>
  </si>
  <si>
    <t>OFF-BI-10002498</t>
  </si>
  <si>
    <t>Clear Mylar Reinforcing Strips</t>
  </si>
  <si>
    <t>S627</t>
  </si>
  <si>
    <t>O1000775</t>
  </si>
  <si>
    <t>C6260</t>
  </si>
  <si>
    <t>OFF-PA-10000418</t>
  </si>
  <si>
    <t>Xerox 189</t>
  </si>
  <si>
    <t>S980</t>
  </si>
  <si>
    <t>O1000776</t>
  </si>
  <si>
    <t>C4240</t>
  </si>
  <si>
    <t>OFF-PA-10002230</t>
  </si>
  <si>
    <t>Xerox 1897</t>
  </si>
  <si>
    <t>S641</t>
  </si>
  <si>
    <t>O1000777</t>
  </si>
  <si>
    <t>C5608</t>
  </si>
  <si>
    <t>OFF-PA-10003971</t>
  </si>
  <si>
    <t>Xerox 1965</t>
  </si>
  <si>
    <t>O1000778</t>
  </si>
  <si>
    <t>C7900</t>
  </si>
  <si>
    <t>OFF-PA-10004569</t>
  </si>
  <si>
    <t>Wirebound Message Books, Two 4 1/4" x 5" Forms per Page</t>
  </si>
  <si>
    <t>S496</t>
  </si>
  <si>
    <t>O1000779</t>
  </si>
  <si>
    <t>C4456</t>
  </si>
  <si>
    <t>O1000780</t>
  </si>
  <si>
    <t>C1359</t>
  </si>
  <si>
    <t>O1000781</t>
  </si>
  <si>
    <t>C9881</t>
  </si>
  <si>
    <t>OFF-ST-10003306</t>
  </si>
  <si>
    <t>Letter Size Cart</t>
  </si>
  <si>
    <t>O1000782</t>
  </si>
  <si>
    <t>TEC-AC-10000023</t>
  </si>
  <si>
    <t>Maxell 74 Minute CD-R Spindle, 50/Pack</t>
  </si>
  <si>
    <t>S126</t>
  </si>
  <si>
    <t>O1000783</t>
  </si>
  <si>
    <t>C8687</t>
  </si>
  <si>
    <t>FUR-CH-10001215</t>
  </si>
  <si>
    <t>Global Troy Executive Leather Low-Back Tilter</t>
  </si>
  <si>
    <t>O1000784</t>
  </si>
  <si>
    <t>C2237</t>
  </si>
  <si>
    <t>FUR-CH-10004997</t>
  </si>
  <si>
    <t>Hon Every-Day Series Multi-Task Chairs</t>
  </si>
  <si>
    <t>O1000785</t>
  </si>
  <si>
    <t>C6559</t>
  </si>
  <si>
    <t>O1000786</t>
  </si>
  <si>
    <t>C9997</t>
  </si>
  <si>
    <t>S638</t>
  </si>
  <si>
    <t>O1000787</t>
  </si>
  <si>
    <t>C3966</t>
  </si>
  <si>
    <t>OFF-AR-10002067</t>
  </si>
  <si>
    <t>Newell 334</t>
  </si>
  <si>
    <t>O1000788</t>
  </si>
  <si>
    <t>C1505</t>
  </si>
  <si>
    <t>OFF-BI-10000494</t>
  </si>
  <si>
    <t>Acco Economy Flexible Poly Round Ring Binder</t>
  </si>
  <si>
    <t>O1000789</t>
  </si>
  <si>
    <t>C3132</t>
  </si>
  <si>
    <t>OFF-EN-10003567</t>
  </si>
  <si>
    <t>Inter-Office Recycled Envelopes, Brown Kraft, Button-String,10" x 13" , 100/Box</t>
  </si>
  <si>
    <t>S587</t>
  </si>
  <si>
    <t>O1000790</t>
  </si>
  <si>
    <t>C3468</t>
  </si>
  <si>
    <t>O1000791</t>
  </si>
  <si>
    <t>C3158</t>
  </si>
  <si>
    <t>O1000792</t>
  </si>
  <si>
    <t>C1293</t>
  </si>
  <si>
    <t>FUR-TA-10004767</t>
  </si>
  <si>
    <t>Safco Drafting Table</t>
  </si>
  <si>
    <t>S136</t>
  </si>
  <si>
    <t>O1000793</t>
  </si>
  <si>
    <t>C2773</t>
  </si>
  <si>
    <t>OFF-AR-10002053</t>
  </si>
  <si>
    <t>Premium Writing Pencils, Soft, #2 by Central Association for the Blind</t>
  </si>
  <si>
    <t>O1000794</t>
  </si>
  <si>
    <t>C6191</t>
  </si>
  <si>
    <t>OFF-AR-10003190</t>
  </si>
  <si>
    <t>Newell 32</t>
  </si>
  <si>
    <t>S296</t>
  </si>
  <si>
    <t>O1000795</t>
  </si>
  <si>
    <t>C3830</t>
  </si>
  <si>
    <t>O1000796</t>
  </si>
  <si>
    <t>C4429</t>
  </si>
  <si>
    <t>OFF-ST-10003058</t>
  </si>
  <si>
    <t>Eldon Mobile Mega Data Cart  Mega Stackable  Add-On Trays</t>
  </si>
  <si>
    <t>O1000797</t>
  </si>
  <si>
    <t>C4772</t>
  </si>
  <si>
    <t>O1000798</t>
  </si>
  <si>
    <t>C7817</t>
  </si>
  <si>
    <t>TEC-AC-10002567</t>
  </si>
  <si>
    <t>Logitech G602 Wireless Gaming Mouse</t>
  </si>
  <si>
    <t>O1000799</t>
  </si>
  <si>
    <t>C3342</t>
  </si>
  <si>
    <t>OFF-AR-10000658</t>
  </si>
  <si>
    <t>Newell 324</t>
  </si>
  <si>
    <t>O1000800</t>
  </si>
  <si>
    <t>C7782</t>
  </si>
  <si>
    <t>O1000801</t>
  </si>
  <si>
    <t>C9444</t>
  </si>
  <si>
    <t>OFF-SU-10004664</t>
  </si>
  <si>
    <t>Acme Softgrip Scissors</t>
  </si>
  <si>
    <t>O1000802</t>
  </si>
  <si>
    <t>C7673</t>
  </si>
  <si>
    <t>TEC-AC-10001314</t>
  </si>
  <si>
    <t>Case Logic 2.4GHz Wireless Keyboard</t>
  </si>
  <si>
    <t>O1000803</t>
  </si>
  <si>
    <t>C9733</t>
  </si>
  <si>
    <t>TEC-AC-10002076</t>
  </si>
  <si>
    <t>Microsoft Natural Keyboard Elite</t>
  </si>
  <si>
    <t>O1000804</t>
  </si>
  <si>
    <t>C1082</t>
  </si>
  <si>
    <t>TEC-AC-10002167</t>
  </si>
  <si>
    <t>Imation 8gb Micro Traveldrive Usb 2.0 Flash Drive</t>
  </si>
  <si>
    <t>O1000805</t>
  </si>
  <si>
    <t>C7360</t>
  </si>
  <si>
    <t>O1000806</t>
  </si>
  <si>
    <t>C6967</t>
  </si>
  <si>
    <t>O1000807</t>
  </si>
  <si>
    <t>C2035</t>
  </si>
  <si>
    <t>O1000808</t>
  </si>
  <si>
    <t>C8504</t>
  </si>
  <si>
    <t>FUR-FU-10004351</t>
  </si>
  <si>
    <t>Staple-based wall hangings</t>
  </si>
  <si>
    <t>O1000809</t>
  </si>
  <si>
    <t>C6680</t>
  </si>
  <si>
    <t>S158</t>
  </si>
  <si>
    <t>O1000810</t>
  </si>
  <si>
    <t>C4942</t>
  </si>
  <si>
    <t>OFF-ST-10001228</t>
  </si>
  <si>
    <t>Fellowes Personal Hanging Folder Files, Navy</t>
  </si>
  <si>
    <t>S793</t>
  </si>
  <si>
    <t>O1000811</t>
  </si>
  <si>
    <t>C4646</t>
  </si>
  <si>
    <t>OFF-SU-10000151</t>
  </si>
  <si>
    <t>High Speed Automatic Electric Letter Opener</t>
  </si>
  <si>
    <t>S301</t>
  </si>
  <si>
    <t>O1000812</t>
  </si>
  <si>
    <t>C2125</t>
  </si>
  <si>
    <t>S658</t>
  </si>
  <si>
    <t>O1000813</t>
  </si>
  <si>
    <t>FUR-CH-10000553</t>
  </si>
  <si>
    <t>Metal Folding Chairs, Beige, 4/Carton</t>
  </si>
  <si>
    <t>S654</t>
  </si>
  <si>
    <t>O1000814</t>
  </si>
  <si>
    <t>C2080</t>
  </si>
  <si>
    <t>FUR-CH-10003312</t>
  </si>
  <si>
    <t>Hon 2090 “Pillow Soft” Series Mid Back Swivel/Tilt Chairs</t>
  </si>
  <si>
    <t>S733</t>
  </si>
  <si>
    <t>O1000815</t>
  </si>
  <si>
    <t>C2060</t>
  </si>
  <si>
    <t>FUR-FU-10000719</t>
  </si>
  <si>
    <t>DAX Cubicle Frames, 8-1/2 x 11</t>
  </si>
  <si>
    <t>S774</t>
  </si>
  <si>
    <t>O1000816</t>
  </si>
  <si>
    <t>C6147</t>
  </si>
  <si>
    <t>FUR-FU-10004018</t>
  </si>
  <si>
    <t>Tensor Computer Mounted Lamp</t>
  </si>
  <si>
    <t>O1000817</t>
  </si>
  <si>
    <t>C8608</t>
  </si>
  <si>
    <t>FUR-FU-10004666</t>
  </si>
  <si>
    <t>DAX Clear Channel Poster Frame</t>
  </si>
  <si>
    <t>O1000818</t>
  </si>
  <si>
    <t>C8455</t>
  </si>
  <si>
    <t>OFF-AP-10003281</t>
  </si>
  <si>
    <t>Acco 6 Outlet Guardian Standard Surge Suppressor</t>
  </si>
  <si>
    <t>O1000819</t>
  </si>
  <si>
    <t>C6655</t>
  </si>
  <si>
    <t>OFF-BI-10001524</t>
  </si>
  <si>
    <t>GBC Premium Transparent Covers with Diagonal Lined Pattern</t>
  </si>
  <si>
    <t>S102</t>
  </si>
  <si>
    <t>O1000820</t>
  </si>
  <si>
    <t>C9678</t>
  </si>
  <si>
    <t>OFF-BI-10001679</t>
  </si>
  <si>
    <t>GBC Instant Index System for Binding Systems</t>
  </si>
  <si>
    <t>O1000821</t>
  </si>
  <si>
    <t>C4767</t>
  </si>
  <si>
    <t>S210</t>
  </si>
  <si>
    <t>O1000822</t>
  </si>
  <si>
    <t>C2480</t>
  </si>
  <si>
    <t>OFF-LA-10002762</t>
  </si>
  <si>
    <t>Avery 485</t>
  </si>
  <si>
    <t>O1000823</t>
  </si>
  <si>
    <t>C3887</t>
  </si>
  <si>
    <t>OFF-ST-10004804</t>
  </si>
  <si>
    <t>Belkin 19" Vented Equipment Shelf, Black</t>
  </si>
  <si>
    <t>O1000824</t>
  </si>
  <si>
    <t>C1542</t>
  </si>
  <si>
    <t>TEC-AC-10002006</t>
  </si>
  <si>
    <t>Memorex Micro Travel Drive 16 GB</t>
  </si>
  <si>
    <t>O1000825</t>
  </si>
  <si>
    <t>C8016</t>
  </si>
  <si>
    <t>O1000826</t>
  </si>
  <si>
    <t>TEC-AC-10004814</t>
  </si>
  <si>
    <t>Logitech Illuminated Ultrathin Keyboard with Backlighting</t>
  </si>
  <si>
    <t>O1000827</t>
  </si>
  <si>
    <t>TEC-PH-10001363</t>
  </si>
  <si>
    <t>Apple iPhone 5S</t>
  </si>
  <si>
    <t>O1000828</t>
  </si>
  <si>
    <t>C5180</t>
  </si>
  <si>
    <t>OFF-PA-10002709</t>
  </si>
  <si>
    <t>Xerox 1956</t>
  </si>
  <si>
    <t>O1000829</t>
  </si>
  <si>
    <t>C3662</t>
  </si>
  <si>
    <t>S372</t>
  </si>
  <si>
    <t>O1000830</t>
  </si>
  <si>
    <t>C8524</t>
  </si>
  <si>
    <t>TEC-AC-10002842</t>
  </si>
  <si>
    <t>WD My Passport Ultra 2TB Portable External Hard Drive</t>
  </si>
  <si>
    <t>O1000831</t>
  </si>
  <si>
    <t>C1733</t>
  </si>
  <si>
    <t>FUR-FU-10003623</t>
  </si>
  <si>
    <t>DataProducts Ampli Magnifier Task Lamp, Black,</t>
  </si>
  <si>
    <t>S422</t>
  </si>
  <si>
    <t>O1000832</t>
  </si>
  <si>
    <t>C2453</t>
  </si>
  <si>
    <t>OFF-EN-10000781</t>
  </si>
  <si>
    <t>O1000833</t>
  </si>
  <si>
    <t>C4113</t>
  </si>
  <si>
    <t>OFF-FA-10000621</t>
  </si>
  <si>
    <t>OIC Colored Binder Clips, Assorted Sizes</t>
  </si>
  <si>
    <t>O1000834</t>
  </si>
  <si>
    <t>C8462</t>
  </si>
  <si>
    <t>FUR-BO-10002916</t>
  </si>
  <si>
    <t>Rush Hierlooms Collection 1" Thick Stackable Bookcases</t>
  </si>
  <si>
    <t>O1000835</t>
  </si>
  <si>
    <t>C7316</t>
  </si>
  <si>
    <t>O1000836</t>
  </si>
  <si>
    <t>C8227</t>
  </si>
  <si>
    <t>S575</t>
  </si>
  <si>
    <t>O1000837</t>
  </si>
  <si>
    <t>C9065</t>
  </si>
  <si>
    <t>OFF-BI-10004506</t>
  </si>
  <si>
    <t>Wilson Jones data.warehouse D-Ring Binders with DublLock</t>
  </si>
  <si>
    <t>S741</t>
  </si>
  <si>
    <t>O1000838</t>
  </si>
  <si>
    <t>C8120</t>
  </si>
  <si>
    <t>OFF-FA-10000992</t>
  </si>
  <si>
    <t>Acco Clips to Go Binder Clips, 24 Clips in Two Sizes</t>
  </si>
  <si>
    <t>O1000839</t>
  </si>
  <si>
    <t>C1720</t>
  </si>
  <si>
    <t>OFF-LA-10000240</t>
  </si>
  <si>
    <t>Self-Adhesive Address Labels for Typewriters by Universal</t>
  </si>
  <si>
    <t>S466</t>
  </si>
  <si>
    <t>O1000840</t>
  </si>
  <si>
    <t>C4320</t>
  </si>
  <si>
    <t>OFF-PA-10002377</t>
  </si>
  <si>
    <t>Xerox 1916</t>
  </si>
  <si>
    <t>O1000841</t>
  </si>
  <si>
    <t>C7282</t>
  </si>
  <si>
    <t>O1000842</t>
  </si>
  <si>
    <t>C9209</t>
  </si>
  <si>
    <t>OFF-ST-10002011</t>
  </si>
  <si>
    <t>Smead Adjustable Mobile File Trolley with Lockable Top</t>
  </si>
  <si>
    <t>O1000843</t>
  </si>
  <si>
    <t>C9598</t>
  </si>
  <si>
    <t>TEC-AC-10003237</t>
  </si>
  <si>
    <t>Memorex Micro Travel Drive 4 GB</t>
  </si>
  <si>
    <t>S351</t>
  </si>
  <si>
    <t>O1000844</t>
  </si>
  <si>
    <t>C8160</t>
  </si>
  <si>
    <t>FUR-TA-10004289</t>
  </si>
  <si>
    <t>BoxOffice By Design Rectangular and Half-Moon Meeting Room Tables</t>
  </si>
  <si>
    <t>S463</t>
  </si>
  <si>
    <t>O1000845</t>
  </si>
  <si>
    <t>C4776</t>
  </si>
  <si>
    <t>OFF-AP-10003622</t>
  </si>
  <si>
    <t>Bravo II Megaboss 12-Amp Hard Body Upright, Replacement Belts, 2 Belts per Pack</t>
  </si>
  <si>
    <t>O1000846</t>
  </si>
  <si>
    <t>C6550</t>
  </si>
  <si>
    <t>OFF-PA-10001019</t>
  </si>
  <si>
    <t>Xerox 1884</t>
  </si>
  <si>
    <t>S276</t>
  </si>
  <si>
    <t>O1000847</t>
  </si>
  <si>
    <t>C5336</t>
  </si>
  <si>
    <t>OFF-PA-10001289</t>
  </si>
  <si>
    <t>White Computer Printout Paper by Universal</t>
  </si>
  <si>
    <t>O1000848</t>
  </si>
  <si>
    <t>C4769</t>
  </si>
  <si>
    <t>O1000849</t>
  </si>
  <si>
    <t>C4536</t>
  </si>
  <si>
    <t>OFF-SU-10002537</t>
  </si>
  <si>
    <t>Acme Box Cutter Scissors</t>
  </si>
  <si>
    <t>S497</t>
  </si>
  <si>
    <t>O1000850</t>
  </si>
  <si>
    <t>C2260</t>
  </si>
  <si>
    <t>OFF-AP-10001271</t>
  </si>
  <si>
    <t>Eureka The Boss Cordless Rechargeable Stick Vac</t>
  </si>
  <si>
    <t>S230</t>
  </si>
  <si>
    <t>O1000851</t>
  </si>
  <si>
    <t>C6501</t>
  </si>
  <si>
    <t>OFF-AP-10003590</t>
  </si>
  <si>
    <t>Hoover WindTunnel Plus Canister Vacuum</t>
  </si>
  <si>
    <t>O1000852</t>
  </si>
  <si>
    <t>C2956</t>
  </si>
  <si>
    <t>OFF-AR-10000896</t>
  </si>
  <si>
    <t>Newell 329</t>
  </si>
  <si>
    <t>O1000853</t>
  </si>
  <si>
    <t>C3406</t>
  </si>
  <si>
    <t>S286</t>
  </si>
  <si>
    <t>O1000854</t>
  </si>
  <si>
    <t>C6084</t>
  </si>
  <si>
    <t>OFF-PA-10000806</t>
  </si>
  <si>
    <t>Xerox 1934</t>
  </si>
  <si>
    <t>O1000855</t>
  </si>
  <si>
    <t>C4193</t>
  </si>
  <si>
    <t>O1000856</t>
  </si>
  <si>
    <t>C7124</t>
  </si>
  <si>
    <t>OFF-ST-10002289</t>
  </si>
  <si>
    <t>Safco Wire Cube Shelving System, For Use as 4 or 5 14" Cubes, Black</t>
  </si>
  <si>
    <t>O1000857</t>
  </si>
  <si>
    <t>C5367</t>
  </si>
  <si>
    <t>TEC-AC-10002473</t>
  </si>
  <si>
    <t>Maxell 4.7GB DVD-R</t>
  </si>
  <si>
    <t>O1000858</t>
  </si>
  <si>
    <t>C8610</t>
  </si>
  <si>
    <t>TEC-PH-10002310</t>
  </si>
  <si>
    <t>Panasonic KX T7731-B Digital phone</t>
  </si>
  <si>
    <t>O1000859</t>
  </si>
  <si>
    <t>C5909</t>
  </si>
  <si>
    <t>FUR-CH-10002335</t>
  </si>
  <si>
    <t>Hon GuestStacker Chair</t>
  </si>
  <si>
    <t>O1000860</t>
  </si>
  <si>
    <t>C2269</t>
  </si>
  <si>
    <t>FUR-CH-10003817</t>
  </si>
  <si>
    <t>Global Value Steno Chair, Gray</t>
  </si>
  <si>
    <t>O1000861</t>
  </si>
  <si>
    <t>C8612</t>
  </si>
  <si>
    <t>FUR-TA-10001307</t>
  </si>
  <si>
    <t>SAFCO PlanMaster Heigh-Adjustable Drafting Table Base, 43w x 30d x 30-37h, Black</t>
  </si>
  <si>
    <t>S848</t>
  </si>
  <si>
    <t>O1000862</t>
  </si>
  <si>
    <t>C2739</t>
  </si>
  <si>
    <t>O1000863</t>
  </si>
  <si>
    <t>C7821</t>
  </si>
  <si>
    <t>OFF-AR-10004165</t>
  </si>
  <si>
    <t>Binney &amp; Smith inkTank Erasable Pocket Highlighter, Chisel Tip, Yellow</t>
  </si>
  <si>
    <t>S452</t>
  </si>
  <si>
    <t>O1000864</t>
  </si>
  <si>
    <t>C4081</t>
  </si>
  <si>
    <t>O1000865</t>
  </si>
  <si>
    <t>C9470</t>
  </si>
  <si>
    <t>OFF-AR-10004602</t>
  </si>
  <si>
    <t>Boston KS Multi-Size Manual Pencil Sharpener</t>
  </si>
  <si>
    <t>S748</t>
  </si>
  <si>
    <t>O1000866</t>
  </si>
  <si>
    <t>C9606</t>
  </si>
  <si>
    <t>Adams Phone Message Book, Professional, 400 Message Capacity, 5 3/6” x 11”</t>
  </si>
  <si>
    <t>O1000867</t>
  </si>
  <si>
    <t>C9460</t>
  </si>
  <si>
    <t>O1000868</t>
  </si>
  <si>
    <t>C9455</t>
  </si>
  <si>
    <t>O1000869</t>
  </si>
  <si>
    <t>C7324</t>
  </si>
  <si>
    <t>TEC-AC-10004510</t>
  </si>
  <si>
    <t>Logitech Desktop MK120 Mouse and keyboard Combo</t>
  </si>
  <si>
    <t>O1000870</t>
  </si>
  <si>
    <t>C4622</t>
  </si>
  <si>
    <t>TEC-PH-10002468</t>
  </si>
  <si>
    <t>Plantronics CS 50-USB - headset - Convertible, Monaural</t>
  </si>
  <si>
    <t>S559</t>
  </si>
  <si>
    <t>O1000871</t>
  </si>
  <si>
    <t>C4822</t>
  </si>
  <si>
    <t>O1000872</t>
  </si>
  <si>
    <t>C4447</t>
  </si>
  <si>
    <t>TEC-AC-10004571</t>
  </si>
  <si>
    <t>Logitech G700s Rechargeable Gaming Mouse</t>
  </si>
  <si>
    <t>O1000873</t>
  </si>
  <si>
    <t>C5547</t>
  </si>
  <si>
    <t>FUR-BO-10000468</t>
  </si>
  <si>
    <t>O'Sullivan 2-Shelf Heavy-Duty Bookcases</t>
  </si>
  <si>
    <t>S686</t>
  </si>
  <si>
    <t>O1000874</t>
  </si>
  <si>
    <t>C9751</t>
  </si>
  <si>
    <t>FUR-FU-10001602</t>
  </si>
  <si>
    <t>Eldon Delta Triangular Chair Mat, 52" x 58", Clear</t>
  </si>
  <si>
    <t>O1000875</t>
  </si>
  <si>
    <t>C3993</t>
  </si>
  <si>
    <t>S182</t>
  </si>
  <si>
    <t>O1000876</t>
  </si>
  <si>
    <t>C3553</t>
  </si>
  <si>
    <t>FUR-FU-10002088</t>
  </si>
  <si>
    <t>Nu-Dell Float Frame 11 x 14 1/2</t>
  </si>
  <si>
    <t>O1000877</t>
  </si>
  <si>
    <t>OFF-AP-10002495</t>
  </si>
  <si>
    <t>Acco Smartsocket Table Surge Protector, 6 Color-Coded Adapter Outlets</t>
  </si>
  <si>
    <t>O1000878</t>
  </si>
  <si>
    <t>C1187</t>
  </si>
  <si>
    <t>OFF-AP-10004708</t>
  </si>
  <si>
    <t>Fellowes Superior 10 Outlet Split Surge Protector</t>
  </si>
  <si>
    <t>O1000879</t>
  </si>
  <si>
    <t>C2524</t>
  </si>
  <si>
    <t>OFF-EN-10002500</t>
  </si>
  <si>
    <t>Globe Weis Peel &amp; Seel First Class Envelopes</t>
  </si>
  <si>
    <t>S526</t>
  </si>
  <si>
    <t>O1000880</t>
  </si>
  <si>
    <t>OFF-ST-10000532</t>
  </si>
  <si>
    <t>Advantus Rolling Drawer Organizers</t>
  </si>
  <si>
    <t>O1000881</t>
  </si>
  <si>
    <t>C1713</t>
  </si>
  <si>
    <t>TEC-AC-10001767</t>
  </si>
  <si>
    <t>SanDisk Ultra 64 GB MicroSDHC Class 10 Memory Card</t>
  </si>
  <si>
    <t>O1000882</t>
  </si>
  <si>
    <t>C2588</t>
  </si>
  <si>
    <t>TEC-CO-10001571</t>
  </si>
  <si>
    <t>Sharp 1540cs Digital Laser Copier</t>
  </si>
  <si>
    <t>O1000883</t>
  </si>
  <si>
    <t>C5502</t>
  </si>
  <si>
    <t>TEC-CO-10004115</t>
  </si>
  <si>
    <t>Sharp AL-1530CS Digital Copier</t>
  </si>
  <si>
    <t>O1000884</t>
  </si>
  <si>
    <t>C1296</t>
  </si>
  <si>
    <t>O1000885</t>
  </si>
  <si>
    <t>C2816</t>
  </si>
  <si>
    <t>TEC-PH-10002398</t>
  </si>
  <si>
    <t>AT&amp;T 1070 Corded Phone</t>
  </si>
  <si>
    <t>O1000886</t>
  </si>
  <si>
    <t>C1643</t>
  </si>
  <si>
    <t>OFF-AP-10004336</t>
  </si>
  <si>
    <t>Conquest 14 Commercial Heavy-Duty Upright Vacuum, Collection System, Accessory Kit</t>
  </si>
  <si>
    <t>O1000887</t>
  </si>
  <si>
    <t>C1013</t>
  </si>
  <si>
    <t>OFF-AR-10004587</t>
  </si>
  <si>
    <t>Boston 1827 Commercial Additional Cutter, Drive Gear &amp; Gear Rack for 1606</t>
  </si>
  <si>
    <t>S402</t>
  </si>
  <si>
    <t>O1000888</t>
  </si>
  <si>
    <t>C4645</t>
  </si>
  <si>
    <t>OFF-BI-10001718</t>
  </si>
  <si>
    <t>GBC DocuBind P50 Personal Binding Machine</t>
  </si>
  <si>
    <t>O1000889</t>
  </si>
  <si>
    <t>C7757</t>
  </si>
  <si>
    <t>S796</t>
  </si>
  <si>
    <t>O1000890</t>
  </si>
  <si>
    <t>C3311</t>
  </si>
  <si>
    <t>OFF-BI-10004600</t>
  </si>
  <si>
    <t>Ibico Ibimaster 300 Manual Binding System</t>
  </si>
  <si>
    <t>S336</t>
  </si>
  <si>
    <t>O1000891</t>
  </si>
  <si>
    <t>C6036</t>
  </si>
  <si>
    <t>OFF-FA-10004838</t>
  </si>
  <si>
    <t>Super Bands, 12/Pack</t>
  </si>
  <si>
    <t>O1000892</t>
  </si>
  <si>
    <t>C5864</t>
  </si>
  <si>
    <t>OFF-LA-10000262</t>
  </si>
  <si>
    <t>Avery 494</t>
  </si>
  <si>
    <t>O1000893</t>
  </si>
  <si>
    <t>C9064</t>
  </si>
  <si>
    <t>OFF-PA-10001667</t>
  </si>
  <si>
    <t>Great White Multi-Use Recycled Paper (20Lb. and 84 Bright)</t>
  </si>
  <si>
    <t>O1000894</t>
  </si>
  <si>
    <t>C9582</t>
  </si>
  <si>
    <t>OFF-PA-10001937</t>
  </si>
  <si>
    <t>Xerox 21</t>
  </si>
  <si>
    <t>O1000895</t>
  </si>
  <si>
    <t>C1272</t>
  </si>
  <si>
    <t>TEC-PH-10000038</t>
  </si>
  <si>
    <t>Jawbone MINI JAMBOX Wireless Bluetooth Speaker</t>
  </si>
  <si>
    <t>S925</t>
  </si>
  <si>
    <t>O1000896</t>
  </si>
  <si>
    <t>C8832</t>
  </si>
  <si>
    <t>Cisco Unified IP Phone 7945G VoIP phone</t>
  </si>
  <si>
    <t>S325</t>
  </si>
  <si>
    <t>O1000897</t>
  </si>
  <si>
    <t>C1506</t>
  </si>
  <si>
    <t>O1000898</t>
  </si>
  <si>
    <t>C3968</t>
  </si>
  <si>
    <t>FUR-FU-10003691</t>
  </si>
  <si>
    <t>Eldon Image Series Desk Accessories, Ebony</t>
  </si>
  <si>
    <t>S514</t>
  </si>
  <si>
    <t>O1000899</t>
  </si>
  <si>
    <t>OFF-AR-10003903</t>
  </si>
  <si>
    <t>Sanford 52201 APSCO Electric Pencil Sharpener</t>
  </si>
  <si>
    <t>S719</t>
  </si>
  <si>
    <t>O1000900</t>
  </si>
  <si>
    <t>C2221</t>
  </si>
  <si>
    <t>OFF-FA-10004854</t>
  </si>
  <si>
    <t>Vinyl Coated Wire Paper Clips in Organizer Box, 800/Box</t>
  </si>
  <si>
    <t>S220</t>
  </si>
  <si>
    <t>O1000901</t>
  </si>
  <si>
    <t>C8020</t>
  </si>
  <si>
    <t>OFF-ST-10004459</t>
  </si>
  <si>
    <t>Tennsco Single-Tier Lockers</t>
  </si>
  <si>
    <t>O1000902</t>
  </si>
  <si>
    <t>S991</t>
  </si>
  <si>
    <t>O1000903</t>
  </si>
  <si>
    <t>C7381</t>
  </si>
  <si>
    <t>OFF-AP-10002403</t>
  </si>
  <si>
    <t>Acco Smartsocket Color-Coded Six-Outlet AC Adapter Model Surge Protectors</t>
  </si>
  <si>
    <t>O1000904</t>
  </si>
  <si>
    <t>C6426</t>
  </si>
  <si>
    <t>OFF-AR-10004344</t>
  </si>
  <si>
    <t>Bulldog Vacuum Base Pencil Sharpener</t>
  </si>
  <si>
    <t>S288</t>
  </si>
  <si>
    <t>O1000905</t>
  </si>
  <si>
    <t>C4201</t>
  </si>
  <si>
    <t>OFF-BI-10000138</t>
  </si>
  <si>
    <t>Acco Translucent Poly Ring Binders</t>
  </si>
  <si>
    <t>S337</t>
  </si>
  <si>
    <t>O1000906</t>
  </si>
  <si>
    <t>C8049</t>
  </si>
  <si>
    <t>OFF-BI-10002854</t>
  </si>
  <si>
    <t>Performers Binder/Pad Holder, Black</t>
  </si>
  <si>
    <t>O1000907</t>
  </si>
  <si>
    <t>C6905</t>
  </si>
  <si>
    <t>S718</t>
  </si>
  <si>
    <t>O1000908</t>
  </si>
  <si>
    <t>C2185</t>
  </si>
  <si>
    <t>OFF-PA-10000295</t>
  </si>
  <si>
    <t>Xerox 229</t>
  </si>
  <si>
    <t>O1000909</t>
  </si>
  <si>
    <t>C3927</t>
  </si>
  <si>
    <t>OFF-SU-10000432</t>
  </si>
  <si>
    <t>Acco Side-Punched Conventional Columnar Pads</t>
  </si>
  <si>
    <t>S847</t>
  </si>
  <si>
    <t>O1000910</t>
  </si>
  <si>
    <t>C5213</t>
  </si>
  <si>
    <t>S385</t>
  </si>
  <si>
    <t>O1000911</t>
  </si>
  <si>
    <t>C2321</t>
  </si>
  <si>
    <t>O1000912</t>
  </si>
  <si>
    <t>C4180</t>
  </si>
  <si>
    <t>TEC-PH-10003691</t>
  </si>
  <si>
    <t>BlackBerry Q10</t>
  </si>
  <si>
    <t>O1000913</t>
  </si>
  <si>
    <t>C2965</t>
  </si>
  <si>
    <t>FUR-CH-10003833</t>
  </si>
  <si>
    <t>Novimex Fabric Task Chair</t>
  </si>
  <si>
    <t>S599</t>
  </si>
  <si>
    <t>O1000914</t>
  </si>
  <si>
    <t>C2460</t>
  </si>
  <si>
    <t>OFF-AP-10003287</t>
  </si>
  <si>
    <t>Tripp Lite TLP810NET Broadband Surge for Modem/Fax</t>
  </si>
  <si>
    <t>S911</t>
  </si>
  <si>
    <t>O1000915</t>
  </si>
  <si>
    <t>C7289</t>
  </si>
  <si>
    <t>S229</t>
  </si>
  <si>
    <t>O1000916</t>
  </si>
  <si>
    <t>C3732</t>
  </si>
  <si>
    <t>OFF-BI-10001989</t>
  </si>
  <si>
    <t>Premium Transparent Presentation Covers by GBC</t>
  </si>
  <si>
    <t>O1000917</t>
  </si>
  <si>
    <t>C8210</t>
  </si>
  <si>
    <t>OFF-BI-10002309</t>
  </si>
  <si>
    <t>Avery Heavy-Duty EZD  Binder With Locking Rings</t>
  </si>
  <si>
    <t>O1000918</t>
  </si>
  <si>
    <t>S830</t>
  </si>
  <si>
    <t>O1000919</t>
  </si>
  <si>
    <t>C2198</t>
  </si>
  <si>
    <t>O1000920</t>
  </si>
  <si>
    <t>C7967</t>
  </si>
  <si>
    <t>O1000921</t>
  </si>
  <si>
    <t>C4158</t>
  </si>
  <si>
    <t>OFF-PA-10000312</t>
  </si>
  <si>
    <t>Xerox 1955</t>
  </si>
  <si>
    <t>O1000922</t>
  </si>
  <si>
    <t>C7334</t>
  </si>
  <si>
    <t>O1000923</t>
  </si>
  <si>
    <t>S130</t>
  </si>
  <si>
    <t>O1000924</t>
  </si>
  <si>
    <t>OFF-FA-10002676</t>
  </si>
  <si>
    <t>Colored Push Pins</t>
  </si>
  <si>
    <t>O1000925</t>
  </si>
  <si>
    <t>C6474</t>
  </si>
  <si>
    <t>OFF-PA-10000595</t>
  </si>
  <si>
    <t>Xerox 1929</t>
  </si>
  <si>
    <t>S445</t>
  </si>
  <si>
    <t>O1000926</t>
  </si>
  <si>
    <t>C5526</t>
  </si>
  <si>
    <t>OFF-PA-10001639</t>
  </si>
  <si>
    <t>Xerox 203</t>
  </si>
  <si>
    <t>O1000927</t>
  </si>
  <si>
    <t>TEC-AC-10000844</t>
  </si>
  <si>
    <t>Logitech Gaming G510s - Keyboard</t>
  </si>
  <si>
    <t>S371</t>
  </si>
  <si>
    <t>O1000928</t>
  </si>
  <si>
    <t>C2617</t>
  </si>
  <si>
    <t>O1000929</t>
  </si>
  <si>
    <t>C2448</t>
  </si>
  <si>
    <t>S621</t>
  </si>
  <si>
    <t>O1000930</t>
  </si>
  <si>
    <t>C5436</t>
  </si>
  <si>
    <t>OFF-AR-10004930</t>
  </si>
  <si>
    <t>Turquoise Lead Holder with Pocket Clip</t>
  </si>
  <si>
    <t>O1000931</t>
  </si>
  <si>
    <t>C4892</t>
  </si>
  <si>
    <t>OFF-BI-10000632</t>
  </si>
  <si>
    <t>Satellite Sectional Post Binders</t>
  </si>
  <si>
    <t>O1000932</t>
  </si>
  <si>
    <t>C4829</t>
  </si>
  <si>
    <t>O1000933</t>
  </si>
  <si>
    <t>C7329</t>
  </si>
  <si>
    <t>S520</t>
  </si>
  <si>
    <t>O1000934</t>
  </si>
  <si>
    <t>OFF-SU-10004768</t>
  </si>
  <si>
    <t>Acme Kleencut Forged Steel Scissors</t>
  </si>
  <si>
    <t>S311</t>
  </si>
  <si>
    <t>O1000935</t>
  </si>
  <si>
    <t>C7630</t>
  </si>
  <si>
    <t>S967</t>
  </si>
  <si>
    <t>O1000936</t>
  </si>
  <si>
    <t>C2616</t>
  </si>
  <si>
    <t>S982</t>
  </si>
  <si>
    <t>O1000937</t>
  </si>
  <si>
    <t>O1000938</t>
  </si>
  <si>
    <t>C5208</t>
  </si>
  <si>
    <t>S571</t>
  </si>
  <si>
    <t>O1000939</t>
  </si>
  <si>
    <t>C9659</t>
  </si>
  <si>
    <t>OFF-BI-10001359</t>
  </si>
  <si>
    <t>GBC DocuBind TL300 Electric Binding System</t>
  </si>
  <si>
    <t>O1000940</t>
  </si>
  <si>
    <t>C4471</t>
  </si>
  <si>
    <t>OFF-PA-10000246</t>
  </si>
  <si>
    <t>Riverleaf Stik-Withit Designer Note Cubes</t>
  </si>
  <si>
    <t>S165</t>
  </si>
  <si>
    <t>O1000941</t>
  </si>
  <si>
    <t>C4726</t>
  </si>
  <si>
    <t>OFF-AR-10002804</t>
  </si>
  <si>
    <t>Faber Castell Col-Erase Pencils</t>
  </si>
  <si>
    <t>S133</t>
  </si>
  <si>
    <t>O1000942</t>
  </si>
  <si>
    <t>C5669</t>
  </si>
  <si>
    <t>OFF-PA-10001846</t>
  </si>
  <si>
    <t>Xerox 1899</t>
  </si>
  <si>
    <t>S340</t>
  </si>
  <si>
    <t>O1000943</t>
  </si>
  <si>
    <t>C3813</t>
  </si>
  <si>
    <t>OFF-SU-10003936</t>
  </si>
  <si>
    <t>Acme Serrated Blade Letter Opener</t>
  </si>
  <si>
    <t>O1000944</t>
  </si>
  <si>
    <t>C3415</t>
  </si>
  <si>
    <t>FUR-FU-10003274</t>
  </si>
  <si>
    <t>Regeneration Desk Collection</t>
  </si>
  <si>
    <t>O1000945</t>
  </si>
  <si>
    <t>C6860</t>
  </si>
  <si>
    <t>O1000946</t>
  </si>
  <si>
    <t>C7917</t>
  </si>
  <si>
    <t>OFF-PA-10000019</t>
  </si>
  <si>
    <t>Xerox 1931</t>
  </si>
  <si>
    <t>O1000947</t>
  </si>
  <si>
    <t>C7602</t>
  </si>
  <si>
    <t>OFF-PA-10001125</t>
  </si>
  <si>
    <t>Xerox 1988</t>
  </si>
  <si>
    <t>O1000948</t>
  </si>
  <si>
    <t>OFF-PA-10001837</t>
  </si>
  <si>
    <t>Xerox 1976</t>
  </si>
  <si>
    <t>S904</t>
  </si>
  <si>
    <t>O1000949</t>
  </si>
  <si>
    <t>C5849</t>
  </si>
  <si>
    <t>OFF-PA-10001934</t>
  </si>
  <si>
    <t>Xerox 1993</t>
  </si>
  <si>
    <t>O1000950</t>
  </si>
  <si>
    <t>C4808</t>
  </si>
  <si>
    <t>OFF-PA-10003936</t>
  </si>
  <si>
    <t>Xerox 1994</t>
  </si>
  <si>
    <t>S941</t>
  </si>
  <si>
    <t>O1000951</t>
  </si>
  <si>
    <t>C2022</t>
  </si>
  <si>
    <t>OFF-PA-10004530</t>
  </si>
  <si>
    <t>Personal Creations Ink Jet Cards and Labels</t>
  </si>
  <si>
    <t>O1000952</t>
  </si>
  <si>
    <t>C8568</t>
  </si>
  <si>
    <t>OFF-SU-10004661</t>
  </si>
  <si>
    <t>Acme Titanium Bonded Scissors</t>
  </si>
  <si>
    <t>O1000953</t>
  </si>
  <si>
    <t>C8101</t>
  </si>
  <si>
    <t>TEC-PH-10000149</t>
  </si>
  <si>
    <t>Cisco SPA525G2 IP Phone - Wireless</t>
  </si>
  <si>
    <t>O1000954</t>
  </si>
  <si>
    <t>C8649</t>
  </si>
  <si>
    <t>FUR-FU-10004586</t>
  </si>
  <si>
    <t>G.E. Longer-Life Indoor Recessed Floodlight Bulbs</t>
  </si>
  <si>
    <t>S427</t>
  </si>
  <si>
    <t>O1000955</t>
  </si>
  <si>
    <t>C2747</t>
  </si>
  <si>
    <t>O1000956</t>
  </si>
  <si>
    <t>OFF-BI-10002799</t>
  </si>
  <si>
    <t>SlimView Poly Binder, 3/8"</t>
  </si>
  <si>
    <t>O1000957</t>
  </si>
  <si>
    <t>C7492</t>
  </si>
  <si>
    <t>O1000958</t>
  </si>
  <si>
    <t>FUR-FU-10000771</t>
  </si>
  <si>
    <t>Eldon 200 Class Desk Accessories, Smoke</t>
  </si>
  <si>
    <t>S316</t>
  </si>
  <si>
    <t>O1000959</t>
  </si>
  <si>
    <t>O1000960</t>
  </si>
  <si>
    <t>C9446</t>
  </si>
  <si>
    <t>O1000961</t>
  </si>
  <si>
    <t>C3745</t>
  </si>
  <si>
    <t>OFF-BI-10002133</t>
  </si>
  <si>
    <t>Wilson Jones Elliptical Ring 3 1/2" Capacity Binders, 800 sheets</t>
  </si>
  <si>
    <t>O1000962</t>
  </si>
  <si>
    <t>C1722</t>
  </si>
  <si>
    <t>OFF-BI-10002225</t>
  </si>
  <si>
    <t>Square Ring Data Binders, Rigid 75 Pt. Covers, 11" x 14-7/8"</t>
  </si>
  <si>
    <t>O1000963</t>
  </si>
  <si>
    <t>C7538</t>
  </si>
  <si>
    <t>OFF-BI-10004141</t>
  </si>
  <si>
    <t>Insertable Tab Indexes For Data Binders</t>
  </si>
  <si>
    <t>O1000964</t>
  </si>
  <si>
    <t>C7991</t>
  </si>
  <si>
    <t>O1000965</t>
  </si>
  <si>
    <t>C4358</t>
  </si>
  <si>
    <t>OFF-EN-10002600</t>
  </si>
  <si>
    <t>Redi-Strip #10 Envelopes, 4 1/8 x 9 1/2</t>
  </si>
  <si>
    <t>O1000966</t>
  </si>
  <si>
    <t>C2821</t>
  </si>
  <si>
    <t>O1000967</t>
  </si>
  <si>
    <t>C9466</t>
  </si>
  <si>
    <t>OFF-PA-10004965</t>
  </si>
  <si>
    <t>Xerox 1921</t>
  </si>
  <si>
    <t>O1000968</t>
  </si>
  <si>
    <t>C6447</t>
  </si>
  <si>
    <t>OFF-PA-10004983</t>
  </si>
  <si>
    <t>Xerox 23</t>
  </si>
  <si>
    <t>S462</t>
  </si>
  <si>
    <t>O1000969</t>
  </si>
  <si>
    <t>C1815</t>
  </si>
  <si>
    <t>OFF-ST-10004258</t>
  </si>
  <si>
    <t>Portable Personal File Box</t>
  </si>
  <si>
    <t>S221</t>
  </si>
  <si>
    <t>O1000970</t>
  </si>
  <si>
    <t>TEC-AC-10002399</t>
  </si>
  <si>
    <t>SanDisk Cruzer 32 GB USB Flash Drive</t>
  </si>
  <si>
    <t>O1000971</t>
  </si>
  <si>
    <t>C9025</t>
  </si>
  <si>
    <t>O1000972</t>
  </si>
  <si>
    <t>C2787</t>
  </si>
  <si>
    <t>O1000973</t>
  </si>
  <si>
    <t>C8062</t>
  </si>
  <si>
    <t>OFF-AR-10003770</t>
  </si>
  <si>
    <t>Newell 340</t>
  </si>
  <si>
    <t>O1000974</t>
  </si>
  <si>
    <t>C2799</t>
  </si>
  <si>
    <t>OFF-PA-10002160</t>
  </si>
  <si>
    <t>Xerox 1978</t>
  </si>
  <si>
    <t>O1000975</t>
  </si>
  <si>
    <t>C7135</t>
  </si>
  <si>
    <t>OFF-PA-10002659</t>
  </si>
  <si>
    <t>Avoid Verbal Orders Carbonless Minifold Book</t>
  </si>
  <si>
    <t>O1000976</t>
  </si>
  <si>
    <t>C8094</t>
  </si>
  <si>
    <t>O1000977</t>
  </si>
  <si>
    <t>C5076</t>
  </si>
  <si>
    <t>S856</t>
  </si>
  <si>
    <t>O1000978</t>
  </si>
  <si>
    <t>C2702</t>
  </si>
  <si>
    <t>FUR-FU-10002456</t>
  </si>
  <si>
    <t>Master Caster Door Stop, Large Neon Orange</t>
  </si>
  <si>
    <t>O1000979</t>
  </si>
  <si>
    <t>C5645</t>
  </si>
  <si>
    <t>FUR-TA-10003569</t>
  </si>
  <si>
    <t>Bretford CR8500 Series Meeting Room Furniture</t>
  </si>
  <si>
    <t>S473</t>
  </si>
  <si>
    <t>O1000980</t>
  </si>
  <si>
    <t>C6374</t>
  </si>
  <si>
    <t>O1000981</t>
  </si>
  <si>
    <t>C3217</t>
  </si>
  <si>
    <t>OFF-BI-10002215</t>
  </si>
  <si>
    <t>Wilson Jones Hanging View Binder, White, 1"</t>
  </si>
  <si>
    <t>O1000982</t>
  </si>
  <si>
    <t>C8091</t>
  </si>
  <si>
    <t>O1000983</t>
  </si>
  <si>
    <t>C5206</t>
  </si>
  <si>
    <t>TEC-PH-10000455</t>
  </si>
  <si>
    <t>GE 30522EE2</t>
  </si>
  <si>
    <t>S202</t>
  </si>
  <si>
    <t>O1000984</t>
  </si>
  <si>
    <t>C9972</t>
  </si>
  <si>
    <t>TEC-PH-10001949</t>
  </si>
  <si>
    <t>Cisco SPA 501G IP Phone</t>
  </si>
  <si>
    <t>O1000985</t>
  </si>
  <si>
    <t>C9459</t>
  </si>
  <si>
    <t>FUR-TA-10001857</t>
  </si>
  <si>
    <t>Balt Solid Wood Rectangular Table</t>
  </si>
  <si>
    <t>O1000986</t>
  </si>
  <si>
    <t>C6842</t>
  </si>
  <si>
    <t>O1000987</t>
  </si>
  <si>
    <t>C7528</t>
  </si>
  <si>
    <t>OFF-EN-10001749</t>
  </si>
  <si>
    <t>Jiffy Padded Mailers with Self-Seal Closure</t>
  </si>
  <si>
    <t>O1000988</t>
  </si>
  <si>
    <t>C6104</t>
  </si>
  <si>
    <t>OFF-PA-10003001</t>
  </si>
  <si>
    <t>Xerox 1986</t>
  </si>
  <si>
    <t>O1000989</t>
  </si>
  <si>
    <t>C6968</t>
  </si>
  <si>
    <t>OFF-PA-10004475</t>
  </si>
  <si>
    <t>Xerox 1940</t>
  </si>
  <si>
    <t>O1000990</t>
  </si>
  <si>
    <t>C6189</t>
  </si>
  <si>
    <t>OFF-BI-10002432</t>
  </si>
  <si>
    <t>Wilson Jones Standard D-Ring Binders</t>
  </si>
  <si>
    <t>S684</t>
  </si>
  <si>
    <t>O1000991</t>
  </si>
  <si>
    <t>C1236</t>
  </si>
  <si>
    <t>O1000992</t>
  </si>
  <si>
    <t>C1910</t>
  </si>
  <si>
    <t>TEC-AC-10001635</t>
  </si>
  <si>
    <t>KeyTronic KT400U2 - Keyboard - Black</t>
  </si>
  <si>
    <t>O1000993</t>
  </si>
  <si>
    <t>OFF-AR-10004042</t>
  </si>
  <si>
    <t>BOSTON Model 1800 Electric Pencil Sharpeners, Putty/Woodgrain</t>
  </si>
  <si>
    <t>O1000994</t>
  </si>
  <si>
    <t>OFF-BI-10002949</t>
  </si>
  <si>
    <t>Prestige Round Ring Binders</t>
  </si>
  <si>
    <t>O1000995</t>
  </si>
  <si>
    <t>C7666</t>
  </si>
  <si>
    <t>OFF-BI-10004716</t>
  </si>
  <si>
    <t>Wilson Jones Hanging Recycled Pressboard Data Binders</t>
  </si>
  <si>
    <t>O1000996</t>
  </si>
  <si>
    <t>C9301</t>
  </si>
  <si>
    <t>OFF-PA-10004100</t>
  </si>
  <si>
    <t>Xerox 216</t>
  </si>
  <si>
    <t>O1000997</t>
  </si>
  <si>
    <t>C8254</t>
  </si>
  <si>
    <t>O1000998</t>
  </si>
  <si>
    <t>C1354</t>
  </si>
  <si>
    <t>FUR-FU-10002116</t>
  </si>
  <si>
    <t>Tenex Carpeted, Granite-Look or Clear Contemporary Contour Shape Chair Mats</t>
  </si>
  <si>
    <t>S928</t>
  </si>
  <si>
    <t>O1000999</t>
  </si>
  <si>
    <t>C3295</t>
  </si>
  <si>
    <t>S485</t>
  </si>
  <si>
    <t>Order &amp; Sales KPIs</t>
  </si>
  <si>
    <t>Total Orders</t>
  </si>
  <si>
    <t>Total Sales Revenue</t>
  </si>
  <si>
    <t>Average Order Value</t>
  </si>
  <si>
    <t>Cost &amp; Procurement KPIs</t>
  </si>
  <si>
    <t>Procurement Cost</t>
  </si>
  <si>
    <t>Transportation Cost</t>
  </si>
  <si>
    <t>Total Supply Chain Cost</t>
  </si>
  <si>
    <t>Cost Per Unit</t>
  </si>
  <si>
    <t>Logistics &amp; Delivery KPIs</t>
  </si>
  <si>
    <t>On-Time Delivery %</t>
  </si>
  <si>
    <t>Average Delays Days</t>
  </si>
  <si>
    <t>Demand &amp; Fulfillment KPIs</t>
  </si>
  <si>
    <t>Fill Rate</t>
  </si>
  <si>
    <t>Backorder Rate</t>
  </si>
  <si>
    <t>Row Labels</t>
  </si>
  <si>
    <t>Grand Total</t>
  </si>
  <si>
    <t>Count of Order_ID</t>
  </si>
  <si>
    <t>2020</t>
  </si>
  <si>
    <t>2021</t>
  </si>
  <si>
    <t>2022</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</si>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</sst>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h\.mm"/>
    <numFmt numFmtId="165" formatCode="[$$-409]#,##0"/>
    <numFmt numFmtId="166" formatCode="&quot;₹&quot;\ #,##0.00"/>
  </numFmts>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xf numFmtId="165" fontId="0" fillId="0" borderId="0" xfId="0" applyNumberFormat="1"/>
    <xf numFmtId="0" fontId="2" fillId="0" borderId="0" xfId="0" applyFont="1"/>
    <xf numFmtId="9"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mm"/>
    </dxf>
    <dxf>
      <numFmt numFmtId="164" formatCode="dd/mm/yyyy\ h\.mm"/>
    </dxf>
    <dxf>
      <numFmt numFmtId="0" formatCode="General"/>
    </dxf>
    <dxf>
      <numFmt numFmtId="0" formatCode="General"/>
    </dxf>
  </dxfs>
  <tableStyles count="0" defaultTableStyle="TableStyleMedium2" defaultPivotStyle="PivotStyleLight16"/>
  <colors>
    <mruColors>
      <color rgb="FF0000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File.xlsx]Pivot!PivotTable3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ORDER TREND</a:t>
            </a:r>
          </a:p>
        </c:rich>
      </c:tx>
      <c:layout>
        <c:manualLayout>
          <c:xMode val="edge"/>
          <c:yMode val="edge"/>
          <c:x val="0.42343097352704773"/>
          <c:y val="5.82632683124434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79375" cap="rnd">
            <a:gradFill>
              <a:gsLst>
                <a:gs pos="0">
                  <a:schemeClr val="accent3">
                    <a:lumMod val="50000"/>
                  </a:schemeClr>
                </a:gs>
                <a:gs pos="100000">
                  <a:schemeClr val="accent1">
                    <a:lumMod val="5000"/>
                    <a:lumOff val="95000"/>
                  </a:schemeClr>
                </a:gs>
                <a:gs pos="0">
                  <a:schemeClr val="accent3">
                    <a:lumMod val="20000"/>
                    <a:lumOff val="80000"/>
                  </a:schemeClr>
                </a:gs>
                <a:gs pos="100000">
                  <a:schemeClr val="accent3">
                    <a:lumMod val="60000"/>
                    <a:lumOff val="40000"/>
                  </a:schemeClr>
                </a:gs>
                <a:gs pos="99000">
                  <a:schemeClr val="accent3">
                    <a:lumMod val="40000"/>
                    <a:lumOff val="60000"/>
                  </a:schemeClr>
                </a:gs>
                <a:gs pos="98000">
                  <a:schemeClr val="accent3">
                    <a:lumMod val="50000"/>
                  </a:schemeClr>
                </a:gs>
              </a:gsLst>
              <a:lin ang="5400000" scaled="1"/>
            </a:gradFill>
            <a:round/>
          </a:ln>
          <a:effectLst/>
        </c:spPr>
        <c:marker>
          <c:symbol val="diamond"/>
          <c:size val="7"/>
          <c:spPr>
            <a:solidFill>
              <a:schemeClr val="bg1"/>
            </a:solidFill>
            <a:ln w="15875">
              <a:solidFill>
                <a:srgbClr val="0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79375" cap="rnd">
            <a:gradFill>
              <a:gsLst>
                <a:gs pos="0">
                  <a:schemeClr val="accent3">
                    <a:lumMod val="50000"/>
                  </a:schemeClr>
                </a:gs>
                <a:gs pos="100000">
                  <a:schemeClr val="accent1">
                    <a:lumMod val="5000"/>
                    <a:lumOff val="95000"/>
                  </a:schemeClr>
                </a:gs>
                <a:gs pos="0">
                  <a:schemeClr val="accent3">
                    <a:lumMod val="20000"/>
                    <a:lumOff val="80000"/>
                  </a:schemeClr>
                </a:gs>
                <a:gs pos="100000">
                  <a:schemeClr val="accent3">
                    <a:lumMod val="60000"/>
                    <a:lumOff val="40000"/>
                  </a:schemeClr>
                </a:gs>
                <a:gs pos="99000">
                  <a:schemeClr val="accent3">
                    <a:lumMod val="40000"/>
                    <a:lumOff val="60000"/>
                  </a:schemeClr>
                </a:gs>
                <a:gs pos="98000">
                  <a:schemeClr val="accent3">
                    <a:lumMod val="50000"/>
                  </a:schemeClr>
                </a:gs>
              </a:gsLst>
              <a:lin ang="5400000" scaled="1"/>
            </a:gradFill>
            <a:round/>
          </a:ln>
          <a:effectLst/>
        </c:spPr>
        <c:marker>
          <c:symbol val="diamond"/>
          <c:size val="7"/>
          <c:spPr>
            <a:solidFill>
              <a:schemeClr val="bg1"/>
            </a:solidFill>
            <a:ln w="15875">
              <a:solidFill>
                <a:srgbClr val="000000"/>
              </a:solidFill>
            </a:ln>
            <a:effectLst/>
          </c:spPr>
        </c:marker>
      </c:pivotFmt>
      <c:pivotFmt>
        <c:idx val="4"/>
        <c:spPr>
          <a:ln w="79375" cap="rnd">
            <a:gradFill>
              <a:gsLst>
                <a:gs pos="0">
                  <a:schemeClr val="accent3">
                    <a:lumMod val="50000"/>
                  </a:schemeClr>
                </a:gs>
                <a:gs pos="100000">
                  <a:schemeClr val="accent1">
                    <a:lumMod val="5000"/>
                    <a:lumOff val="95000"/>
                  </a:schemeClr>
                </a:gs>
                <a:gs pos="0">
                  <a:schemeClr val="accent3">
                    <a:lumMod val="20000"/>
                    <a:lumOff val="80000"/>
                  </a:schemeClr>
                </a:gs>
                <a:gs pos="100000">
                  <a:schemeClr val="accent3">
                    <a:lumMod val="60000"/>
                    <a:lumOff val="40000"/>
                  </a:schemeClr>
                </a:gs>
                <a:gs pos="99000">
                  <a:schemeClr val="accent3">
                    <a:lumMod val="40000"/>
                    <a:lumOff val="60000"/>
                  </a:schemeClr>
                </a:gs>
                <a:gs pos="98000">
                  <a:schemeClr val="accent3">
                    <a:lumMod val="50000"/>
                  </a:schemeClr>
                </a:gs>
              </a:gsLst>
              <a:lin ang="5400000" scaled="1"/>
            </a:gradFill>
            <a:round/>
          </a:ln>
          <a:effectLst/>
        </c:spPr>
        <c:marker>
          <c:symbol val="diamond"/>
          <c:size val="7"/>
          <c:spPr>
            <a:solidFill>
              <a:schemeClr val="bg1"/>
            </a:solidFill>
            <a:ln w="15875">
              <a:solidFill>
                <a:srgbClr val="000000"/>
              </a:solidFill>
            </a:ln>
            <a:effectLst/>
          </c:spPr>
        </c:marker>
      </c:pivotFmt>
    </c:pivotFmts>
    <c:plotArea>
      <c:layout>
        <c:manualLayout>
          <c:layoutTarget val="inner"/>
          <c:xMode val="edge"/>
          <c:yMode val="edge"/>
          <c:x val="6.6303463101397023E-2"/>
          <c:y val="0.23745702773579525"/>
          <c:w val="0.86968179956747371"/>
          <c:h val="0.5646014732066591"/>
        </c:manualLayout>
      </c:layout>
      <c:lineChart>
        <c:grouping val="standard"/>
        <c:varyColors val="0"/>
        <c:ser>
          <c:idx val="0"/>
          <c:order val="0"/>
          <c:tx>
            <c:strRef>
              <c:f>Pivot!$B$13</c:f>
              <c:strCache>
                <c:ptCount val="1"/>
                <c:pt idx="0">
                  <c:v>Total</c:v>
                </c:pt>
              </c:strCache>
            </c:strRef>
          </c:tx>
          <c:spPr>
            <a:ln w="79375" cap="rnd">
              <a:gradFill>
                <a:gsLst>
                  <a:gs pos="0">
                    <a:schemeClr val="accent3">
                      <a:lumMod val="50000"/>
                    </a:schemeClr>
                  </a:gs>
                  <a:gs pos="100000">
                    <a:schemeClr val="accent1">
                      <a:lumMod val="5000"/>
                      <a:lumOff val="95000"/>
                    </a:schemeClr>
                  </a:gs>
                  <a:gs pos="0">
                    <a:schemeClr val="accent3">
                      <a:lumMod val="20000"/>
                      <a:lumOff val="80000"/>
                    </a:schemeClr>
                  </a:gs>
                  <a:gs pos="100000">
                    <a:schemeClr val="accent3">
                      <a:lumMod val="60000"/>
                      <a:lumOff val="40000"/>
                    </a:schemeClr>
                  </a:gs>
                  <a:gs pos="99000">
                    <a:schemeClr val="accent3">
                      <a:lumMod val="40000"/>
                      <a:lumOff val="60000"/>
                    </a:schemeClr>
                  </a:gs>
                  <a:gs pos="98000">
                    <a:schemeClr val="accent3">
                      <a:lumMod val="50000"/>
                    </a:schemeClr>
                  </a:gs>
                </a:gsLst>
                <a:lin ang="5400000" scaled="1"/>
              </a:gradFill>
              <a:round/>
            </a:ln>
            <a:effectLst/>
          </c:spPr>
          <c:marker>
            <c:symbol val="diamond"/>
            <c:size val="7"/>
            <c:spPr>
              <a:solidFill>
                <a:schemeClr val="bg1"/>
              </a:solidFill>
              <a:ln w="15875">
                <a:solidFill>
                  <a:srgbClr val="0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Pivot!$A$14:$A$20</c:f>
              <c:strCache>
                <c:ptCount val="6"/>
                <c:pt idx="0">
                  <c:v>2020</c:v>
                </c:pt>
                <c:pt idx="1">
                  <c:v>2021</c:v>
                </c:pt>
                <c:pt idx="2">
                  <c:v>2022</c:v>
                </c:pt>
                <c:pt idx="3">
                  <c:v>2023</c:v>
                </c:pt>
                <c:pt idx="4">
                  <c:v>2024</c:v>
                </c:pt>
                <c:pt idx="5">
                  <c:v>2025</c:v>
                </c:pt>
              </c:strCache>
            </c:strRef>
          </c:cat>
          <c:val>
            <c:numRef>
              <c:f>Pivot!$B$14:$B$20</c:f>
              <c:numCache>
                <c:formatCode>General</c:formatCode>
                <c:ptCount val="6"/>
                <c:pt idx="0">
                  <c:v>221</c:v>
                </c:pt>
                <c:pt idx="1">
                  <c:v>183</c:v>
                </c:pt>
                <c:pt idx="2">
                  <c:v>199</c:v>
                </c:pt>
                <c:pt idx="3">
                  <c:v>200</c:v>
                </c:pt>
                <c:pt idx="4">
                  <c:v>194</c:v>
                </c:pt>
                <c:pt idx="5">
                  <c:v>3</c:v>
                </c:pt>
              </c:numCache>
            </c:numRef>
          </c:val>
          <c:smooth val="0"/>
          <c:extLst>
            <c:ext xmlns:c16="http://schemas.microsoft.com/office/drawing/2014/chart" uri="{C3380CC4-5D6E-409C-BE32-E72D297353CC}">
              <c16:uniqueId val="{00000000-8322-4499-AD1E-C8CB43AFB05E}"/>
            </c:ext>
          </c:extLst>
        </c:ser>
        <c:dLbls>
          <c:showLegendKey val="0"/>
          <c:showVal val="1"/>
          <c:showCatName val="0"/>
          <c:showSerName val="0"/>
          <c:showPercent val="0"/>
          <c:showBubbleSize val="0"/>
        </c:dLbls>
        <c:marker val="1"/>
        <c:smooth val="0"/>
        <c:axId val="70800512"/>
        <c:axId val="70801952"/>
      </c:lineChart>
      <c:catAx>
        <c:axId val="7080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0801952"/>
        <c:crosses val="autoZero"/>
        <c:auto val="1"/>
        <c:lblAlgn val="ctr"/>
        <c:lblOffset val="100"/>
        <c:noMultiLvlLbl val="0"/>
      </c:catAx>
      <c:valAx>
        <c:axId val="70801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70800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File.xlsx]Pivot!PivotTable2</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ORDER  BY REGION </a:t>
            </a:r>
          </a:p>
        </c:rich>
      </c:tx>
      <c:layout>
        <c:manualLayout>
          <c:xMode val="edge"/>
          <c:yMode val="edge"/>
          <c:x val="0.41869168774704385"/>
          <c:y val="8.16753232108150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64000">
                <a:srgbClr val="92D050"/>
              </a:gs>
              <a:gs pos="45000">
                <a:schemeClr val="accent6">
                  <a:lumMod val="50000"/>
                </a:schemeClr>
              </a:gs>
              <a:gs pos="34000">
                <a:schemeClr val="tx1">
                  <a:lumMod val="95000"/>
                  <a:lumOff val="5000"/>
                </a:schemeClr>
              </a:gs>
              <a:gs pos="100000">
                <a:schemeClr val="lt1">
                  <a:lumMod val="75000"/>
                </a:schemeClr>
              </a:gs>
            </a:gsLst>
            <a:path path="circle">
              <a:fillToRect l="50000" t="-80000" r="50000" b="18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gradFill>
              <a:gsLst>
                <a:gs pos="64000">
                  <a:srgbClr val="92D050"/>
                </a:gs>
                <a:gs pos="45000">
                  <a:schemeClr val="accent6">
                    <a:lumMod val="50000"/>
                  </a:schemeClr>
                </a:gs>
                <a:gs pos="34000">
                  <a:schemeClr val="tx1">
                    <a:lumMod val="95000"/>
                    <a:lumOff val="5000"/>
                  </a:schemeClr>
                </a:gs>
                <a:gs pos="100000">
                  <a:schemeClr val="lt1">
                    <a:lumMod val="75000"/>
                  </a:schemeClr>
                </a:gs>
              </a:gsLst>
              <a:path path="circle">
                <a:fillToRect l="50000" t="-80000" r="50000" b="18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Pivot!$A$2:$A$7</c:f>
              <c:strCache>
                <c:ptCount val="5"/>
                <c:pt idx="0">
                  <c:v>Africa</c:v>
                </c:pt>
                <c:pt idx="1">
                  <c:v>Asia</c:v>
                </c:pt>
                <c:pt idx="2">
                  <c:v>Europe</c:v>
                </c:pt>
                <c:pt idx="3">
                  <c:v>North America</c:v>
                </c:pt>
                <c:pt idx="4">
                  <c:v>South America</c:v>
                </c:pt>
              </c:strCache>
            </c:strRef>
          </c:cat>
          <c:val>
            <c:numRef>
              <c:f>Pivot!$B$2:$B$7</c:f>
              <c:numCache>
                <c:formatCode>General</c:formatCode>
                <c:ptCount val="5"/>
                <c:pt idx="0">
                  <c:v>196</c:v>
                </c:pt>
                <c:pt idx="1">
                  <c:v>208</c:v>
                </c:pt>
                <c:pt idx="2">
                  <c:v>184</c:v>
                </c:pt>
                <c:pt idx="3">
                  <c:v>220</c:v>
                </c:pt>
                <c:pt idx="4">
                  <c:v>192</c:v>
                </c:pt>
              </c:numCache>
            </c:numRef>
          </c:val>
          <c:extLst>
            <c:ext xmlns:c16="http://schemas.microsoft.com/office/drawing/2014/chart" uri="{C3380CC4-5D6E-409C-BE32-E72D297353CC}">
              <c16:uniqueId val="{00000000-5E07-45B3-B7CF-4A5379EC0874}"/>
            </c:ext>
          </c:extLst>
        </c:ser>
        <c:dLbls>
          <c:showLegendKey val="0"/>
          <c:showVal val="1"/>
          <c:showCatName val="0"/>
          <c:showSerName val="0"/>
          <c:showPercent val="0"/>
          <c:showBubbleSize val="0"/>
        </c:dLbls>
        <c:gapWidth val="219"/>
        <c:overlap val="-27"/>
        <c:axId val="73149968"/>
        <c:axId val="73149008"/>
      </c:barChart>
      <c:catAx>
        <c:axId val="7314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73149008"/>
        <c:crosses val="autoZero"/>
        <c:auto val="1"/>
        <c:lblAlgn val="ctr"/>
        <c:lblOffset val="100"/>
        <c:noMultiLvlLbl val="0"/>
      </c:catAx>
      <c:valAx>
        <c:axId val="73149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73149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File.xlsx]Pivot!PivotTable4</c:name>
    <c:fmtId val="1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solidFill>
                  <a:schemeClr val="bg1"/>
                </a:solidFill>
              </a:rPr>
              <a:t>SHIP</a:t>
            </a:r>
            <a:r>
              <a:rPr lang="en-US" sz="1400" baseline="0">
                <a:solidFill>
                  <a:schemeClr val="bg1"/>
                </a:solidFill>
              </a:rPr>
              <a:t> MODE</a:t>
            </a:r>
            <a:endParaRPr lang="en-US" sz="14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a:glow rad="63500">
              <a:schemeClr val="accent4">
                <a:lumMod val="60000"/>
                <a:lumOff val="40000"/>
                <a:alpha val="40000"/>
              </a:schemeClr>
            </a:glow>
          </a:effectLst>
        </c:spPr>
      </c:pivotFmt>
      <c:pivotFmt>
        <c:idx val="7"/>
        <c:spPr>
          <a:solidFill>
            <a:schemeClr val="accent2">
              <a:lumMod val="75000"/>
            </a:schemeClr>
          </a:solidFill>
          <a:ln>
            <a:noFill/>
          </a:ln>
          <a:effectLst>
            <a:glow rad="63500">
              <a:schemeClr val="accent2">
                <a:lumMod val="60000"/>
                <a:lumOff val="40000"/>
                <a:alpha val="40000"/>
              </a:schemeClr>
            </a:glow>
          </a:effectLst>
        </c:spPr>
      </c:pivotFmt>
      <c:pivotFmt>
        <c:idx val="8"/>
        <c:spPr>
          <a:solidFill>
            <a:schemeClr val="accent3">
              <a:lumMod val="60000"/>
              <a:lumOff val="40000"/>
            </a:schemeClr>
          </a:solidFill>
          <a:ln>
            <a:noFill/>
          </a:ln>
          <a:effectLst>
            <a:glow rad="63500">
              <a:schemeClr val="accent3">
                <a:lumMod val="60000"/>
                <a:lumOff val="40000"/>
                <a:alpha val="40000"/>
              </a:schemeClr>
            </a:glow>
          </a:effectLst>
        </c:spPr>
      </c:pivotFmt>
    </c:pivotFmts>
    <c:plotArea>
      <c:layout/>
      <c:pieChart>
        <c:varyColors val="1"/>
        <c:ser>
          <c:idx val="0"/>
          <c:order val="0"/>
          <c:tx>
            <c:strRef>
              <c:f>Pivot!$B$25</c:f>
              <c:strCache>
                <c:ptCount val="1"/>
                <c:pt idx="0">
                  <c:v>Total</c:v>
                </c:pt>
              </c:strCache>
            </c:strRef>
          </c:tx>
          <c:spPr>
            <a:ln>
              <a:noFill/>
            </a:ln>
          </c:spPr>
          <c:dPt>
            <c:idx val="0"/>
            <c:bubble3D val="0"/>
            <c:spPr>
              <a:solidFill>
                <a:schemeClr val="accent4">
                  <a:lumMod val="60000"/>
                  <a:lumOff val="40000"/>
                </a:schemeClr>
              </a:solidFill>
              <a:ln>
                <a:noFill/>
              </a:ln>
              <a:effectLst>
                <a:glow rad="63500">
                  <a:schemeClr val="accent4">
                    <a:lumMod val="60000"/>
                    <a:lumOff val="40000"/>
                    <a:alpha val="40000"/>
                  </a:schemeClr>
                </a:glow>
              </a:effectLst>
            </c:spPr>
            <c:extLst>
              <c:ext xmlns:c16="http://schemas.microsoft.com/office/drawing/2014/chart" uri="{C3380CC4-5D6E-409C-BE32-E72D297353CC}">
                <c16:uniqueId val="{00000001-DDC4-4BA5-B9A2-CFAF726637A4}"/>
              </c:ext>
            </c:extLst>
          </c:dPt>
          <c:dPt>
            <c:idx val="1"/>
            <c:bubble3D val="0"/>
            <c:spPr>
              <a:solidFill>
                <a:schemeClr val="accent2">
                  <a:lumMod val="75000"/>
                </a:schemeClr>
              </a:solidFill>
              <a:ln>
                <a:noFill/>
              </a:ln>
              <a:effectLst>
                <a:glow rad="63500">
                  <a:schemeClr val="accent2">
                    <a:lumMod val="60000"/>
                    <a:lumOff val="40000"/>
                    <a:alpha val="40000"/>
                  </a:schemeClr>
                </a:glow>
              </a:effectLst>
            </c:spPr>
            <c:extLst>
              <c:ext xmlns:c16="http://schemas.microsoft.com/office/drawing/2014/chart" uri="{C3380CC4-5D6E-409C-BE32-E72D297353CC}">
                <c16:uniqueId val="{00000003-DDC4-4BA5-B9A2-CFAF726637A4}"/>
              </c:ext>
            </c:extLst>
          </c:dPt>
          <c:dPt>
            <c:idx val="2"/>
            <c:bubble3D val="0"/>
            <c:spPr>
              <a:solidFill>
                <a:schemeClr val="accent3">
                  <a:lumMod val="60000"/>
                  <a:lumOff val="40000"/>
                </a:schemeClr>
              </a:solidFill>
              <a:ln>
                <a:noFill/>
              </a:ln>
              <a:effectLst>
                <a:glow rad="63500">
                  <a:schemeClr val="accent3">
                    <a:lumMod val="60000"/>
                    <a:lumOff val="40000"/>
                    <a:alpha val="40000"/>
                  </a:schemeClr>
                </a:glow>
              </a:effectLst>
            </c:spPr>
            <c:extLst>
              <c:ext xmlns:c16="http://schemas.microsoft.com/office/drawing/2014/chart" uri="{C3380CC4-5D6E-409C-BE32-E72D297353CC}">
                <c16:uniqueId val="{00000005-DDC4-4BA5-B9A2-CFAF726637A4}"/>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Pivot!$A$26:$A$29</c:f>
              <c:strCache>
                <c:ptCount val="3"/>
                <c:pt idx="0">
                  <c:v>Express</c:v>
                </c:pt>
                <c:pt idx="1">
                  <c:v>Same-day</c:v>
                </c:pt>
                <c:pt idx="2">
                  <c:v>Standard</c:v>
                </c:pt>
              </c:strCache>
            </c:strRef>
          </c:cat>
          <c:val>
            <c:numRef>
              <c:f>Pivot!$B$26:$B$29</c:f>
              <c:numCache>
                <c:formatCode>General</c:formatCode>
                <c:ptCount val="3"/>
                <c:pt idx="0">
                  <c:v>285</c:v>
                </c:pt>
                <c:pt idx="1">
                  <c:v>88</c:v>
                </c:pt>
                <c:pt idx="2">
                  <c:v>627</c:v>
                </c:pt>
              </c:numCache>
            </c:numRef>
          </c:val>
          <c:extLst>
            <c:ext xmlns:c16="http://schemas.microsoft.com/office/drawing/2014/chart" uri="{C3380CC4-5D6E-409C-BE32-E72D297353CC}">
              <c16:uniqueId val="{00000006-DDC4-4BA5-B9A2-CFAF726637A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383109797247066"/>
          <c:y val="0.17546306504430617"/>
          <c:w val="0.29774407038382406"/>
          <c:h val="0.7229943316236090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File.xlsx]Pivot!PivotTable6</c:name>
    <c:fmtId val="2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solidFill>
                  <a:schemeClr val="bg1"/>
                </a:solidFill>
              </a:rPr>
              <a:t>Transport Mode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7000">
                <a:schemeClr val="accent6">
                  <a:lumMod val="40000"/>
                  <a:lumOff val="60000"/>
                </a:schemeClr>
              </a:gs>
              <a:gs pos="100000">
                <a:srgbClr val="00B050"/>
              </a:gs>
              <a:gs pos="0">
                <a:srgbClr val="000000"/>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Pivot!$B$50</c:f>
              <c:strCache>
                <c:ptCount val="1"/>
                <c:pt idx="0">
                  <c:v>Total</c:v>
                </c:pt>
              </c:strCache>
            </c:strRef>
          </c:tx>
          <c:spPr>
            <a:gradFill flip="none" rotWithShape="1">
              <a:gsLst>
                <a:gs pos="7000">
                  <a:schemeClr val="accent6">
                    <a:lumMod val="40000"/>
                    <a:lumOff val="60000"/>
                  </a:schemeClr>
                </a:gs>
                <a:gs pos="100000">
                  <a:srgbClr val="00B050"/>
                </a:gs>
                <a:gs pos="0">
                  <a:srgbClr val="000000"/>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Pivot!$A$51:$A$55</c:f>
              <c:strCache>
                <c:ptCount val="4"/>
                <c:pt idx="0">
                  <c:v>Air</c:v>
                </c:pt>
                <c:pt idx="1">
                  <c:v>Rail</c:v>
                </c:pt>
                <c:pt idx="2">
                  <c:v>Road</c:v>
                </c:pt>
                <c:pt idx="3">
                  <c:v>Sea</c:v>
                </c:pt>
              </c:strCache>
            </c:strRef>
          </c:cat>
          <c:val>
            <c:numRef>
              <c:f>Pivot!$B$51:$B$55</c:f>
              <c:numCache>
                <c:formatCode>General</c:formatCode>
                <c:ptCount val="4"/>
                <c:pt idx="0">
                  <c:v>254</c:v>
                </c:pt>
                <c:pt idx="1">
                  <c:v>251</c:v>
                </c:pt>
                <c:pt idx="2">
                  <c:v>253</c:v>
                </c:pt>
                <c:pt idx="3">
                  <c:v>242</c:v>
                </c:pt>
              </c:numCache>
            </c:numRef>
          </c:val>
          <c:extLst>
            <c:ext xmlns:c16="http://schemas.microsoft.com/office/drawing/2014/chart" uri="{C3380CC4-5D6E-409C-BE32-E72D297353CC}">
              <c16:uniqueId val="{00000000-C14B-44FB-8258-9B77E29B2C5D}"/>
            </c:ext>
          </c:extLst>
        </c:ser>
        <c:dLbls>
          <c:showLegendKey val="0"/>
          <c:showVal val="1"/>
          <c:showCatName val="0"/>
          <c:showSerName val="0"/>
          <c:showPercent val="0"/>
          <c:showBubbleSize val="0"/>
        </c:dLbls>
        <c:gapWidth val="150"/>
        <c:gapDepth val="0"/>
        <c:shape val="box"/>
        <c:axId val="1059852319"/>
        <c:axId val="1059852799"/>
        <c:axId val="0"/>
      </c:bar3DChart>
      <c:catAx>
        <c:axId val="1059852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059852799"/>
        <c:crosses val="autoZero"/>
        <c:auto val="1"/>
        <c:lblAlgn val="ctr"/>
        <c:lblOffset val="100"/>
        <c:noMultiLvlLbl val="0"/>
      </c:catAx>
      <c:valAx>
        <c:axId val="1059852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059852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File.xlsx]Pivot!PivotTable5</c:name>
    <c:fmtId val="18"/>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solidFill>
                  <a:schemeClr val="bg1"/>
                </a:solidFill>
              </a:rPr>
              <a:t>DELIVERY</a:t>
            </a:r>
            <a:r>
              <a:rPr lang="en-US" sz="1400" baseline="0">
                <a:solidFill>
                  <a:schemeClr val="bg1"/>
                </a:solidFill>
              </a:rPr>
              <a:t> STATUS</a:t>
            </a:r>
            <a:endParaRPr lang="en-US" sz="140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a:glow rad="63500">
              <a:schemeClr val="accent4">
                <a:satMod val="175000"/>
                <a:alpha val="40000"/>
              </a:schemeClr>
            </a:glow>
          </a:effectLst>
        </c:spPr>
        <c:dLbl>
          <c:idx val="0"/>
          <c:layout>
            <c:manualLayout>
              <c:x val="5.576515055712452E-2"/>
              <c:y val="-0.1321105775936867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fld id="{9913253B-91B7-4FD5-9BC1-0B9CAB2E249F}" type="VALUE">
                  <a:rPr lang="en-US" sz="1200">
                    <a:solidFill>
                      <a:schemeClr val="bg1"/>
                    </a:solidFill>
                    <a:effectLst>
                      <a:glow rad="63500">
                        <a:schemeClr val="accent1">
                          <a:satMod val="175000"/>
                          <a:alpha val="40000"/>
                        </a:schemeClr>
                      </a:glow>
                    </a:effectLst>
                  </a:rPr>
                  <a:pPr>
                    <a:defRPr sz="1200" b="1" i="0" u="none" strike="noStrike" kern="1200" baseline="0">
                      <a:solidFill>
                        <a:schemeClr val="tx2"/>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5">
              <a:lumMod val="60000"/>
              <a:lumOff val="40000"/>
            </a:schemeClr>
          </a:solidFill>
          <a:ln>
            <a:noFill/>
          </a:ln>
          <a:effectLst>
            <a:glow rad="63500">
              <a:schemeClr val="accent5">
                <a:satMod val="175000"/>
                <a:alpha val="40000"/>
              </a:schemeClr>
            </a:glow>
          </a:effectLst>
        </c:spPr>
        <c:dLbl>
          <c:idx val="0"/>
          <c:layout>
            <c:manualLayout>
              <c:x val="-0.16729545167137377"/>
              <c:y val="0"/>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fld id="{D681B438-8E3B-4F04-B699-4E890BAAE287}" type="VALUE">
                  <a:rPr lang="en-US" sz="1200">
                    <a:solidFill>
                      <a:schemeClr val="bg1"/>
                    </a:solidFill>
                    <a:effectLst>
                      <a:glow rad="63500">
                        <a:schemeClr val="accent1">
                          <a:satMod val="175000"/>
                          <a:alpha val="40000"/>
                        </a:schemeClr>
                      </a:glow>
                    </a:effectLst>
                  </a:rPr>
                  <a:pPr>
                    <a:defRPr sz="1200" b="1" i="0" u="none" strike="noStrike" kern="1200" baseline="0">
                      <a:solidFill>
                        <a:schemeClr val="tx2"/>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0767976213402842"/>
          <c:y val="0.31199852464011374"/>
          <c:w val="0.36967400735798361"/>
          <c:h val="0.55614385827992285"/>
        </c:manualLayout>
      </c:layout>
      <c:doughnutChart>
        <c:varyColors val="1"/>
        <c:ser>
          <c:idx val="0"/>
          <c:order val="0"/>
          <c:tx>
            <c:strRef>
              <c:f>Pivot!$B$37</c:f>
              <c:strCache>
                <c:ptCount val="1"/>
                <c:pt idx="0">
                  <c:v>Total</c:v>
                </c:pt>
              </c:strCache>
            </c:strRef>
          </c:tx>
          <c:dPt>
            <c:idx val="0"/>
            <c:bubble3D val="0"/>
            <c:spPr>
              <a:solidFill>
                <a:schemeClr val="accent1">
                  <a:lumMod val="60000"/>
                  <a:lumOff val="40000"/>
                </a:schemeClr>
              </a:solidFill>
              <a:ln>
                <a:noFill/>
              </a:ln>
              <a:effectLst>
                <a:glow rad="63500">
                  <a:schemeClr val="accent4">
                    <a:satMod val="175000"/>
                    <a:alpha val="40000"/>
                  </a:schemeClr>
                </a:glow>
              </a:effectLst>
            </c:spPr>
            <c:extLst>
              <c:ext xmlns:c16="http://schemas.microsoft.com/office/drawing/2014/chart" uri="{C3380CC4-5D6E-409C-BE32-E72D297353CC}">
                <c16:uniqueId val="{00000001-46A4-4B79-8A41-623F22FAF8FE}"/>
              </c:ext>
            </c:extLst>
          </c:dPt>
          <c:dPt>
            <c:idx val="1"/>
            <c:bubble3D val="0"/>
            <c:spPr>
              <a:solidFill>
                <a:schemeClr val="accent5">
                  <a:lumMod val="60000"/>
                  <a:lumOff val="40000"/>
                </a:schemeClr>
              </a:solidFill>
              <a:ln>
                <a:noFill/>
              </a:ln>
              <a:effectLst>
                <a:glow rad="63500">
                  <a:schemeClr val="accent5">
                    <a:satMod val="175000"/>
                    <a:alpha val="40000"/>
                  </a:schemeClr>
                </a:glow>
              </a:effectLst>
            </c:spPr>
            <c:extLst>
              <c:ext xmlns:c16="http://schemas.microsoft.com/office/drawing/2014/chart" uri="{C3380CC4-5D6E-409C-BE32-E72D297353CC}">
                <c16:uniqueId val="{00000003-46A4-4B79-8A41-623F22FAF8FE}"/>
              </c:ext>
            </c:extLst>
          </c:dPt>
          <c:dLbls>
            <c:dLbl>
              <c:idx val="0"/>
              <c:layout>
                <c:manualLayout>
                  <c:x val="5.576515055712452E-2"/>
                  <c:y val="-0.13211057759368672"/>
                </c:manualLayout>
              </c:layout>
              <c:tx>
                <c:rich>
                  <a:bodyPr/>
                  <a:lstStyle/>
                  <a:p>
                    <a:fld id="{9913253B-91B7-4FD5-9BC1-0B9CAB2E249F}" type="VALUE">
                      <a:rPr lang="en-US" sz="1200">
                        <a:solidFill>
                          <a:schemeClr val="bg1"/>
                        </a:solidFill>
                        <a:effectLst>
                          <a:glow rad="63500">
                            <a:schemeClr val="accent1">
                              <a:satMod val="175000"/>
                              <a:alpha val="40000"/>
                            </a:schemeClr>
                          </a:glow>
                        </a:effectLst>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6A4-4B79-8A41-623F22FAF8FE}"/>
                </c:ext>
              </c:extLst>
            </c:dLbl>
            <c:dLbl>
              <c:idx val="1"/>
              <c:layout>
                <c:manualLayout>
                  <c:x val="-0.16729545167137377"/>
                  <c:y val="0"/>
                </c:manualLayout>
              </c:layout>
              <c:tx>
                <c:rich>
                  <a:bodyPr/>
                  <a:lstStyle/>
                  <a:p>
                    <a:fld id="{D681B438-8E3B-4F04-B699-4E890BAAE287}" type="VALUE">
                      <a:rPr lang="en-US" sz="1200">
                        <a:solidFill>
                          <a:schemeClr val="bg1"/>
                        </a:solidFill>
                        <a:effectLst>
                          <a:glow rad="63500">
                            <a:schemeClr val="accent1">
                              <a:satMod val="175000"/>
                              <a:alpha val="40000"/>
                            </a:schemeClr>
                          </a:glow>
                        </a:effectLst>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6A4-4B79-8A41-623F22FAF8F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Pivot!$A$38:$A$40</c:f>
              <c:strCache>
                <c:ptCount val="2"/>
                <c:pt idx="0">
                  <c:v>Delayed</c:v>
                </c:pt>
                <c:pt idx="1">
                  <c:v>On-time</c:v>
                </c:pt>
              </c:strCache>
            </c:strRef>
          </c:cat>
          <c:val>
            <c:numRef>
              <c:f>Pivot!$B$38:$B$40</c:f>
              <c:numCache>
                <c:formatCode>General</c:formatCode>
                <c:ptCount val="2"/>
                <c:pt idx="0">
                  <c:v>100</c:v>
                </c:pt>
                <c:pt idx="1">
                  <c:v>900</c:v>
                </c:pt>
              </c:numCache>
            </c:numRef>
          </c:val>
          <c:extLst>
            <c:ext xmlns:c16="http://schemas.microsoft.com/office/drawing/2014/chart" uri="{C3380CC4-5D6E-409C-BE32-E72D297353CC}">
              <c16:uniqueId val="{00000004-46A4-4B79-8A41-623F22FAF8FE}"/>
            </c:ext>
          </c:extLst>
        </c:ser>
        <c:dLbls>
          <c:showLegendKey val="0"/>
          <c:showVal val="1"/>
          <c:showCatName val="0"/>
          <c:showSerName val="0"/>
          <c:showPercent val="0"/>
          <c:showBubbleSize val="0"/>
          <c:showLeaderLines val="0"/>
        </c:dLbls>
        <c:firstSliceAng val="0"/>
        <c:holeSize val="40"/>
      </c:doughnutChart>
      <c:spPr>
        <a:noFill/>
        <a:ln>
          <a:noFill/>
        </a:ln>
        <a:effectLst/>
      </c:spPr>
    </c:plotArea>
    <c:legend>
      <c:legendPos val="r"/>
      <c:layout>
        <c:manualLayout>
          <c:xMode val="edge"/>
          <c:yMode val="edge"/>
          <c:x val="0.72232819064480336"/>
          <c:y val="0.29093264677442615"/>
          <c:w val="0.25536574913234694"/>
          <c:h val="0.5174280519836682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File.xlsx]Pivot!PivotTable2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Pivot!$A$2:$A$7</c:f>
              <c:strCache>
                <c:ptCount val="5"/>
                <c:pt idx="0">
                  <c:v>Africa</c:v>
                </c:pt>
                <c:pt idx="1">
                  <c:v>Asia</c:v>
                </c:pt>
                <c:pt idx="2">
                  <c:v>Europe</c:v>
                </c:pt>
                <c:pt idx="3">
                  <c:v>North America</c:v>
                </c:pt>
                <c:pt idx="4">
                  <c:v>South America</c:v>
                </c:pt>
              </c:strCache>
            </c:strRef>
          </c:cat>
          <c:val>
            <c:numRef>
              <c:f>Pivot!$B$2:$B$7</c:f>
              <c:numCache>
                <c:formatCode>General</c:formatCode>
                <c:ptCount val="5"/>
                <c:pt idx="0">
                  <c:v>196</c:v>
                </c:pt>
                <c:pt idx="1">
                  <c:v>208</c:v>
                </c:pt>
                <c:pt idx="2">
                  <c:v>184</c:v>
                </c:pt>
                <c:pt idx="3">
                  <c:v>220</c:v>
                </c:pt>
                <c:pt idx="4">
                  <c:v>192</c:v>
                </c:pt>
              </c:numCache>
            </c:numRef>
          </c:val>
          <c:extLst>
            <c:ext xmlns:c16="http://schemas.microsoft.com/office/drawing/2014/chart" uri="{C3380CC4-5D6E-409C-BE32-E72D297353CC}">
              <c16:uniqueId val="{00000000-6E24-48CC-85FB-08C63960776D}"/>
            </c:ext>
          </c:extLst>
        </c:ser>
        <c:dLbls>
          <c:showLegendKey val="0"/>
          <c:showVal val="1"/>
          <c:showCatName val="0"/>
          <c:showSerName val="0"/>
          <c:showPercent val="0"/>
          <c:showBubbleSize val="0"/>
        </c:dLbls>
        <c:gapWidth val="150"/>
        <c:shape val="box"/>
        <c:axId val="73149968"/>
        <c:axId val="73149008"/>
        <c:axId val="0"/>
      </c:bar3DChart>
      <c:catAx>
        <c:axId val="73149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49008"/>
        <c:crosses val="autoZero"/>
        <c:auto val="1"/>
        <c:lblAlgn val="ctr"/>
        <c:lblOffset val="100"/>
        <c:noMultiLvlLbl val="0"/>
      </c:catAx>
      <c:valAx>
        <c:axId val="7314900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49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File.xlsx]Pivot!PivotTable3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Pivot!$B$13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Pivot!$A$14:$A$20</c:f>
              <c:strCache>
                <c:ptCount val="6"/>
                <c:pt idx="0">
                  <c:v>2020</c:v>
                </c:pt>
                <c:pt idx="1">
                  <c:v>2021</c:v>
                </c:pt>
                <c:pt idx="2">
                  <c:v>2022</c:v>
                </c:pt>
                <c:pt idx="3">
                  <c:v>2023</c:v>
                </c:pt>
                <c:pt idx="4">
                  <c:v>2024</c:v>
                </c:pt>
                <c:pt idx="5">
                  <c:v>2025</c:v>
                </c:pt>
              </c:strCache>
            </c:strRef>
          </c:cat>
          <c:val>
            <c:numRef>
              <c:f>Pivot!$B$14:$B$20</c:f>
              <c:numCache>
                <c:formatCode>General</c:formatCode>
                <c:ptCount val="6"/>
                <c:pt idx="0">
                  <c:v>221</c:v>
                </c:pt>
                <c:pt idx="1">
                  <c:v>183</c:v>
                </c:pt>
                <c:pt idx="2">
                  <c:v>199</c:v>
                </c:pt>
                <c:pt idx="3">
                  <c:v>200</c:v>
                </c:pt>
                <c:pt idx="4">
                  <c:v>194</c:v>
                </c:pt>
                <c:pt idx="5">
                  <c:v>3</c:v>
                </c:pt>
              </c:numCache>
            </c:numRef>
          </c:val>
          <c:smooth val="0"/>
          <c:extLst>
            <c:ext xmlns:c16="http://schemas.microsoft.com/office/drawing/2014/chart" uri="{C3380CC4-5D6E-409C-BE32-E72D297353CC}">
              <c16:uniqueId val="{00000000-D8CA-4B4B-991A-F77F83EC0E7A}"/>
            </c:ext>
          </c:extLst>
        </c:ser>
        <c:dLbls>
          <c:showLegendKey val="0"/>
          <c:showVal val="1"/>
          <c:showCatName val="0"/>
          <c:showSerName val="0"/>
          <c:showPercent val="0"/>
          <c:showBubbleSize val="0"/>
        </c:dLbls>
        <c:axId val="70800512"/>
        <c:axId val="70801952"/>
        <c:axId val="1149136703"/>
      </c:line3DChart>
      <c:catAx>
        <c:axId val="70800512"/>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801952"/>
        <c:crosses val="autoZero"/>
        <c:auto val="1"/>
        <c:lblAlgn val="ctr"/>
        <c:lblOffset val="100"/>
        <c:noMultiLvlLbl val="0"/>
      </c:catAx>
      <c:valAx>
        <c:axId val="708019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800512"/>
        <c:crosses val="autoZero"/>
        <c:crossBetween val="between"/>
      </c:valAx>
      <c:serAx>
        <c:axId val="1149136703"/>
        <c:scaling>
          <c:orientation val="minMax"/>
        </c:scaling>
        <c:delete val="1"/>
        <c:axPos val="b"/>
        <c:majorTickMark val="out"/>
        <c:minorTickMark val="none"/>
        <c:tickLblPos val="nextTo"/>
        <c:crossAx val="70801952"/>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File.xlsx]Pivot!PivotTable4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FBF-465C-94D1-F2F5B3E4C6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FBF-465C-94D1-F2F5B3E4C6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FBF-465C-94D1-F2F5B3E4C6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Pivot!$A$26:$A$29</c:f>
              <c:strCache>
                <c:ptCount val="3"/>
                <c:pt idx="0">
                  <c:v>Express</c:v>
                </c:pt>
                <c:pt idx="1">
                  <c:v>Same-day</c:v>
                </c:pt>
                <c:pt idx="2">
                  <c:v>Standard</c:v>
                </c:pt>
              </c:strCache>
            </c:strRef>
          </c:cat>
          <c:val>
            <c:numRef>
              <c:f>Pivot!$B$26:$B$29</c:f>
              <c:numCache>
                <c:formatCode>General</c:formatCode>
                <c:ptCount val="3"/>
                <c:pt idx="0">
                  <c:v>285</c:v>
                </c:pt>
                <c:pt idx="1">
                  <c:v>88</c:v>
                </c:pt>
                <c:pt idx="2">
                  <c:v>627</c:v>
                </c:pt>
              </c:numCache>
            </c:numRef>
          </c:val>
          <c:extLst>
            <c:ext xmlns:c16="http://schemas.microsoft.com/office/drawing/2014/chart" uri="{C3380CC4-5D6E-409C-BE32-E72D297353CC}">
              <c16:uniqueId val="{00000000-1BA2-49CD-A233-CBCA8A7AD887}"/>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File.xlsx]Pivot!PivotTable5</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Pivot!$B$37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B01-4A5A-9766-96168656534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1C1-4E2C-825D-F38185F2B6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Pivot!$A$38:$A$40</c:f>
              <c:strCache>
                <c:ptCount val="2"/>
                <c:pt idx="0">
                  <c:v>Delayed</c:v>
                </c:pt>
                <c:pt idx="1">
                  <c:v>On-time</c:v>
                </c:pt>
              </c:strCache>
            </c:strRef>
          </c:cat>
          <c:val>
            <c:numRef>
              <c:f>Pivot!$B$38:$B$40</c:f>
              <c:numCache>
                <c:formatCode>General</c:formatCode>
                <c:ptCount val="2"/>
                <c:pt idx="0">
                  <c:v>100</c:v>
                </c:pt>
                <c:pt idx="1">
                  <c:v>900</c:v>
                </c:pt>
              </c:numCache>
            </c:numRef>
          </c:val>
          <c:extLst>
            <c:ext xmlns:c16="http://schemas.microsoft.com/office/drawing/2014/chart" uri="{C3380CC4-5D6E-409C-BE32-E72D297353CC}">
              <c16:uniqueId val="{00000000-BB01-4A5A-9766-96168656534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File.xlsx]Pivot!PivotTable6</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Transport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Pivot!$B$50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Pivot!$A$51:$A$55</c:f>
              <c:strCache>
                <c:ptCount val="4"/>
                <c:pt idx="0">
                  <c:v>Air</c:v>
                </c:pt>
                <c:pt idx="1">
                  <c:v>Rail</c:v>
                </c:pt>
                <c:pt idx="2">
                  <c:v>Road</c:v>
                </c:pt>
                <c:pt idx="3">
                  <c:v>Sea</c:v>
                </c:pt>
              </c:strCache>
            </c:strRef>
          </c:cat>
          <c:val>
            <c:numRef>
              <c:f>Pivot!$B$51:$B$55</c:f>
              <c:numCache>
                <c:formatCode>General</c:formatCode>
                <c:ptCount val="4"/>
                <c:pt idx="0">
                  <c:v>254</c:v>
                </c:pt>
                <c:pt idx="1">
                  <c:v>251</c:v>
                </c:pt>
                <c:pt idx="2">
                  <c:v>253</c:v>
                </c:pt>
                <c:pt idx="3">
                  <c:v>242</c:v>
                </c:pt>
              </c:numCache>
            </c:numRef>
          </c:val>
          <c:extLst>
            <c:ext xmlns:c16="http://schemas.microsoft.com/office/drawing/2014/chart" uri="{C3380CC4-5D6E-409C-BE32-E72D297353CC}">
              <c16:uniqueId val="{00000000-4317-4CBB-816D-7E2E1E8CF6B1}"/>
            </c:ext>
          </c:extLst>
        </c:ser>
        <c:dLbls>
          <c:showLegendKey val="0"/>
          <c:showVal val="1"/>
          <c:showCatName val="0"/>
          <c:showSerName val="0"/>
          <c:showPercent val="0"/>
          <c:showBubbleSize val="0"/>
        </c:dLbls>
        <c:gapWidth val="150"/>
        <c:shape val="box"/>
        <c:axId val="1059852319"/>
        <c:axId val="1059852799"/>
        <c:axId val="0"/>
      </c:bar3DChart>
      <c:catAx>
        <c:axId val="1059852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9852799"/>
        <c:crosses val="autoZero"/>
        <c:auto val="1"/>
        <c:lblAlgn val="ctr"/>
        <c:lblOffset val="100"/>
        <c:noMultiLvlLbl val="0"/>
      </c:catAx>
      <c:valAx>
        <c:axId val="105985279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9852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8965</xdr:colOff>
      <xdr:row>0</xdr:row>
      <xdr:rowOff>0</xdr:rowOff>
    </xdr:from>
    <xdr:to>
      <xdr:col>31</xdr:col>
      <xdr:colOff>28575</xdr:colOff>
      <xdr:row>40</xdr:row>
      <xdr:rowOff>66674</xdr:rowOff>
    </xdr:to>
    <xdr:sp macro="" textlink="">
      <xdr:nvSpPr>
        <xdr:cNvPr id="2" name="Rectangle 1">
          <a:extLst>
            <a:ext uri="{FF2B5EF4-FFF2-40B4-BE49-F238E27FC236}">
              <a16:creationId xmlns:a16="http://schemas.microsoft.com/office/drawing/2014/main" id="{23C99DF5-3ED4-D698-9F89-C427B9926262}"/>
            </a:ext>
          </a:extLst>
        </xdr:cNvPr>
        <xdr:cNvSpPr/>
      </xdr:nvSpPr>
      <xdr:spPr>
        <a:xfrm>
          <a:off x="8965" y="0"/>
          <a:ext cx="18917210" cy="7305674"/>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327012</xdr:colOff>
      <xdr:row>3</xdr:row>
      <xdr:rowOff>157677</xdr:rowOff>
    </xdr:from>
    <xdr:to>
      <xdr:col>26</xdr:col>
      <xdr:colOff>371475</xdr:colOff>
      <xdr:row>8</xdr:row>
      <xdr:rowOff>98410</xdr:rowOff>
    </xdr:to>
    <xdr:sp macro="" textlink="">
      <xdr:nvSpPr>
        <xdr:cNvPr id="3" name="Rectangle 2">
          <a:extLst>
            <a:ext uri="{FF2B5EF4-FFF2-40B4-BE49-F238E27FC236}">
              <a16:creationId xmlns:a16="http://schemas.microsoft.com/office/drawing/2014/main" id="{30139C16-934A-2099-3224-21578C238608}"/>
            </a:ext>
          </a:extLst>
        </xdr:cNvPr>
        <xdr:cNvSpPr/>
      </xdr:nvSpPr>
      <xdr:spPr>
        <a:xfrm>
          <a:off x="2994012" y="672027"/>
          <a:ext cx="14712963" cy="797983"/>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428977</xdr:colOff>
      <xdr:row>4</xdr:row>
      <xdr:rowOff>107333</xdr:rowOff>
    </xdr:from>
    <xdr:to>
      <xdr:col>7</xdr:col>
      <xdr:colOff>9525</xdr:colOff>
      <xdr:row>7</xdr:row>
      <xdr:rowOff>147827</xdr:rowOff>
    </xdr:to>
    <xdr:sp macro="" textlink="">
      <xdr:nvSpPr>
        <xdr:cNvPr id="4" name="TextBox 3">
          <a:extLst>
            <a:ext uri="{FF2B5EF4-FFF2-40B4-BE49-F238E27FC236}">
              <a16:creationId xmlns:a16="http://schemas.microsoft.com/office/drawing/2014/main" id="{A262DC5A-D100-6E1F-5DD8-DAB7F2FDBCED}"/>
            </a:ext>
          </a:extLst>
        </xdr:cNvPr>
        <xdr:cNvSpPr txBox="1"/>
      </xdr:nvSpPr>
      <xdr:spPr>
        <a:xfrm>
          <a:off x="2867377" y="831233"/>
          <a:ext cx="1409348" cy="583419"/>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baseline="0">
              <a:solidFill>
                <a:schemeClr val="bg1"/>
              </a:solidFill>
              <a:latin typeface="+mn-lt"/>
              <a:ea typeface="+mn-ea"/>
              <a:cs typeface="+mn-cs"/>
            </a:rPr>
            <a:t>Total Orders</a:t>
          </a:r>
        </a:p>
        <a:p>
          <a:pPr marL="0" indent="0" algn="ctr"/>
          <a:r>
            <a:rPr lang="en-US" sz="1400" b="1" baseline="0">
              <a:solidFill>
                <a:schemeClr val="bg1"/>
              </a:solidFill>
              <a:effectLst/>
              <a:latin typeface="+mn-lt"/>
              <a:ea typeface="+mn-ea"/>
              <a:cs typeface="+mn-cs"/>
            </a:rPr>
            <a:t>1000 </a:t>
          </a:r>
        </a:p>
      </xdr:txBody>
    </xdr:sp>
    <xdr:clientData/>
  </xdr:twoCellAnchor>
  <xdr:twoCellAnchor>
    <xdr:from>
      <xdr:col>10</xdr:col>
      <xdr:colOff>570861</xdr:colOff>
      <xdr:row>4</xdr:row>
      <xdr:rowOff>115155</xdr:rowOff>
    </xdr:from>
    <xdr:to>
      <xdr:col>13</xdr:col>
      <xdr:colOff>565501</xdr:colOff>
      <xdr:row>7</xdr:row>
      <xdr:rowOff>140004</xdr:rowOff>
    </xdr:to>
    <xdr:sp macro="" textlink="">
      <xdr:nvSpPr>
        <xdr:cNvPr id="5" name="TextBox 4">
          <a:extLst>
            <a:ext uri="{FF2B5EF4-FFF2-40B4-BE49-F238E27FC236}">
              <a16:creationId xmlns:a16="http://schemas.microsoft.com/office/drawing/2014/main" id="{2B273A7F-1470-4404-B6CD-E3AE4288BA8E}"/>
            </a:ext>
          </a:extLst>
        </xdr:cNvPr>
        <xdr:cNvSpPr txBox="1"/>
      </xdr:nvSpPr>
      <xdr:spPr>
        <a:xfrm>
          <a:off x="6666861" y="839055"/>
          <a:ext cx="1823440" cy="56777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0" baseline="0">
              <a:solidFill>
                <a:schemeClr val="bg1"/>
              </a:solidFill>
              <a:latin typeface="+mn-lt"/>
              <a:ea typeface="+mn-ea"/>
              <a:cs typeface="+mn-cs"/>
            </a:rPr>
            <a:t>Average Order Value </a:t>
          </a:r>
        </a:p>
        <a:p>
          <a:pPr marL="0" indent="0" algn="ctr"/>
          <a:r>
            <a:rPr lang="en-IN" sz="1400" b="1" baseline="0">
              <a:solidFill>
                <a:schemeClr val="bg1"/>
              </a:solidFill>
              <a:effectLst/>
              <a:latin typeface="+mn-lt"/>
              <a:ea typeface="+mn-ea"/>
              <a:cs typeface="+mn-cs"/>
            </a:rPr>
            <a:t>$12,475.69 </a:t>
          </a:r>
        </a:p>
      </xdr:txBody>
    </xdr:sp>
    <xdr:clientData/>
  </xdr:twoCellAnchor>
  <xdr:twoCellAnchor>
    <xdr:from>
      <xdr:col>14</xdr:col>
      <xdr:colOff>328132</xdr:colOff>
      <xdr:row>4</xdr:row>
      <xdr:rowOff>119297</xdr:rowOff>
    </xdr:from>
    <xdr:to>
      <xdr:col>17</xdr:col>
      <xdr:colOff>26994</xdr:colOff>
      <xdr:row>7</xdr:row>
      <xdr:rowOff>135862</xdr:rowOff>
    </xdr:to>
    <xdr:sp macro="" textlink="">
      <xdr:nvSpPr>
        <xdr:cNvPr id="6" name="TextBox 5">
          <a:extLst>
            <a:ext uri="{FF2B5EF4-FFF2-40B4-BE49-F238E27FC236}">
              <a16:creationId xmlns:a16="http://schemas.microsoft.com/office/drawing/2014/main" id="{C8797D1A-054F-42CC-8425-E1A4046AFD90}"/>
            </a:ext>
          </a:extLst>
        </xdr:cNvPr>
        <xdr:cNvSpPr txBox="1"/>
      </xdr:nvSpPr>
      <xdr:spPr>
        <a:xfrm>
          <a:off x="8862532" y="843197"/>
          <a:ext cx="1527662" cy="55949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0" baseline="0">
              <a:solidFill>
                <a:schemeClr val="bg1"/>
              </a:solidFill>
              <a:latin typeface="+mn-lt"/>
              <a:ea typeface="+mn-ea"/>
              <a:cs typeface="+mn-cs"/>
            </a:rPr>
            <a:t>Procurement Cost </a:t>
          </a:r>
        </a:p>
        <a:p>
          <a:pPr marL="0" indent="0" algn="ctr"/>
          <a:r>
            <a:rPr lang="en-IN" sz="1400" b="1" baseline="0">
              <a:solidFill>
                <a:schemeClr val="bg1"/>
              </a:solidFill>
              <a:effectLst/>
              <a:latin typeface="+mn-lt"/>
              <a:ea typeface="+mn-ea"/>
              <a:cs typeface="+mn-cs"/>
            </a:rPr>
            <a:t>$10,15,919 </a:t>
          </a:r>
        </a:p>
      </xdr:txBody>
    </xdr:sp>
    <xdr:clientData/>
  </xdr:twoCellAnchor>
  <xdr:twoCellAnchor>
    <xdr:from>
      <xdr:col>20</xdr:col>
      <xdr:colOff>566571</xdr:colOff>
      <xdr:row>4</xdr:row>
      <xdr:rowOff>118622</xdr:rowOff>
    </xdr:from>
    <xdr:to>
      <xdr:col>23</xdr:col>
      <xdr:colOff>123069</xdr:colOff>
      <xdr:row>7</xdr:row>
      <xdr:rowOff>136538</xdr:rowOff>
    </xdr:to>
    <xdr:sp macro="" textlink="">
      <xdr:nvSpPr>
        <xdr:cNvPr id="7" name="TextBox 6">
          <a:extLst>
            <a:ext uri="{FF2B5EF4-FFF2-40B4-BE49-F238E27FC236}">
              <a16:creationId xmlns:a16="http://schemas.microsoft.com/office/drawing/2014/main" id="{77447D48-3207-4761-B167-EDE32FD50ECD}"/>
            </a:ext>
          </a:extLst>
        </xdr:cNvPr>
        <xdr:cNvSpPr txBox="1"/>
      </xdr:nvSpPr>
      <xdr:spPr>
        <a:xfrm>
          <a:off x="12758571" y="842522"/>
          <a:ext cx="1385298" cy="56084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0" baseline="0">
              <a:solidFill>
                <a:schemeClr val="bg1"/>
              </a:solidFill>
              <a:latin typeface="+mn-lt"/>
              <a:ea typeface="+mn-ea"/>
              <a:cs typeface="+mn-cs"/>
            </a:rPr>
            <a:t>Cost Per Unit </a:t>
          </a:r>
        </a:p>
        <a:p>
          <a:pPr marL="0" indent="0" algn="ctr"/>
          <a:r>
            <a:rPr lang="en-IN" sz="1400" b="1" baseline="0">
              <a:solidFill>
                <a:schemeClr val="bg1"/>
              </a:solidFill>
              <a:effectLst/>
              <a:latin typeface="+mn-lt"/>
              <a:ea typeface="+mn-ea"/>
              <a:cs typeface="+mn-cs"/>
            </a:rPr>
            <a:t>$26 </a:t>
          </a:r>
        </a:p>
      </xdr:txBody>
    </xdr:sp>
    <xdr:clientData/>
  </xdr:twoCellAnchor>
  <xdr:twoCellAnchor>
    <xdr:from>
      <xdr:col>17</xdr:col>
      <xdr:colOff>399225</xdr:colOff>
      <xdr:row>4</xdr:row>
      <xdr:rowOff>119297</xdr:rowOff>
    </xdr:from>
    <xdr:to>
      <xdr:col>20</xdr:col>
      <xdr:colOff>194340</xdr:colOff>
      <xdr:row>7</xdr:row>
      <xdr:rowOff>135863</xdr:rowOff>
    </xdr:to>
    <xdr:sp macro="" textlink="">
      <xdr:nvSpPr>
        <xdr:cNvPr id="8" name="TextBox 7">
          <a:extLst>
            <a:ext uri="{FF2B5EF4-FFF2-40B4-BE49-F238E27FC236}">
              <a16:creationId xmlns:a16="http://schemas.microsoft.com/office/drawing/2014/main" id="{3C3B0C0D-0405-429A-812C-AD87E094E23C}"/>
            </a:ext>
          </a:extLst>
        </xdr:cNvPr>
        <xdr:cNvSpPr txBox="1"/>
      </xdr:nvSpPr>
      <xdr:spPr>
        <a:xfrm>
          <a:off x="10762425" y="843197"/>
          <a:ext cx="1623915" cy="55949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0" baseline="0">
              <a:solidFill>
                <a:schemeClr val="bg1"/>
              </a:solidFill>
              <a:latin typeface="+mn-lt"/>
              <a:ea typeface="+mn-ea"/>
              <a:cs typeface="+mn-cs"/>
            </a:rPr>
            <a:t>Transportation Cost </a:t>
          </a:r>
          <a:r>
            <a:rPr lang="en-IN" sz="1400" b="1" baseline="0">
              <a:solidFill>
                <a:schemeClr val="bg1"/>
              </a:solidFill>
              <a:effectLst/>
              <a:latin typeface="+mn-lt"/>
              <a:ea typeface="+mn-ea"/>
              <a:cs typeface="+mn-cs"/>
            </a:rPr>
            <a:t>$2,62,463 </a:t>
          </a:r>
        </a:p>
      </xdr:txBody>
    </xdr:sp>
    <xdr:clientData/>
  </xdr:twoCellAnchor>
  <xdr:twoCellAnchor>
    <xdr:from>
      <xdr:col>23</xdr:col>
      <xdr:colOff>495300</xdr:colOff>
      <xdr:row>4</xdr:row>
      <xdr:rowOff>121445</xdr:rowOff>
    </xdr:from>
    <xdr:to>
      <xdr:col>26</xdr:col>
      <xdr:colOff>1345</xdr:colOff>
      <xdr:row>7</xdr:row>
      <xdr:rowOff>133715</xdr:rowOff>
    </xdr:to>
    <xdr:sp macro="" textlink="">
      <xdr:nvSpPr>
        <xdr:cNvPr id="9" name="TextBox 8">
          <a:extLst>
            <a:ext uri="{FF2B5EF4-FFF2-40B4-BE49-F238E27FC236}">
              <a16:creationId xmlns:a16="http://schemas.microsoft.com/office/drawing/2014/main" id="{BB0C0C17-9E77-44DD-91BC-1FAB59FC250F}"/>
            </a:ext>
          </a:extLst>
        </xdr:cNvPr>
        <xdr:cNvSpPr txBox="1"/>
      </xdr:nvSpPr>
      <xdr:spPr>
        <a:xfrm>
          <a:off x="14516100" y="845345"/>
          <a:ext cx="1334845" cy="55519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0" baseline="0">
              <a:solidFill>
                <a:schemeClr val="bg1"/>
              </a:solidFill>
              <a:latin typeface="+mn-lt"/>
              <a:ea typeface="+mn-ea"/>
              <a:cs typeface="+mn-cs"/>
            </a:rPr>
            <a:t>Fill Rate </a:t>
          </a:r>
        </a:p>
        <a:p>
          <a:pPr marL="0" indent="0" algn="ctr"/>
          <a:r>
            <a:rPr lang="en-IN" sz="1400" b="1" baseline="0">
              <a:solidFill>
                <a:schemeClr val="bg1"/>
              </a:solidFill>
              <a:effectLst/>
              <a:latin typeface="+mn-lt"/>
              <a:ea typeface="+mn-ea"/>
              <a:cs typeface="+mn-cs"/>
            </a:rPr>
            <a:t>85% </a:t>
          </a:r>
        </a:p>
      </xdr:txBody>
    </xdr:sp>
    <xdr:clientData/>
  </xdr:twoCellAnchor>
  <xdr:twoCellAnchor>
    <xdr:from>
      <xdr:col>7</xdr:col>
      <xdr:colOff>381756</xdr:colOff>
      <xdr:row>4</xdr:row>
      <xdr:rowOff>110508</xdr:rowOff>
    </xdr:from>
    <xdr:to>
      <xdr:col>10</xdr:col>
      <xdr:colOff>198630</xdr:colOff>
      <xdr:row>7</xdr:row>
      <xdr:rowOff>144652</xdr:rowOff>
    </xdr:to>
    <xdr:sp macro="" textlink="">
      <xdr:nvSpPr>
        <xdr:cNvPr id="10" name="TextBox 9">
          <a:extLst>
            <a:ext uri="{FF2B5EF4-FFF2-40B4-BE49-F238E27FC236}">
              <a16:creationId xmlns:a16="http://schemas.microsoft.com/office/drawing/2014/main" id="{6133DFB3-ECFD-475D-A4EC-29F5967C9BF0}"/>
            </a:ext>
          </a:extLst>
        </xdr:cNvPr>
        <xdr:cNvSpPr txBox="1"/>
      </xdr:nvSpPr>
      <xdr:spPr>
        <a:xfrm>
          <a:off x="4648956" y="834408"/>
          <a:ext cx="1645674" cy="5770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baseline="0">
              <a:solidFill>
                <a:schemeClr val="bg1"/>
              </a:solidFill>
              <a:latin typeface="+mn-lt"/>
              <a:ea typeface="+mn-ea"/>
              <a:cs typeface="+mn-cs"/>
            </a:rPr>
            <a:t>Total</a:t>
          </a:r>
          <a:r>
            <a:rPr lang="en-IN" sz="1050" b="0" i="0" u="none" strike="noStrike">
              <a:solidFill>
                <a:schemeClr val="bg1"/>
              </a:solidFill>
              <a:effectLst/>
              <a:latin typeface="+mn-lt"/>
              <a:ea typeface="+mn-ea"/>
              <a:cs typeface="+mn-cs"/>
            </a:rPr>
            <a:t> </a:t>
          </a:r>
          <a:r>
            <a:rPr lang="en-IN" sz="1400" b="0" baseline="0">
              <a:solidFill>
                <a:schemeClr val="bg1"/>
              </a:solidFill>
              <a:latin typeface="+mn-lt"/>
              <a:ea typeface="+mn-ea"/>
              <a:cs typeface="+mn-cs"/>
            </a:rPr>
            <a:t>Sales</a:t>
          </a:r>
          <a:r>
            <a:rPr lang="en-IN" sz="1050" b="0" i="0" u="none" strike="noStrike">
              <a:solidFill>
                <a:schemeClr val="bg1"/>
              </a:solidFill>
              <a:effectLst/>
              <a:latin typeface="+mn-lt"/>
              <a:ea typeface="+mn-ea"/>
              <a:cs typeface="+mn-cs"/>
            </a:rPr>
            <a:t> </a:t>
          </a:r>
          <a:r>
            <a:rPr lang="en-IN" sz="1400" b="0" baseline="0">
              <a:solidFill>
                <a:schemeClr val="bg1"/>
              </a:solidFill>
              <a:latin typeface="+mn-lt"/>
              <a:ea typeface="+mn-ea"/>
              <a:cs typeface="+mn-cs"/>
            </a:rPr>
            <a:t>Revenue</a:t>
          </a:r>
          <a:r>
            <a:rPr lang="en-IN" sz="1050" b="0">
              <a:solidFill>
                <a:schemeClr val="bg1"/>
              </a:solidFill>
              <a:effectLst/>
            </a:rPr>
            <a:t> </a:t>
          </a:r>
        </a:p>
        <a:p>
          <a:pPr algn="ctr"/>
          <a:r>
            <a:rPr lang="en-IN" sz="1400" b="1" i="0" u="none" strike="noStrike">
              <a:solidFill>
                <a:schemeClr val="bg1"/>
              </a:solidFill>
              <a:effectLst/>
              <a:latin typeface="+mn-lt"/>
              <a:ea typeface="+mn-ea"/>
              <a:cs typeface="+mn-cs"/>
            </a:rPr>
            <a:t>$1,24,75,695</a:t>
          </a:r>
          <a:r>
            <a:rPr lang="en-IN" sz="1400" b="1">
              <a:solidFill>
                <a:schemeClr val="bg1"/>
              </a:solidFill>
              <a:effectLst/>
            </a:rPr>
            <a:t> </a:t>
          </a:r>
        </a:p>
      </xdr:txBody>
    </xdr:sp>
    <xdr:clientData/>
  </xdr:twoCellAnchor>
  <xdr:twoCellAnchor>
    <xdr:from>
      <xdr:col>4</xdr:col>
      <xdr:colOff>324556</xdr:colOff>
      <xdr:row>9</xdr:row>
      <xdr:rowOff>2</xdr:rowOff>
    </xdr:from>
    <xdr:to>
      <xdr:col>26</xdr:col>
      <xdr:colOff>361950</xdr:colOff>
      <xdr:row>37</xdr:row>
      <xdr:rowOff>66675</xdr:rowOff>
    </xdr:to>
    <xdr:sp macro="" textlink="">
      <xdr:nvSpPr>
        <xdr:cNvPr id="12" name="Rectangle 11">
          <a:extLst>
            <a:ext uri="{FF2B5EF4-FFF2-40B4-BE49-F238E27FC236}">
              <a16:creationId xmlns:a16="http://schemas.microsoft.com/office/drawing/2014/main" id="{A76203E3-F485-5338-7598-3FE006FA9F8E}"/>
            </a:ext>
          </a:extLst>
        </xdr:cNvPr>
        <xdr:cNvSpPr/>
      </xdr:nvSpPr>
      <xdr:spPr>
        <a:xfrm>
          <a:off x="2991556" y="1543052"/>
          <a:ext cx="14705894" cy="4867273"/>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418336</xdr:colOff>
      <xdr:row>9</xdr:row>
      <xdr:rowOff>96762</xdr:rowOff>
    </xdr:from>
    <xdr:to>
      <xdr:col>15</xdr:col>
      <xdr:colOff>618565</xdr:colOff>
      <xdr:row>22</xdr:row>
      <xdr:rowOff>57150</xdr:rowOff>
    </xdr:to>
    <xdr:graphicFrame macro="">
      <xdr:nvGraphicFramePr>
        <xdr:cNvPr id="13" name="Chart 12">
          <a:extLst>
            <a:ext uri="{FF2B5EF4-FFF2-40B4-BE49-F238E27FC236}">
              <a16:creationId xmlns:a16="http://schemas.microsoft.com/office/drawing/2014/main" id="{8370EEDA-E153-45CB-B363-A0CB0B20E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173344</xdr:colOff>
      <xdr:row>9</xdr:row>
      <xdr:rowOff>89648</xdr:rowOff>
    </xdr:from>
    <xdr:to>
      <xdr:col>26</xdr:col>
      <xdr:colOff>209550</xdr:colOff>
      <xdr:row>22</xdr:row>
      <xdr:rowOff>76200</xdr:rowOff>
    </xdr:to>
    <xdr:graphicFrame macro="">
      <xdr:nvGraphicFramePr>
        <xdr:cNvPr id="14" name="Chart 13">
          <a:extLst>
            <a:ext uri="{FF2B5EF4-FFF2-40B4-BE49-F238E27FC236}">
              <a16:creationId xmlns:a16="http://schemas.microsoft.com/office/drawing/2014/main" id="{81F235B8-26B4-439F-8E4E-58CB6F2DB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455956</xdr:colOff>
      <xdr:row>23</xdr:row>
      <xdr:rowOff>0</xdr:rowOff>
    </xdr:from>
    <xdr:to>
      <xdr:col>10</xdr:col>
      <xdr:colOff>591179</xdr:colOff>
      <xdr:row>35</xdr:row>
      <xdr:rowOff>133350</xdr:rowOff>
    </xdr:to>
    <xdr:graphicFrame macro="">
      <xdr:nvGraphicFramePr>
        <xdr:cNvPr id="15" name="Chart 14">
          <a:extLst>
            <a:ext uri="{FF2B5EF4-FFF2-40B4-BE49-F238E27FC236}">
              <a16:creationId xmlns:a16="http://schemas.microsoft.com/office/drawing/2014/main" id="{EE2074B5-DCE2-472F-A398-B54E9DADA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296396</xdr:colOff>
      <xdr:row>22</xdr:row>
      <xdr:rowOff>171450</xdr:rowOff>
    </xdr:from>
    <xdr:to>
      <xdr:col>20</xdr:col>
      <xdr:colOff>448795</xdr:colOff>
      <xdr:row>35</xdr:row>
      <xdr:rowOff>142875</xdr:rowOff>
    </xdr:to>
    <xdr:graphicFrame macro="">
      <xdr:nvGraphicFramePr>
        <xdr:cNvPr id="16" name="Chart 15">
          <a:extLst>
            <a:ext uri="{FF2B5EF4-FFF2-40B4-BE49-F238E27FC236}">
              <a16:creationId xmlns:a16="http://schemas.microsoft.com/office/drawing/2014/main" id="{003EBC0D-B0A6-4ECF-888D-7824604AE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108138</xdr:colOff>
      <xdr:row>23</xdr:row>
      <xdr:rowOff>1</xdr:rowOff>
    </xdr:from>
    <xdr:to>
      <xdr:col>26</xdr:col>
      <xdr:colOff>190500</xdr:colOff>
      <xdr:row>35</xdr:row>
      <xdr:rowOff>161926</xdr:rowOff>
    </xdr:to>
    <xdr:graphicFrame macro="">
      <xdr:nvGraphicFramePr>
        <xdr:cNvPr id="17" name="Chart 16">
          <a:extLst>
            <a:ext uri="{FF2B5EF4-FFF2-40B4-BE49-F238E27FC236}">
              <a16:creationId xmlns:a16="http://schemas.microsoft.com/office/drawing/2014/main" id="{02C02F3E-2DE4-40B2-B484-E15163094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222754</xdr:colOff>
      <xdr:row>3</xdr:row>
      <xdr:rowOff>141111</xdr:rowOff>
    </xdr:from>
    <xdr:to>
      <xdr:col>4</xdr:col>
      <xdr:colOff>211667</xdr:colOff>
      <xdr:row>39</xdr:row>
      <xdr:rowOff>38100</xdr:rowOff>
    </xdr:to>
    <xdr:sp macro="" textlink="">
      <xdr:nvSpPr>
        <xdr:cNvPr id="23" name="Rectangle 22">
          <a:extLst>
            <a:ext uri="{FF2B5EF4-FFF2-40B4-BE49-F238E27FC236}">
              <a16:creationId xmlns:a16="http://schemas.microsoft.com/office/drawing/2014/main" id="{1EDF1FF8-255A-C16C-773B-72DCA289FACA}"/>
            </a:ext>
          </a:extLst>
        </xdr:cNvPr>
        <xdr:cNvSpPr/>
      </xdr:nvSpPr>
      <xdr:spPr>
        <a:xfrm>
          <a:off x="222754" y="655461"/>
          <a:ext cx="2655913" cy="60691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284063</xdr:colOff>
      <xdr:row>3</xdr:row>
      <xdr:rowOff>167635</xdr:rowOff>
    </xdr:from>
    <xdr:to>
      <xdr:col>4</xdr:col>
      <xdr:colOff>110612</xdr:colOff>
      <xdr:row>11</xdr:row>
      <xdr:rowOff>0</xdr:rowOff>
    </xdr:to>
    <mc:AlternateContent xmlns:mc="http://schemas.openxmlformats.org/markup-compatibility/2006" xmlns:a14="http://schemas.microsoft.com/office/drawing/2010/main">
      <mc:Choice Requires="a14">
        <xdr:graphicFrame macro="">
          <xdr:nvGraphicFramePr>
            <xdr:cNvPr id="25" name="Ship_Mode">
              <a:extLst>
                <a:ext uri="{FF2B5EF4-FFF2-40B4-BE49-F238E27FC236}">
                  <a16:creationId xmlns:a16="http://schemas.microsoft.com/office/drawing/2014/main" id="{EDAF6AC0-E2B5-4D0F-9B1D-9BA60CFB654F}"/>
                </a:ext>
              </a:extLst>
            </xdr:cNvPr>
            <xdr:cNvGraphicFramePr/>
          </xdr:nvGraphicFramePr>
          <xdr:xfrm>
            <a:off x="0" y="0"/>
            <a:ext cx="0" cy="0"/>
          </xdr:xfrm>
          <a:graphic>
            <a:graphicData uri="http://schemas.microsoft.com/office/drawing/2010/slicer">
              <sle:slicer xmlns:sle="http://schemas.microsoft.com/office/drawing/2010/slicer" name="Ship_Mode"/>
            </a:graphicData>
          </a:graphic>
        </xdr:graphicFrame>
      </mc:Choice>
      <mc:Fallback xmlns="">
        <xdr:sp macro="" textlink="">
          <xdr:nvSpPr>
            <xdr:cNvPr id="0" name=""/>
            <xdr:cNvSpPr>
              <a:spLocks noTextEdit="1"/>
            </xdr:cNvSpPr>
          </xdr:nvSpPr>
          <xdr:spPr>
            <a:xfrm>
              <a:off x="284063" y="710560"/>
              <a:ext cx="2264949" cy="1280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280641</xdr:colOff>
      <xdr:row>11</xdr:row>
      <xdr:rowOff>81168</xdr:rowOff>
    </xdr:from>
    <xdr:to>
      <xdr:col>4</xdr:col>
      <xdr:colOff>106617</xdr:colOff>
      <xdr:row>21</xdr:row>
      <xdr:rowOff>47625</xdr:rowOff>
    </xdr:to>
    <mc:AlternateContent xmlns:mc="http://schemas.openxmlformats.org/markup-compatibility/2006" xmlns:a14="http://schemas.microsoft.com/office/drawing/2010/main">
      <mc:Choice Requires="a14">
        <xdr:graphicFrame macro="">
          <xdr:nvGraphicFramePr>
            <xdr:cNvPr id="26" name="Supplier_Name">
              <a:extLst>
                <a:ext uri="{FF2B5EF4-FFF2-40B4-BE49-F238E27FC236}">
                  <a16:creationId xmlns:a16="http://schemas.microsoft.com/office/drawing/2014/main" id="{218F9E09-95AB-4902-AB19-A2ACF91071CA}"/>
                </a:ext>
              </a:extLst>
            </xdr:cNvPr>
            <xdr:cNvGraphicFramePr/>
          </xdr:nvGraphicFramePr>
          <xdr:xfrm>
            <a:off x="0" y="0"/>
            <a:ext cx="0" cy="0"/>
          </xdr:xfrm>
          <a:graphic>
            <a:graphicData uri="http://schemas.microsoft.com/office/drawing/2010/slicer">
              <sle:slicer xmlns:sle="http://schemas.microsoft.com/office/drawing/2010/slicer" name="Supplier_Name"/>
            </a:graphicData>
          </a:graphic>
        </xdr:graphicFrame>
      </mc:Choice>
      <mc:Fallback xmlns="">
        <xdr:sp macro="" textlink="">
          <xdr:nvSpPr>
            <xdr:cNvPr id="0" name=""/>
            <xdr:cNvSpPr>
              <a:spLocks noTextEdit="1"/>
            </xdr:cNvSpPr>
          </xdr:nvSpPr>
          <xdr:spPr>
            <a:xfrm>
              <a:off x="280641" y="2071893"/>
              <a:ext cx="2264376" cy="1776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300567</xdr:colOff>
      <xdr:row>21</xdr:row>
      <xdr:rowOff>104775</xdr:rowOff>
    </xdr:from>
    <xdr:to>
      <xdr:col>4</xdr:col>
      <xdr:colOff>88797</xdr:colOff>
      <xdr:row>35</xdr:row>
      <xdr:rowOff>171450</xdr:rowOff>
    </xdr:to>
    <mc:AlternateContent xmlns:mc="http://schemas.openxmlformats.org/markup-compatibility/2006" xmlns:a14="http://schemas.microsoft.com/office/drawing/2010/main">
      <mc:Choice Requires="a14">
        <xdr:graphicFrame macro="">
          <xdr:nvGraphicFramePr>
            <xdr:cNvPr id="27" name="Country">
              <a:extLst>
                <a:ext uri="{FF2B5EF4-FFF2-40B4-BE49-F238E27FC236}">
                  <a16:creationId xmlns:a16="http://schemas.microsoft.com/office/drawing/2014/main" id="{DC7D7F17-9325-4F67-82ED-001E136140F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00567" y="3905250"/>
              <a:ext cx="2226630" cy="2600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231913</xdr:colOff>
      <xdr:row>0</xdr:row>
      <xdr:rowOff>112889</xdr:rowOff>
    </xdr:from>
    <xdr:to>
      <xdr:col>26</xdr:col>
      <xdr:colOff>371475</xdr:colOff>
      <xdr:row>3</xdr:row>
      <xdr:rowOff>91109</xdr:rowOff>
    </xdr:to>
    <xdr:sp macro="" textlink="">
      <xdr:nvSpPr>
        <xdr:cNvPr id="18" name="Rectangle 17">
          <a:extLst>
            <a:ext uri="{FF2B5EF4-FFF2-40B4-BE49-F238E27FC236}">
              <a16:creationId xmlns:a16="http://schemas.microsoft.com/office/drawing/2014/main" id="{592E21E6-6D4C-6906-B58A-C1F82AA04F73}"/>
            </a:ext>
          </a:extLst>
        </xdr:cNvPr>
        <xdr:cNvSpPr/>
      </xdr:nvSpPr>
      <xdr:spPr>
        <a:xfrm>
          <a:off x="231913" y="112889"/>
          <a:ext cx="17475062" cy="4925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effectLst>
                <a:glow rad="63500">
                  <a:srgbClr val="00B050">
                    <a:alpha val="40000"/>
                  </a:srgbClr>
                </a:glow>
              </a:effectLst>
              <a:latin typeface="+mn-lt"/>
            </a:rPr>
            <a:t>   </a:t>
          </a:r>
          <a:r>
            <a:rPr lang="en-IN" sz="3200" b="1">
              <a:ln>
                <a:solidFill>
                  <a:schemeClr val="accent6">
                    <a:lumMod val="20000"/>
                    <a:lumOff val="80000"/>
                  </a:schemeClr>
                </a:solidFill>
              </a:ln>
              <a:effectLst>
                <a:glow rad="101600">
                  <a:schemeClr val="accent6">
                    <a:satMod val="175000"/>
                    <a:alpha val="40000"/>
                  </a:schemeClr>
                </a:glow>
              </a:effectLst>
              <a:latin typeface="+mn-lt"/>
            </a:rPr>
            <a:t>SUPPLY</a:t>
          </a:r>
          <a:r>
            <a:rPr lang="en-IN" sz="3200" b="1" baseline="0">
              <a:ln>
                <a:solidFill>
                  <a:schemeClr val="accent6">
                    <a:lumMod val="20000"/>
                    <a:lumOff val="80000"/>
                  </a:schemeClr>
                </a:solidFill>
              </a:ln>
              <a:effectLst>
                <a:glow rad="101600">
                  <a:schemeClr val="accent6">
                    <a:satMod val="175000"/>
                    <a:alpha val="40000"/>
                  </a:schemeClr>
                </a:glow>
              </a:effectLst>
              <a:latin typeface="+mn-lt"/>
            </a:rPr>
            <a:t> CHAIN MANAGEMENT DASHBOARD</a:t>
          </a:r>
          <a:endParaRPr lang="en-IN" sz="3200" b="1">
            <a:ln>
              <a:solidFill>
                <a:schemeClr val="accent6">
                  <a:lumMod val="20000"/>
                  <a:lumOff val="80000"/>
                </a:schemeClr>
              </a:solidFill>
            </a:ln>
            <a:effectLst>
              <a:glow rad="101600">
                <a:schemeClr val="accent6">
                  <a:satMod val="175000"/>
                  <a:alpha val="40000"/>
                </a:schemeClr>
              </a:glow>
            </a:effectLst>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120650</xdr:colOff>
      <xdr:row>0</xdr:row>
      <xdr:rowOff>28575</xdr:rowOff>
    </xdr:from>
    <xdr:to>
      <xdr:col>8</xdr:col>
      <xdr:colOff>133350</xdr:colOff>
      <xdr:row>9</xdr:row>
      <xdr:rowOff>120650</xdr:rowOff>
    </xdr:to>
    <xdr:graphicFrame macro="">
      <xdr:nvGraphicFramePr>
        <xdr:cNvPr id="3" name="Chart 2">
          <a:extLst>
            <a:ext uri="{FF2B5EF4-FFF2-40B4-BE49-F238E27FC236}">
              <a16:creationId xmlns:a16="http://schemas.microsoft.com/office/drawing/2014/main" id="{3BBADCFA-7161-EAEF-0DF6-AA0871CAA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279400</xdr:colOff>
      <xdr:row>12</xdr:row>
      <xdr:rowOff>31750</xdr:rowOff>
    </xdr:from>
    <xdr:to>
      <xdr:col>9</xdr:col>
      <xdr:colOff>101600</xdr:colOff>
      <xdr:row>22</xdr:row>
      <xdr:rowOff>171450</xdr:rowOff>
    </xdr:to>
    <xdr:graphicFrame macro="">
      <xdr:nvGraphicFramePr>
        <xdr:cNvPr id="4" name="Chart 3">
          <a:extLst>
            <a:ext uri="{FF2B5EF4-FFF2-40B4-BE49-F238E27FC236}">
              <a16:creationId xmlns:a16="http://schemas.microsoft.com/office/drawing/2014/main" id="{53A1F053-812D-7B6D-B259-581D68AAC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279400</xdr:colOff>
      <xdr:row>23</xdr:row>
      <xdr:rowOff>184149</xdr:rowOff>
    </xdr:from>
    <xdr:to>
      <xdr:col>9</xdr:col>
      <xdr:colOff>101600</xdr:colOff>
      <xdr:row>34</xdr:row>
      <xdr:rowOff>63500</xdr:rowOff>
    </xdr:to>
    <xdr:graphicFrame macro="">
      <xdr:nvGraphicFramePr>
        <xdr:cNvPr id="5" name="Chart 4">
          <a:extLst>
            <a:ext uri="{FF2B5EF4-FFF2-40B4-BE49-F238E27FC236}">
              <a16:creationId xmlns:a16="http://schemas.microsoft.com/office/drawing/2014/main" id="{13FBFDEA-32A2-2B06-2ED2-5FE1C7040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330200</xdr:colOff>
      <xdr:row>34</xdr:row>
      <xdr:rowOff>184149</xdr:rowOff>
    </xdr:from>
    <xdr:to>
      <xdr:col>7</xdr:col>
      <xdr:colOff>381000</xdr:colOff>
      <xdr:row>46</xdr:row>
      <xdr:rowOff>139700</xdr:rowOff>
    </xdr:to>
    <xdr:graphicFrame macro="">
      <xdr:nvGraphicFramePr>
        <xdr:cNvPr id="6" name="Chart 5">
          <a:extLst>
            <a:ext uri="{FF2B5EF4-FFF2-40B4-BE49-F238E27FC236}">
              <a16:creationId xmlns:a16="http://schemas.microsoft.com/office/drawing/2014/main" id="{6FCCDAB1-9DD5-40FD-2A2C-B06668F4D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196850</xdr:colOff>
      <xdr:row>47</xdr:row>
      <xdr:rowOff>66675</xdr:rowOff>
    </xdr:from>
    <xdr:to>
      <xdr:col>9</xdr:col>
      <xdr:colOff>19050</xdr:colOff>
      <xdr:row>62</xdr:row>
      <xdr:rowOff>47625</xdr:rowOff>
    </xdr:to>
    <xdr:graphicFrame macro="">
      <xdr:nvGraphicFramePr>
        <xdr:cNvPr id="7" name="Chart 6">
          <a:extLst>
            <a:ext uri="{FF2B5EF4-FFF2-40B4-BE49-F238E27FC236}">
              <a16:creationId xmlns:a16="http://schemas.microsoft.com/office/drawing/2014/main" id="{0C40DF91-0873-0EC1-3E59-5FB8954A1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yeda Rumiza" refreshedDate="46071.571563310186" createdVersion="8" refreshedVersion="8" minRefreshableVersion="3" recordCount="1000" xr:uid="{2C29BD11-B10F-4C48-A9E5-0538C4212368}">
  <cacheSource type="worksheet">
    <worksheetSource ref="A1:AE1001" sheet="Supply Chain"/>
  </cacheSource>
  <cacheFields count="34">
    <cacheField name="Order_ID" numFmtId="0">
      <sharedItems/>
    </cacheField>
    <cacheField name="Customer_ID" numFmtId="0">
      <sharedItems/>
    </cacheField>
    <cacheField name="Order_Date" numFmtId="164">
      <sharedItems containsSemiMixedTypes="0" containsNonDate="0" containsDate="1" containsString="0" minDate="2020-01-01T00:00:00" maxDate="2025-01-02T00:00:00" count="780">
        <d v="2022-09-19T00:00:00"/>
        <d v="2021-12-25T00:00:00"/>
        <d v="2020-08-02T00:00:00"/>
        <d v="2022-10-11T00:00:00"/>
        <d v="2021-07-26T00:00:00"/>
        <d v="2023-11-24T00:00:00"/>
        <d v="2024-08-11T00:00:00"/>
        <d v="2021-03-31T00:00:00"/>
        <d v="2022-12-25T00:00:00"/>
        <d v="2020-01-24T00:00:00"/>
        <d v="2024-12-05T00:00:00"/>
        <d v="2023-09-25T00:00:00"/>
        <d v="2023-12-12T00:00:00"/>
        <d v="2024-10-20T00:00:00"/>
        <d v="2022-08-12T00:00:00"/>
        <d v="2022-05-07T00:00:00"/>
        <d v="2020-07-10T00:00:00"/>
        <d v="2020-09-08T00:00:00"/>
        <d v="2024-04-12T00:00:00"/>
        <d v="2021-01-11T00:00:00"/>
        <d v="2023-03-10T00:00:00"/>
        <d v="2020-07-31T00:00:00"/>
        <d v="2021-08-18T00:00:00"/>
        <d v="2023-01-16T00:00:00"/>
        <d v="2024-05-29T00:00:00"/>
        <d v="2022-12-10T00:00:00"/>
        <d v="2021-07-20T00:00:00"/>
        <d v="2022-05-18T00:00:00"/>
        <d v="2021-06-21T00:00:00"/>
        <d v="2020-01-19T00:00:00"/>
        <d v="2024-11-07T00:00:00"/>
        <d v="2023-08-08T00:00:00"/>
        <d v="2022-05-15T00:00:00"/>
        <d v="2022-12-29T00:00:00"/>
        <d v="2020-02-21T00:00:00"/>
        <d v="2021-03-07T00:00:00"/>
        <d v="2021-02-02T00:00:00"/>
        <d v="2023-08-06T00:00:00"/>
        <d v="2024-03-21T00:00:00"/>
        <d v="2020-06-05T00:00:00"/>
        <d v="2022-10-27T00:00:00"/>
        <d v="2021-11-05T00:00:00"/>
        <d v="2023-10-13T00:00:00"/>
        <d v="2022-11-29T00:00:00"/>
        <d v="2021-11-12T00:00:00"/>
        <d v="2020-09-21T00:00:00"/>
        <d v="2024-03-23T00:00:00"/>
        <d v="2022-08-11T00:00:00"/>
        <d v="2023-01-22T00:00:00"/>
        <d v="2025-01-01T00:00:00"/>
        <d v="2020-11-19T00:00:00"/>
        <d v="2022-06-27T00:00:00"/>
        <d v="2021-04-24T00:00:00"/>
        <d v="2021-08-24T00:00:00"/>
        <d v="2022-06-25T00:00:00"/>
        <d v="2023-12-20T00:00:00"/>
        <d v="2024-09-08T00:00:00"/>
        <d v="2021-10-03T00:00:00"/>
        <d v="2023-03-28T00:00:00"/>
        <d v="2024-12-10T00:00:00"/>
        <d v="2023-05-31T00:00:00"/>
        <d v="2024-01-20T00:00:00"/>
        <d v="2024-04-11T00:00:00"/>
        <d v="2022-02-18T00:00:00"/>
        <d v="2021-09-26T00:00:00"/>
        <d v="2023-03-16T00:00:00"/>
        <d v="2022-03-29T00:00:00"/>
        <d v="2020-03-21T00:00:00"/>
        <d v="2022-07-26T00:00:00"/>
        <d v="2020-06-28T00:00:00"/>
        <d v="2020-01-28T00:00:00"/>
        <d v="2020-01-06T00:00:00"/>
        <d v="2024-01-10T00:00:00"/>
        <d v="2022-02-26T00:00:00"/>
        <d v="2024-03-18T00:00:00"/>
        <d v="2021-09-17T00:00:00"/>
        <d v="2021-04-23T00:00:00"/>
        <d v="2022-05-29T00:00:00"/>
        <d v="2022-04-19T00:00:00"/>
        <d v="2020-10-28T00:00:00"/>
        <d v="2020-02-29T00:00:00"/>
        <d v="2024-09-22T00:00:00"/>
        <d v="2021-02-10T00:00:00"/>
        <d v="2023-08-31T00:00:00"/>
        <d v="2023-10-18T00:00:00"/>
        <d v="2022-08-08T00:00:00"/>
        <d v="2020-01-05T00:00:00"/>
        <d v="2022-06-23T00:00:00"/>
        <d v="2020-05-31T00:00:00"/>
        <d v="2020-06-13T00:00:00"/>
        <d v="2023-03-19T00:00:00"/>
        <d v="2021-03-24T00:00:00"/>
        <d v="2020-08-27T00:00:00"/>
        <d v="2023-12-21T00:00:00"/>
        <d v="2022-05-22T00:00:00"/>
        <d v="2020-01-14T00:00:00"/>
        <d v="2022-03-21T00:00:00"/>
        <d v="2021-11-10T00:00:00"/>
        <d v="2022-12-17T00:00:00"/>
        <d v="2021-03-20T00:00:00"/>
        <d v="2023-03-24T00:00:00"/>
        <d v="2022-03-23T00:00:00"/>
        <d v="2021-08-11T00:00:00"/>
        <d v="2024-08-07T00:00:00"/>
        <d v="2021-11-29T00:00:00"/>
        <d v="2023-12-26T00:00:00"/>
        <d v="2023-09-04T00:00:00"/>
        <d v="2021-11-26T00:00:00"/>
        <d v="2020-01-22T00:00:00"/>
        <d v="2024-04-18T00:00:00"/>
        <d v="2020-09-02T00:00:00"/>
        <d v="2024-04-09T00:00:00"/>
        <d v="2021-03-27T00:00:00"/>
        <d v="2021-11-07T00:00:00"/>
        <d v="2023-07-21T00:00:00"/>
        <d v="2022-05-05T00:00:00"/>
        <d v="2022-08-19T00:00:00"/>
        <d v="2021-05-17T00:00:00"/>
        <d v="2024-09-19T00:00:00"/>
        <d v="2024-03-03T00:00:00"/>
        <d v="2023-10-23T00:00:00"/>
        <d v="2022-12-24T00:00:00"/>
        <d v="2022-07-19T00:00:00"/>
        <d v="2024-07-27T00:00:00"/>
        <d v="2024-07-02T00:00:00"/>
        <d v="2023-09-15T00:00:00"/>
        <d v="2022-01-07T00:00:00"/>
        <d v="2021-12-29T00:00:00"/>
        <d v="2022-05-02T00:00:00"/>
        <d v="2022-04-26T00:00:00"/>
        <d v="2024-12-02T00:00:00"/>
        <d v="2020-06-20T00:00:00"/>
        <d v="2022-07-23T00:00:00"/>
        <d v="2020-05-04T00:00:00"/>
        <d v="2023-11-12T00:00:00"/>
        <d v="2024-12-27T00:00:00"/>
        <d v="2022-11-15T00:00:00"/>
        <d v="2020-03-06T00:00:00"/>
        <d v="2021-05-08T00:00:00"/>
        <d v="2024-01-12T00:00:00"/>
        <d v="2022-05-03T00:00:00"/>
        <d v="2020-05-14T00:00:00"/>
        <d v="2020-10-29T00:00:00"/>
        <d v="2022-04-03T00:00:00"/>
        <d v="2022-10-23T00:00:00"/>
        <d v="2020-08-13T00:00:00"/>
        <d v="2021-09-01T00:00:00"/>
        <d v="2020-02-14T00:00:00"/>
        <d v="2023-02-13T00:00:00"/>
        <d v="2024-12-08T00:00:00"/>
        <d v="2023-07-11T00:00:00"/>
        <d v="2022-09-28T00:00:00"/>
        <d v="2023-07-30T00:00:00"/>
        <d v="2023-11-05T00:00:00"/>
        <d v="2022-06-26T00:00:00"/>
        <d v="2021-01-24T00:00:00"/>
        <d v="2022-01-02T00:00:00"/>
        <d v="2020-09-23T00:00:00"/>
        <d v="2023-05-07T00:00:00"/>
        <d v="2020-02-27T00:00:00"/>
        <d v="2020-11-11T00:00:00"/>
        <d v="2023-06-19T00:00:00"/>
        <d v="2021-04-04T00:00:00"/>
        <d v="2022-09-06T00:00:00"/>
        <d v="2023-06-14T00:00:00"/>
        <d v="2024-03-31T00:00:00"/>
        <d v="2022-07-28T00:00:00"/>
        <d v="2022-04-24T00:00:00"/>
        <d v="2024-09-07T00:00:00"/>
        <d v="2021-07-03T00:00:00"/>
        <d v="2024-07-08T00:00:00"/>
        <d v="2021-12-10T00:00:00"/>
        <d v="2022-02-10T00:00:00"/>
        <d v="2022-04-08T00:00:00"/>
        <d v="2024-05-15T00:00:00"/>
        <d v="2020-03-25T00:00:00"/>
        <d v="2021-03-14T00:00:00"/>
        <d v="2020-07-20T00:00:00"/>
        <d v="2023-05-09T00:00:00"/>
        <d v="2023-07-23T00:00:00"/>
        <d v="2023-10-29T00:00:00"/>
        <d v="2020-01-01T00:00:00"/>
        <d v="2021-09-06T00:00:00"/>
        <d v="2021-07-04T00:00:00"/>
        <d v="2023-03-18T00:00:00"/>
        <d v="2022-08-25T00:00:00"/>
        <d v="2020-08-16T00:00:00"/>
        <d v="2020-08-03T00:00:00"/>
        <d v="2020-06-08T00:00:00"/>
        <d v="2023-03-06T00:00:00"/>
        <d v="2023-06-04T00:00:00"/>
        <d v="2021-01-21T00:00:00"/>
        <d v="2020-05-28T00:00:00"/>
        <d v="2023-09-18T00:00:00"/>
        <d v="2024-06-16T00:00:00"/>
        <d v="2021-06-08T00:00:00"/>
        <d v="2022-06-07T00:00:00"/>
        <d v="2020-07-01T00:00:00"/>
        <d v="2020-09-19T00:00:00"/>
        <d v="2020-02-20T00:00:00"/>
        <d v="2023-12-01T00:00:00"/>
        <d v="2023-07-04T00:00:00"/>
        <d v="2020-12-04T00:00:00"/>
        <d v="2022-06-05T00:00:00"/>
        <d v="2022-09-21T00:00:00"/>
        <d v="2020-11-20T00:00:00"/>
        <d v="2021-02-28T00:00:00"/>
        <d v="2024-09-10T00:00:00"/>
        <d v="2023-02-25T00:00:00"/>
        <d v="2023-10-22T00:00:00"/>
        <d v="2023-06-07T00:00:00"/>
        <d v="2024-10-05T00:00:00"/>
        <d v="2020-06-30T00:00:00"/>
        <d v="2022-03-30T00:00:00"/>
        <d v="2021-05-15T00:00:00"/>
        <d v="2020-12-15T00:00:00"/>
        <d v="2024-02-29T00:00:00"/>
        <d v="2021-08-26T00:00:00"/>
        <d v="2023-04-18T00:00:00"/>
        <d v="2021-09-11T00:00:00"/>
        <d v="2021-02-04T00:00:00"/>
        <d v="2021-10-20T00:00:00"/>
        <d v="2022-09-10T00:00:00"/>
        <d v="2023-01-17T00:00:00"/>
        <d v="2022-03-31T00:00:00"/>
        <d v="2021-07-07T00:00:00"/>
        <d v="2024-09-17T00:00:00"/>
        <d v="2024-01-01T00:00:00"/>
        <d v="2023-08-22T00:00:00"/>
        <d v="2021-10-11T00:00:00"/>
        <d v="2021-01-09T00:00:00"/>
        <d v="2020-10-03T00:00:00"/>
        <d v="2021-01-08T00:00:00"/>
        <d v="2022-08-07T00:00:00"/>
        <d v="2024-08-20T00:00:00"/>
        <d v="2021-06-03T00:00:00"/>
        <d v="2020-10-14T00:00:00"/>
        <d v="2022-05-16T00:00:00"/>
        <d v="2023-04-29T00:00:00"/>
        <d v="2020-08-22T00:00:00"/>
        <d v="2023-03-22T00:00:00"/>
        <d v="2021-08-20T00:00:00"/>
        <d v="2023-10-24T00:00:00"/>
        <d v="2023-03-20T00:00:00"/>
        <d v="2023-10-14T00:00:00"/>
        <d v="2021-04-18T00:00:00"/>
        <d v="2024-05-18T00:00:00"/>
        <d v="2020-08-18T00:00:00"/>
        <d v="2024-10-30T00:00:00"/>
        <d v="2021-11-25T00:00:00"/>
        <d v="2022-09-26T00:00:00"/>
        <d v="2021-11-06T00:00:00"/>
        <d v="2023-05-19T00:00:00"/>
        <d v="2024-07-18T00:00:00"/>
        <d v="2024-09-20T00:00:00"/>
        <d v="2021-11-21T00:00:00"/>
        <d v="2022-12-12T00:00:00"/>
        <d v="2021-02-05T00:00:00"/>
        <d v="2023-10-10T00:00:00"/>
        <d v="2021-01-29T00:00:00"/>
        <d v="2021-04-30T00:00:00"/>
        <d v="2022-10-16T00:00:00"/>
        <d v="2020-03-05T00:00:00"/>
        <d v="2020-01-26T00:00:00"/>
        <d v="2024-02-08T00:00:00"/>
        <d v="2022-08-21T00:00:00"/>
        <d v="2022-01-10T00:00:00"/>
        <d v="2020-09-13T00:00:00"/>
        <d v="2024-04-10T00:00:00"/>
        <d v="2024-02-22T00:00:00"/>
        <d v="2020-10-05T00:00:00"/>
        <d v="2020-08-01T00:00:00"/>
        <d v="2023-05-20T00:00:00"/>
        <d v="2023-07-16T00:00:00"/>
        <d v="2022-10-28T00:00:00"/>
        <d v="2024-02-13T00:00:00"/>
        <d v="2024-11-18T00:00:00"/>
        <d v="2023-06-16T00:00:00"/>
        <d v="2022-10-14T00:00:00"/>
        <d v="2024-07-29T00:00:00"/>
        <d v="2023-10-21T00:00:00"/>
        <d v="2020-10-07T00:00:00"/>
        <d v="2024-04-15T00:00:00"/>
        <d v="2021-01-31T00:00:00"/>
        <d v="2024-12-24T00:00:00"/>
        <d v="2021-06-24T00:00:00"/>
        <d v="2024-01-09T00:00:00"/>
        <d v="2020-03-02T00:00:00"/>
        <d v="2020-04-28T00:00:00"/>
        <d v="2020-08-23T00:00:00"/>
        <d v="2020-10-12T00:00:00"/>
        <d v="2024-09-18T00:00:00"/>
        <d v="2022-11-27T00:00:00"/>
        <d v="2020-02-18T00:00:00"/>
        <d v="2022-08-06T00:00:00"/>
        <d v="2023-04-09T00:00:00"/>
        <d v="2020-02-24T00:00:00"/>
        <d v="2024-12-07T00:00:00"/>
        <d v="2020-03-10T00:00:00"/>
        <d v="2022-11-01T00:00:00"/>
        <d v="2020-09-16T00:00:00"/>
        <d v="2022-11-11T00:00:00"/>
        <d v="2020-02-13T00:00:00"/>
        <d v="2024-09-25T00:00:00"/>
        <d v="2020-08-09T00:00:00"/>
        <d v="2024-02-26T00:00:00"/>
        <d v="2021-10-02T00:00:00"/>
        <d v="2021-10-10T00:00:00"/>
        <d v="2022-07-25T00:00:00"/>
        <d v="2022-04-01T00:00:00"/>
        <d v="2024-06-21T00:00:00"/>
        <d v="2024-10-29T00:00:00"/>
        <d v="2021-09-20T00:00:00"/>
        <d v="2020-03-12T00:00:00"/>
        <d v="2020-04-27T00:00:00"/>
        <d v="2023-07-03T00:00:00"/>
        <d v="2023-01-04T00:00:00"/>
        <d v="2021-01-27T00:00:00"/>
        <d v="2024-12-26T00:00:00"/>
        <d v="2023-01-30T00:00:00"/>
        <d v="2022-04-02T00:00:00"/>
        <d v="2024-07-01T00:00:00"/>
        <d v="2024-05-11T00:00:00"/>
        <d v="2021-06-10T00:00:00"/>
        <d v="2024-05-06T00:00:00"/>
        <d v="2022-08-29T00:00:00"/>
        <d v="2020-07-09T00:00:00"/>
        <d v="2023-12-05T00:00:00"/>
        <d v="2023-04-10T00:00:00"/>
        <d v="2024-04-06T00:00:00"/>
        <d v="2024-02-24T00:00:00"/>
        <d v="2024-11-30T00:00:00"/>
        <d v="2022-10-25T00:00:00"/>
        <d v="2020-11-14T00:00:00"/>
        <d v="2024-02-11T00:00:00"/>
        <d v="2024-06-27T00:00:00"/>
        <d v="2020-06-27T00:00:00"/>
        <d v="2021-12-04T00:00:00"/>
        <d v="2022-11-20T00:00:00"/>
        <d v="2022-09-24T00:00:00"/>
        <d v="2023-09-05T00:00:00"/>
        <d v="2023-09-01T00:00:00"/>
        <d v="2024-05-23T00:00:00"/>
        <d v="2020-04-15T00:00:00"/>
        <d v="2023-10-16T00:00:00"/>
        <d v="2024-04-19T00:00:00"/>
        <d v="2023-12-28T00:00:00"/>
        <d v="2020-02-16T00:00:00"/>
        <d v="2021-06-07T00:00:00"/>
        <d v="2023-04-23T00:00:00"/>
        <d v="2022-01-08T00:00:00"/>
        <d v="2022-01-27T00:00:00"/>
        <d v="2024-10-06T00:00:00"/>
        <d v="2022-03-16T00:00:00"/>
        <d v="2021-10-05T00:00:00"/>
        <d v="2022-02-04T00:00:00"/>
        <d v="2021-01-16T00:00:00"/>
        <d v="2021-03-12T00:00:00"/>
        <d v="2024-01-28T00:00:00"/>
        <d v="2020-06-09T00:00:00"/>
        <d v="2021-09-04T00:00:00"/>
        <d v="2022-01-11T00:00:00"/>
        <d v="2020-09-22T00:00:00"/>
        <d v="2020-05-24T00:00:00"/>
        <d v="2023-09-10T00:00:00"/>
        <d v="2023-12-15T00:00:00"/>
        <d v="2021-12-14T00:00:00"/>
        <d v="2020-01-25T00:00:00"/>
        <d v="2024-08-27T00:00:00"/>
        <d v="2023-09-22T00:00:00"/>
        <d v="2023-08-05T00:00:00"/>
        <d v="2021-08-17T00:00:00"/>
        <d v="2022-11-02T00:00:00"/>
        <d v="2022-06-12T00:00:00"/>
        <d v="2023-11-23T00:00:00"/>
        <d v="2020-06-25T00:00:00"/>
        <d v="2023-05-13T00:00:00"/>
        <d v="2024-11-05T00:00:00"/>
        <d v="2024-09-14T00:00:00"/>
        <d v="2024-01-05T00:00:00"/>
        <d v="2022-07-14T00:00:00"/>
        <d v="2022-01-22T00:00:00"/>
        <d v="2021-05-12T00:00:00"/>
        <d v="2023-07-28T00:00:00"/>
        <d v="2021-02-15T00:00:00"/>
        <d v="2023-02-20T00:00:00"/>
        <d v="2023-05-21T00:00:00"/>
        <d v="2022-03-22T00:00:00"/>
        <d v="2020-12-03T00:00:00"/>
        <d v="2021-07-11T00:00:00"/>
        <d v="2021-08-14T00:00:00"/>
        <d v="2021-07-05T00:00:00"/>
        <d v="2020-07-22T00:00:00"/>
        <d v="2022-04-10T00:00:00"/>
        <d v="2020-05-26T00:00:00"/>
        <d v="2024-05-09T00:00:00"/>
        <d v="2021-09-13T00:00:00"/>
        <d v="2024-04-24T00:00:00"/>
        <d v="2020-03-04T00:00:00"/>
        <d v="2021-10-16T00:00:00"/>
        <d v="2020-08-04T00:00:00"/>
        <d v="2023-07-05T00:00:00"/>
        <d v="2024-05-24T00:00:00"/>
        <d v="2024-02-15T00:00:00"/>
        <d v="2021-04-15T00:00:00"/>
        <d v="2023-09-13T00:00:00"/>
        <d v="2020-03-23T00:00:00"/>
        <d v="2024-05-12T00:00:00"/>
        <d v="2022-12-31T00:00:00"/>
        <d v="2020-03-14T00:00:00"/>
        <d v="2024-11-22T00:00:00"/>
        <d v="2024-12-06T00:00:00"/>
        <d v="2023-12-31T00:00:00"/>
        <d v="2022-04-25T00:00:00"/>
        <d v="2024-12-22T00:00:00"/>
        <d v="2020-07-13T00:00:00"/>
        <d v="2022-08-17T00:00:00"/>
        <d v="2020-06-03T00:00:00"/>
        <d v="2021-08-22T00:00:00"/>
        <d v="2021-01-23T00:00:00"/>
        <d v="2020-04-08T00:00:00"/>
        <d v="2023-06-13T00:00:00"/>
        <d v="2024-05-27T00:00:00"/>
        <d v="2020-09-04T00:00:00"/>
        <d v="2024-10-09T00:00:00"/>
        <d v="2021-03-25T00:00:00"/>
        <d v="2021-10-24T00:00:00"/>
        <d v="2023-08-26T00:00:00"/>
        <d v="2020-11-23T00:00:00"/>
        <d v="2022-07-15T00:00:00"/>
        <d v="2023-08-30T00:00:00"/>
        <d v="2024-03-29T00:00:00"/>
        <d v="2024-09-16T00:00:00"/>
        <d v="2023-05-17T00:00:00"/>
        <d v="2020-12-22T00:00:00"/>
        <d v="2021-03-03T00:00:00"/>
        <d v="2024-03-01T00:00:00"/>
        <d v="2024-06-24T00:00:00"/>
        <d v="2022-03-05T00:00:00"/>
        <d v="2020-06-06T00:00:00"/>
        <d v="2020-09-24T00:00:00"/>
        <d v="2024-08-28T00:00:00"/>
        <d v="2024-03-22T00:00:00"/>
        <d v="2020-10-31T00:00:00"/>
        <d v="2021-08-04T00:00:00"/>
        <d v="2024-10-22T00:00:00"/>
        <d v="2020-03-22T00:00:00"/>
        <d v="2022-03-26T00:00:00"/>
        <d v="2024-10-26T00:00:00"/>
        <d v="2024-05-10T00:00:00"/>
        <d v="2023-03-15T00:00:00"/>
        <d v="2022-01-04T00:00:00"/>
        <d v="2022-05-06T00:00:00"/>
        <d v="2021-04-20T00:00:00"/>
        <d v="2021-08-05T00:00:00"/>
        <d v="2022-02-13T00:00:00"/>
        <d v="2022-11-22T00:00:00"/>
        <d v="2024-08-08T00:00:00"/>
        <d v="2023-01-03T00:00:00"/>
        <d v="2021-09-09T00:00:00"/>
        <d v="2023-04-14T00:00:00"/>
        <d v="2023-09-11T00:00:00"/>
        <d v="2023-09-26T00:00:00"/>
        <d v="2020-05-29T00:00:00"/>
        <d v="2024-02-01T00:00:00"/>
        <d v="2023-11-06T00:00:00"/>
        <d v="2023-05-05T00:00:00"/>
        <d v="2024-04-13T00:00:00"/>
        <d v="2021-10-30T00:00:00"/>
        <d v="2024-06-10T00:00:00"/>
        <d v="2020-10-22T00:00:00"/>
        <d v="2022-06-08T00:00:00"/>
        <d v="2024-07-28T00:00:00"/>
        <d v="2020-03-31T00:00:00"/>
        <d v="2024-08-31T00:00:00"/>
        <d v="2022-10-04T00:00:00"/>
        <d v="2021-07-10T00:00:00"/>
        <d v="2021-09-16T00:00:00"/>
        <d v="2021-05-06T00:00:00"/>
        <d v="2020-11-05T00:00:00"/>
        <d v="2023-04-21T00:00:00"/>
        <d v="2021-01-03T00:00:00"/>
        <d v="2023-07-27T00:00:00"/>
        <d v="2022-08-04T00:00:00"/>
        <d v="2023-06-24T00:00:00"/>
        <d v="2023-02-06T00:00:00"/>
        <d v="2020-02-03T00:00:00"/>
        <d v="2021-01-07T00:00:00"/>
        <d v="2020-04-24T00:00:00"/>
        <d v="2023-01-06T00:00:00"/>
        <d v="2020-06-26T00:00:00"/>
        <d v="2023-11-01T00:00:00"/>
        <d v="2020-01-04T00:00:00"/>
        <d v="2020-09-18T00:00:00"/>
        <d v="2024-05-16T00:00:00"/>
        <d v="2024-10-24T00:00:00"/>
        <d v="2024-03-16T00:00:00"/>
        <d v="2020-01-02T00:00:00"/>
        <d v="2020-05-15T00:00:00"/>
        <d v="2021-12-19T00:00:00"/>
        <d v="2023-01-12T00:00:00"/>
        <d v="2021-04-21T00:00:00"/>
        <d v="2021-09-19T00:00:00"/>
        <d v="2024-10-31T00:00:00"/>
        <d v="2020-05-23T00:00:00"/>
        <d v="2020-12-14T00:00:00"/>
        <d v="2020-09-05T00:00:00"/>
        <d v="2023-04-27T00:00:00"/>
        <d v="2021-07-19T00:00:00"/>
        <d v="2021-10-19T00:00:00"/>
        <d v="2022-07-11T00:00:00"/>
        <d v="2020-04-13T00:00:00"/>
        <d v="2023-07-07T00:00:00"/>
        <d v="2022-07-01T00:00:00"/>
        <d v="2021-03-02T00:00:00"/>
        <d v="2020-11-25T00:00:00"/>
        <d v="2020-01-10T00:00:00"/>
        <d v="2023-03-23T00:00:00"/>
        <d v="2021-07-30T00:00:00"/>
        <d v="2021-10-17T00:00:00"/>
        <d v="2023-10-11T00:00:00"/>
        <d v="2023-10-31T00:00:00"/>
        <d v="2020-05-11T00:00:00"/>
        <d v="2024-12-12T00:00:00"/>
        <d v="2022-04-04T00:00:00"/>
        <d v="2023-08-02T00:00:00"/>
        <d v="2021-03-23T00:00:00"/>
        <d v="2022-03-24T00:00:00"/>
        <d v="2022-11-25T00:00:00"/>
        <d v="2024-04-07T00:00:00"/>
        <d v="2022-12-19T00:00:00"/>
        <d v="2022-07-06T00:00:00"/>
        <d v="2024-04-29T00:00:00"/>
        <d v="2020-01-18T00:00:00"/>
        <d v="2022-12-08T00:00:00"/>
        <d v="2023-01-01T00:00:00"/>
        <d v="2024-12-30T00:00:00"/>
        <d v="2020-03-26T00:00:00"/>
        <d v="2023-03-01T00:00:00"/>
        <d v="2024-01-23T00:00:00"/>
        <d v="2022-10-24T00:00:00"/>
        <d v="2020-10-06T00:00:00"/>
        <d v="2022-08-10T00:00:00"/>
        <d v="2022-12-22T00:00:00"/>
        <d v="2021-08-06T00:00:00"/>
        <d v="2020-11-26T00:00:00"/>
        <d v="2022-12-20T00:00:00"/>
        <d v="2023-02-23T00:00:00"/>
        <d v="2024-04-01T00:00:00"/>
        <d v="2024-09-29T00:00:00"/>
        <d v="2022-01-19T00:00:00"/>
        <d v="2021-05-28T00:00:00"/>
        <d v="2024-01-25T00:00:00"/>
        <d v="2022-03-02T00:00:00"/>
        <d v="2022-09-09T00:00:00"/>
        <d v="2023-07-24T00:00:00"/>
        <d v="2020-03-07T00:00:00"/>
        <d v="2023-11-18T00:00:00"/>
        <d v="2022-09-05T00:00:00"/>
        <d v="2023-11-04T00:00:00"/>
        <d v="2023-06-22T00:00:00"/>
        <d v="2024-01-27T00:00:00"/>
        <d v="2023-06-06T00:00:00"/>
        <d v="2024-08-06T00:00:00"/>
        <d v="2020-06-04T00:00:00"/>
        <d v="2024-07-22T00:00:00"/>
        <d v="2020-12-16T00:00:00"/>
        <d v="2022-04-09T00:00:00"/>
        <d v="2023-11-28T00:00:00"/>
        <d v="2022-04-15T00:00:00"/>
        <d v="2024-10-04T00:00:00"/>
        <d v="2022-04-27T00:00:00"/>
        <d v="2022-07-21T00:00:00"/>
        <d v="2020-09-14T00:00:00"/>
        <d v="2020-01-17T00:00:00"/>
        <d v="2020-12-24T00:00:00"/>
        <d v="2022-10-21T00:00:00"/>
        <d v="2021-05-22T00:00:00"/>
        <d v="2023-08-12T00:00:00"/>
        <d v="2022-05-04T00:00:00"/>
        <d v="2023-12-11T00:00:00"/>
        <d v="2023-02-19T00:00:00"/>
        <d v="2020-12-08T00:00:00"/>
        <d v="2024-12-31T00:00:00"/>
        <d v="2023-04-19T00:00:00"/>
        <d v="2024-11-17T00:00:00"/>
        <d v="2020-12-13T00:00:00"/>
        <d v="2021-01-30T00:00:00"/>
        <d v="2024-11-06T00:00:00"/>
        <d v="2023-03-21T00:00:00"/>
        <d v="2023-06-30T00:00:00"/>
        <d v="2023-05-03T00:00:00"/>
        <d v="2021-02-25T00:00:00"/>
        <d v="2021-07-27T00:00:00"/>
        <d v="2020-07-02T00:00:00"/>
        <d v="2022-10-31T00:00:00"/>
        <d v="2020-06-16T00:00:00"/>
        <d v="2024-09-12T00:00:00"/>
        <d v="2024-04-05T00:00:00"/>
        <d v="2024-11-19T00:00:00"/>
        <d v="2021-03-15T00:00:00"/>
        <d v="2021-12-08T00:00:00"/>
        <d v="2020-05-17T00:00:00"/>
        <d v="2022-02-03T00:00:00"/>
        <d v="2023-01-02T00:00:00"/>
        <d v="2024-10-03T00:00:00"/>
        <d v="2024-10-07T00:00:00"/>
        <d v="2023-08-13T00:00:00"/>
        <d v="2022-08-30T00:00:00"/>
        <d v="2020-10-20T00:00:00"/>
        <d v="2023-01-10T00:00:00"/>
        <d v="2020-08-17T00:00:00"/>
        <d v="2022-04-18T00:00:00"/>
        <d v="2024-06-11T00:00:00"/>
        <d v="2024-01-08T00:00:00"/>
        <d v="2022-03-13T00:00:00"/>
        <d v="2021-12-28T00:00:00"/>
        <d v="2022-10-26T00:00:00"/>
        <d v="2022-12-26T00:00:00"/>
        <d v="2022-05-25T00:00:00"/>
        <d v="2024-03-26T00:00:00"/>
        <d v="2023-12-23T00:00:00"/>
        <d v="2023-10-08T00:00:00"/>
        <d v="2020-06-10T00:00:00"/>
        <d v="2023-04-26T00:00:00"/>
        <d v="2022-08-27T00:00:00"/>
        <d v="2024-10-23T00:00:00"/>
        <d v="2022-09-14T00:00:00"/>
        <d v="2020-05-21T00:00:00"/>
        <d v="2022-03-28T00:00:00"/>
        <d v="2022-09-01T00:00:00"/>
        <d v="2023-03-08T00:00:00"/>
        <d v="2023-06-10T00:00:00"/>
        <d v="2023-02-08T00:00:00"/>
        <d v="2024-09-26T00:00:00"/>
        <d v="2024-02-17T00:00:00"/>
        <d v="2022-01-18T00:00:00"/>
        <d v="2022-08-20T00:00:00"/>
        <d v="2024-12-19T00:00:00"/>
        <d v="2023-05-15T00:00:00"/>
        <d v="2023-02-15T00:00:00"/>
        <d v="2020-05-25T00:00:00"/>
        <d v="2021-06-11T00:00:00"/>
        <d v="2023-08-14T00:00:00"/>
        <d v="2022-05-30T00:00:00"/>
        <d v="2022-04-13T00:00:00"/>
        <d v="2024-11-23T00:00:00"/>
        <d v="2020-12-06T00:00:00"/>
        <d v="2021-02-14T00:00:00"/>
        <d v="2024-07-07T00:00:00"/>
        <d v="2021-09-08T00:00:00"/>
        <d v="2023-05-24T00:00:00"/>
        <d v="2021-10-29T00:00:00"/>
        <d v="2023-03-07T00:00:00"/>
        <d v="2021-04-29T00:00:00"/>
        <d v="2024-03-25T00:00:00"/>
        <d v="2023-06-27T00:00:00"/>
        <d v="2023-12-04T00:00:00"/>
        <d v="2024-10-08T00:00:00"/>
        <d v="2021-11-17T00:00:00"/>
        <d v="2020-12-10T00:00:00"/>
        <d v="2024-03-05T00:00:00"/>
        <d v="2024-09-13T00:00:00"/>
        <d v="2020-05-18T00:00:00"/>
        <d v="2020-02-12T00:00:00"/>
        <d v="2024-01-13T00:00:00"/>
        <d v="2023-08-21T00:00:00"/>
        <d v="2022-01-23T00:00:00"/>
        <d v="2020-11-29T00:00:00"/>
        <d v="2022-09-18T00:00:00"/>
        <d v="2024-08-17T00:00:00"/>
        <d v="2024-04-17T00:00:00"/>
        <d v="2022-09-13T00:00:00"/>
        <d v="2021-03-01T00:00:00"/>
        <d v="2020-07-11T00:00:00"/>
        <d v="2020-09-20T00:00:00"/>
        <d v="2024-05-14T00:00:00"/>
        <d v="2024-10-21T00:00:00"/>
        <d v="2024-07-09T00:00:00"/>
        <d v="2021-12-30T00:00:00"/>
        <d v="2024-05-13T00:00:00"/>
        <d v="2023-09-03T00:00:00"/>
        <d v="2024-11-26T00:00:00"/>
        <d v="2022-06-03T00:00:00"/>
        <d v="2023-12-18T00:00:00"/>
        <d v="2022-05-21T00:00:00"/>
        <d v="2021-05-02T00:00:00"/>
        <d v="2020-12-29T00:00:00"/>
        <d v="2022-01-05T00:00:00"/>
        <d v="2021-11-04T00:00:00"/>
        <d v="2023-07-31T00:00:00"/>
        <d v="2020-04-19T00:00:00"/>
        <d v="2023-11-19T00:00:00"/>
        <d v="2021-03-18T00:00:00"/>
        <d v="2023-08-04T00:00:00"/>
        <d v="2023-11-22T00:00:00"/>
        <d v="2024-06-08T00:00:00"/>
        <d v="2022-11-10T00:00:00"/>
        <d v="2022-06-17T00:00:00"/>
        <d v="2020-06-24T00:00:00"/>
        <d v="2022-02-28T00:00:00"/>
        <d v="2024-02-05T00:00:00"/>
        <d v="2021-01-18T00:00:00"/>
        <d v="2020-02-28T00:00:00"/>
        <d v="2024-07-12T00:00:00"/>
        <d v="2021-05-16T00:00:00"/>
        <d v="2020-07-07T00:00:00"/>
        <d v="2021-08-16T00:00:00"/>
        <d v="2023-09-16T00:00:00"/>
        <d v="2024-11-28T00:00:00"/>
        <d v="2024-03-28T00:00:00"/>
        <d v="2023-01-14T00:00:00"/>
        <d v="2022-10-02T00:00:00"/>
        <d v="2020-01-09T00:00:00"/>
        <d v="2024-07-31T00:00:00"/>
        <d v="2021-11-03T00:00:00"/>
        <d v="2024-01-16T00:00:00"/>
        <d v="2020-08-07T00:00:00"/>
        <d v="2021-11-24T00:00:00"/>
        <d v="2020-04-02T00:00:00"/>
        <d v="2020-02-05T00:00:00"/>
        <d v="2020-10-18T00:00:00"/>
        <d v="2023-03-03T00:00:00"/>
        <d v="2021-01-19T00:00:00"/>
        <d v="2024-12-16T00:00:00"/>
        <d v="2024-04-03T00:00:00"/>
        <d v="2022-12-06T00:00:00"/>
        <d v="2022-07-20T00:00:00"/>
        <d v="2022-08-26T00:00:00"/>
        <d v="2021-03-06T00:00:00"/>
        <d v="2023-10-06T00:00:00"/>
        <d v="2022-08-16T00:00:00"/>
        <d v="2020-07-24T00:00:00"/>
        <d v="2023-03-30T00:00:00"/>
        <d v="2020-11-10T00:00:00"/>
        <d v="2021-06-16T00:00:00"/>
        <d v="2021-07-18T00:00:00"/>
        <d v="2020-08-30T00:00:00"/>
        <d v="2021-03-21T00:00:00"/>
        <d v="2022-12-27T00:00:00"/>
        <d v="2024-11-13T00:00:00"/>
        <d v="2022-03-04T00:00:00"/>
        <d v="2021-01-20T00:00:00"/>
        <d v="2021-05-01T00:00:00"/>
        <d v="2021-08-19T00:00:00"/>
        <d v="2020-11-17T00:00:00"/>
        <d v="2020-06-07T00:00:00"/>
        <d v="2024-12-15T00:00:00"/>
        <d v="2024-03-24T00:00:00"/>
        <d v="2023-12-06T00:00:00"/>
        <d v="2022-10-03T00:00:00"/>
        <d v="2022-09-27T00:00:00"/>
        <d v="2022-02-11T00:00:00"/>
        <d v="2020-11-06T00:00:00"/>
        <d v="2021-01-10T00:00:00"/>
        <d v="2023-10-02T00:00:00"/>
        <d v="2023-06-28T00:00:00"/>
        <d v="2023-04-13T00:00:00"/>
        <d v="2024-05-07T00:00:00"/>
        <d v="2020-08-14T00:00:00"/>
        <d v="2020-08-20T00:00:00"/>
        <d v="2022-12-16T00:00:00"/>
        <d v="2020-12-01T00:00:00"/>
        <d v="2023-11-02T00:00:00"/>
        <d v="2023-11-14T00:00:00"/>
        <d v="2020-09-17T00:00:00"/>
        <d v="2023-10-07T00:00:00"/>
        <d v="2020-03-09T00:00:00"/>
        <d v="2022-03-27T00:00:00"/>
        <d v="2023-11-09T00:00:00"/>
        <d v="2021-07-17T00:00:00"/>
        <d v="2024-11-24T00:00:00"/>
        <d v="2023-10-03T00:00:00"/>
        <d v="2020-11-07T00:00:00"/>
        <d v="2020-11-28T00:00:00"/>
        <d v="2020-06-29T00:00:00"/>
        <d v="2022-12-02T00:00:00"/>
        <d v="2020-11-13T00:00:00"/>
        <d v="2024-02-06T00:00:00"/>
        <d v="2021-01-02T00:00:00"/>
      </sharedItems>
      <fieldGroup par="33"/>
    </cacheField>
    <cacheField name="Ship_Date" numFmtId="164">
      <sharedItems containsSemiMixedTypes="0" containsNonDate="0" containsDate="1" containsString="0" minDate="2020-01-05T00:00:00" maxDate="2025-01-10T00:00:00"/>
    </cacheField>
    <cacheField name="Ship_Mode" numFmtId="0">
      <sharedItems count="3">
        <s v="Same-day"/>
        <s v="Express"/>
        <s v="Standard"/>
      </sharedItems>
    </cacheField>
    <cacheField name="Region" numFmtId="0">
      <sharedItems count="5">
        <s v="Asia"/>
        <s v="North America"/>
        <s v="South America"/>
        <s v="Africa"/>
        <s v="Europe"/>
      </sharedItems>
    </cacheField>
    <cacheField name="Country" numFmtId="0">
      <sharedItems count="8">
        <s v="USA"/>
        <s v="India"/>
        <s v="Canada"/>
        <s v="China"/>
        <s v="UK"/>
        <s v="Germany"/>
        <s v="South Africa"/>
        <s v="Brazil"/>
      </sharedItems>
    </cacheField>
    <cacheField name="City"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Unit_Price" numFmtId="0">
      <sharedItems containsSemiMixedTypes="0" containsString="0" containsNumber="1" minValue="5.26" maxValue="499.5"/>
    </cacheField>
    <cacheField name="Quantity" numFmtId="0">
      <sharedItems containsSemiMixedTypes="0" containsString="0" containsNumber="1" containsInteger="1" minValue="1" maxValue="99"/>
    </cacheField>
    <cacheField name="Supplier_ID" numFmtId="0">
      <sharedItems/>
    </cacheField>
    <cacheField name="Supplier_Name" numFmtId="0">
      <sharedItems count="5">
        <s v="Alpha Corp"/>
        <s v="Delta Traders"/>
        <s v="Gamma Inc"/>
        <s v="Epsilon LLC"/>
        <s v="Beta Ltd"/>
      </sharedItems>
    </cacheField>
    <cacheField name="Warehouse_ID" numFmtId="0">
      <sharedItems/>
    </cacheField>
    <cacheField name="Transport_Mode" numFmtId="0">
      <sharedItems count="4">
        <s v="Air"/>
        <s v="Road"/>
        <s v="Rail"/>
        <s v="Sea"/>
      </sharedItems>
    </cacheField>
    <cacheField name="Carrier" numFmtId="0">
      <sharedItems/>
    </cacheField>
    <cacheField name="Route" numFmtId="0">
      <sharedItems/>
    </cacheField>
    <cacheField name="Stock_On_Hand" numFmtId="0">
      <sharedItems containsSemiMixedTypes="0" containsString="0" containsNumber="1" containsInteger="1" minValue="9" maxValue="4999"/>
    </cacheField>
    <cacheField name="Reorder_Level" numFmtId="0">
      <sharedItems containsSemiMixedTypes="0" containsString="0" containsNumber="1" containsInteger="1" minValue="50" maxValue="499"/>
    </cacheField>
    <cacheField name="Lead_Time_Days" numFmtId="0">
      <sharedItems containsSemiMixedTypes="0" containsString="0" containsNumber="1" containsInteger="1" minValue="1" maxValue="29"/>
    </cacheField>
    <cacheField name="Procurement_Cost" numFmtId="0">
      <sharedItems containsSemiMixedTypes="0" containsString="0" containsNumber="1" minValue="50.33" maxValue="1998.97"/>
    </cacheField>
    <cacheField name="Transportation_Cost" numFmtId="0">
      <sharedItems containsSemiMixedTypes="0" containsString="0" containsNumber="1" minValue="10.39" maxValue="499.23"/>
    </cacheField>
    <cacheField name="Total_Cost" numFmtId="0">
      <sharedItems containsSemiMixedTypes="0" containsString="0" containsNumber="1" minValue="86.34" maxValue="2442.4"/>
    </cacheField>
    <cacheField name="Delivery_Status" numFmtId="0">
      <sharedItems count="2">
        <s v="Delayed"/>
        <s v="On-time"/>
      </sharedItems>
    </cacheField>
    <cacheField name="Delay_Days" numFmtId="0">
      <sharedItems containsSemiMixedTypes="0" containsString="0" containsNumber="1" containsInteger="1" minValue="0" maxValue="14"/>
    </cacheField>
    <cacheField name="Fill_Rate" numFmtId="0">
      <sharedItems containsSemiMixedTypes="0" containsString="0" containsNumber="1" minValue="70.02" maxValue="99.96"/>
    </cacheField>
    <cacheField name="Forecast_Demand" numFmtId="0">
      <sharedItems containsSemiMixedTypes="0" containsString="0" containsNumber="1" containsInteger="1" minValue="50" maxValue="499"/>
    </cacheField>
    <cacheField name="Actual_Demand" numFmtId="0">
      <sharedItems containsSemiMixedTypes="0" containsString="0" containsNumber="1" containsInteger="1" minValue="10" maxValue="546"/>
    </cacheField>
    <cacheField name="Months (Order_Date)" numFmtId="0" databaseField="0">
      <fieldGroup base="2">
        <rangePr groupBy="months" startDate="2020-01-01T00:00:00" endDate="2025-01-02T00:00:00"/>
        <groupItems count="14">
          <s v="&lt;01-01-2020"/>
          <s v="Jan"/>
          <s v="Feb"/>
          <s v="Mar"/>
          <s v="Apr"/>
          <s v="May"/>
          <s v="Jun"/>
          <s v="Jul"/>
          <s v="Aug"/>
          <s v="Sep"/>
          <s v="Oct"/>
          <s v="Nov"/>
          <s v="Dec"/>
          <s v="&gt;02-01-2025"/>
        </groupItems>
      </fieldGroup>
    </cacheField>
    <cacheField name="Quarters (Order_Date)" numFmtId="0" databaseField="0">
      <fieldGroup base="2">
        <rangePr groupBy="quarters" startDate="2020-01-01T00:00:00" endDate="2025-01-02T00:00:00"/>
        <groupItems count="6">
          <s v="&lt;01-01-2020"/>
          <s v="Qtr1"/>
          <s v="Qtr2"/>
          <s v="Qtr3"/>
          <s v="Qtr4"/>
          <s v="&gt;02-01-2025"/>
        </groupItems>
      </fieldGroup>
    </cacheField>
    <cacheField name="Years (Order_Date)" numFmtId="0" databaseField="0">
      <fieldGroup base="2">
        <rangePr groupBy="years" startDate="2020-01-01T00:00:00" endDate="2025-01-02T00:00:00"/>
        <groupItems count="8">
          <s v="&lt;01-01-2020"/>
          <s v="2020"/>
          <s v="2021"/>
          <s v="2022"/>
          <s v="2023"/>
          <s v="2024"/>
          <s v="2025"/>
          <s v="&gt;02-01-2025"/>
        </groupItems>
      </fieldGroup>
    </cacheField>
  </cacheFields>
  <extLst>
    <ext xmlns:x14="http://schemas.microsoft.com/office/spreadsheetml/2009/9/main" uri="{725AE2AE-9491-48be-B2B4-4EB974FC3084}">
      <x14:pivotCacheDefinition pivotCacheId="1442992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1000000"/>
    <s v="C6915"/>
    <x v="0"/>
    <d v="2020-11-25T00:00:00"/>
    <x v="0"/>
    <x v="0"/>
    <x v="0"/>
    <s v="New York"/>
    <s v="OFF-PA-10000174"/>
    <s v="Office Supplies"/>
    <s v="Paper"/>
    <s v="Message Book, Wirebound, Four 5 1/2&quot; X 4&quot; Forms/Pg., 200 Dupl. Sets/Book"/>
    <n v="373.69"/>
    <n v="55"/>
    <s v="S933"/>
    <x v="0"/>
    <s v="W10"/>
    <x v="0"/>
    <s v="FedEx"/>
    <s v="Beijing-New York"/>
    <n v="4259"/>
    <n v="214"/>
    <n v="9"/>
    <n v="1474.56"/>
    <n v="406.15"/>
    <n v="1880.71"/>
    <x v="0"/>
    <n v="8"/>
    <n v="93.39"/>
    <n v="341"/>
    <n v="291"/>
  </r>
  <r>
    <s v="O1000001"/>
    <s v="C5679"/>
    <x v="1"/>
    <d v="2020-10-15T00:00:00"/>
    <x v="1"/>
    <x v="1"/>
    <x v="1"/>
    <s v="Berlin"/>
    <s v="OFF-BI-10004094"/>
    <s v="Office Supplies"/>
    <s v="Binders"/>
    <s v="GBC Standard Plastic Binding Systems Combs"/>
    <n v="264.69"/>
    <n v="3"/>
    <s v="S987"/>
    <x v="1"/>
    <s v="W49"/>
    <x v="1"/>
    <s v="FedEx"/>
    <s v="Toronto-Cape Town"/>
    <n v="1173"/>
    <n v="386"/>
    <n v="24"/>
    <n v="1874.56"/>
    <n v="421.77"/>
    <n v="2296.33"/>
    <x v="1"/>
    <n v="0"/>
    <n v="95.29"/>
    <n v="482"/>
    <n v="477"/>
  </r>
  <r>
    <s v="O1000002"/>
    <s v="C3498"/>
    <x v="2"/>
    <d v="2023-07-16T00:00:00"/>
    <x v="2"/>
    <x v="1"/>
    <x v="2"/>
    <s v="Mumbai"/>
    <s v="OFF-LA-10003223"/>
    <s v="Office Supplies"/>
    <s v="Labels"/>
    <s v="Avery 508"/>
    <n v="497.44"/>
    <n v="80"/>
    <s v="S822"/>
    <x v="0"/>
    <s v="W38"/>
    <x v="0"/>
    <s v="DHL"/>
    <s v="São Paulo-Cape Town"/>
    <n v="588"/>
    <n v="398"/>
    <n v="27"/>
    <n v="439.67"/>
    <n v="289.19"/>
    <n v="728.86"/>
    <x v="1"/>
    <n v="0"/>
    <n v="76.63"/>
    <n v="461"/>
    <n v="476"/>
  </r>
  <r>
    <s v="O1000003"/>
    <s v="C8748"/>
    <x v="3"/>
    <d v="2022-11-23T00:00:00"/>
    <x v="1"/>
    <x v="2"/>
    <x v="3"/>
    <s v="Toronto"/>
    <s v="OFF-ST-10002743"/>
    <s v="Office Supplies"/>
    <s v="Storage"/>
    <s v="SAFCO Boltless Steel Shelving"/>
    <n v="266.87"/>
    <n v="44"/>
    <s v="S114"/>
    <x v="2"/>
    <s v="W45"/>
    <x v="2"/>
    <s v="Maersk"/>
    <s v="Cape Town-Toronto"/>
    <n v="4700"/>
    <n v="381"/>
    <n v="29"/>
    <n v="1378.1"/>
    <n v="321.73"/>
    <n v="1699.83"/>
    <x v="1"/>
    <n v="0"/>
    <n v="85.24"/>
    <n v="150"/>
    <n v="198"/>
  </r>
  <r>
    <s v="O1000004"/>
    <s v="C7620"/>
    <x v="4"/>
    <d v="2024-02-18T00:00:00"/>
    <x v="2"/>
    <x v="3"/>
    <x v="4"/>
    <s v="Berlin"/>
    <s v="OFF-AR-10003478"/>
    <s v="Office Supplies"/>
    <s v="Art"/>
    <s v="Avery Hi-Liter EverBold Pen Style Fluorescent Highlighters, 4/Pack"/>
    <n v="360.94"/>
    <n v="18"/>
    <s v="S554"/>
    <x v="1"/>
    <s v="W16"/>
    <x v="2"/>
    <s v="BlueDart"/>
    <s v="Berlin-São Paulo"/>
    <n v="1795"/>
    <n v="415"/>
    <n v="27"/>
    <n v="861.29"/>
    <n v="351.29"/>
    <n v="1212.58"/>
    <x v="1"/>
    <n v="0"/>
    <n v="86.44"/>
    <n v="89"/>
    <n v="93"/>
  </r>
  <r>
    <s v="O1000005"/>
    <s v="C2078"/>
    <x v="5"/>
    <d v="2022-02-10T00:00:00"/>
    <x v="1"/>
    <x v="1"/>
    <x v="5"/>
    <s v="New York"/>
    <s v="FUR-CH-10004063"/>
    <s v="Furniture"/>
    <s v="Chairs"/>
    <s v="Global Deluxe High-Back Manager's Chair"/>
    <n v="172.93"/>
    <n v="35"/>
    <s v="S135"/>
    <x v="3"/>
    <s v="W15"/>
    <x v="1"/>
    <s v="DHL"/>
    <s v="Toronto-Toronto"/>
    <n v="1159"/>
    <n v="228"/>
    <n v="13"/>
    <n v="690.34"/>
    <n v="410.07"/>
    <n v="1100.4100000000001"/>
    <x v="1"/>
    <n v="0"/>
    <n v="88.12"/>
    <n v="348"/>
    <n v="325"/>
  </r>
  <r>
    <s v="O1000006"/>
    <s v="C6228"/>
    <x v="6"/>
    <d v="2024-11-05T00:00:00"/>
    <x v="2"/>
    <x v="3"/>
    <x v="6"/>
    <s v="São Paulo"/>
    <s v="OFF-AR-10001662"/>
    <s v="Office Supplies"/>
    <s v="Art"/>
    <s v="Rogers Handheld Barrel Pencil Sharpener"/>
    <n v="103.93"/>
    <n v="38"/>
    <s v="S974"/>
    <x v="2"/>
    <s v="W34"/>
    <x v="2"/>
    <s v="Maersk"/>
    <s v="Cape Town-São Paulo"/>
    <n v="3330"/>
    <n v="425"/>
    <n v="28"/>
    <n v="1828.88"/>
    <n v="314.18"/>
    <n v="2143.06"/>
    <x v="1"/>
    <n v="0"/>
    <n v="93.23"/>
    <n v="488"/>
    <n v="511"/>
  </r>
  <r>
    <s v="O1000007"/>
    <s v="C7718"/>
    <x v="7"/>
    <d v="2023-01-12T00:00:00"/>
    <x v="2"/>
    <x v="0"/>
    <x v="3"/>
    <s v="New York"/>
    <s v="OFF-AR-10002399"/>
    <s v="Office Supplies"/>
    <s v="Art"/>
    <s v="Dixon Prang Watercolor Pencils, 10-Color Set with Brush"/>
    <n v="130.35"/>
    <n v="32"/>
    <s v="S154"/>
    <x v="0"/>
    <s v="W6"/>
    <x v="1"/>
    <s v="UPS"/>
    <s v="Berlin-New York"/>
    <n v="4252"/>
    <n v="229"/>
    <n v="22"/>
    <n v="468.41"/>
    <n v="453.18"/>
    <n v="921.59"/>
    <x v="1"/>
    <n v="0"/>
    <n v="86.46"/>
    <n v="425"/>
    <n v="378"/>
  </r>
  <r>
    <s v="O1000008"/>
    <s v="C3973"/>
    <x v="8"/>
    <d v="2023-08-07T00:00:00"/>
    <x v="1"/>
    <x v="0"/>
    <x v="3"/>
    <s v="Berlin"/>
    <s v="OFF-BI-10004632"/>
    <s v="Office Supplies"/>
    <s v="Binders"/>
    <s v="Ibico Hi-Tech Manual Binding System"/>
    <n v="45.53"/>
    <n v="27"/>
    <s v="S357"/>
    <x v="0"/>
    <s v="W25"/>
    <x v="2"/>
    <s v="UPS"/>
    <s v="New York-Beijing"/>
    <n v="1395"/>
    <n v="419"/>
    <n v="27"/>
    <n v="1249.0999999999999"/>
    <n v="147.27000000000001"/>
    <n v="1396.37"/>
    <x v="0"/>
    <n v="5"/>
    <n v="98.59"/>
    <n v="379"/>
    <n v="402"/>
  </r>
  <r>
    <s v="O1000009"/>
    <s v="C1323"/>
    <x v="9"/>
    <d v="2021-03-07T00:00:00"/>
    <x v="1"/>
    <x v="0"/>
    <x v="5"/>
    <s v="New York"/>
    <s v="OFF-FA-10001883"/>
    <s v="Office Supplies"/>
    <s v="Fasteners"/>
    <s v="Alliance Super-Size Bands, Assorted Sizes"/>
    <n v="65.62"/>
    <n v="65"/>
    <s v="S160"/>
    <x v="4"/>
    <s v="W5"/>
    <x v="0"/>
    <s v="UPS"/>
    <s v="London-Berlin"/>
    <n v="1590"/>
    <n v="246"/>
    <n v="29"/>
    <n v="1632.88"/>
    <n v="415.97"/>
    <n v="2048.85"/>
    <x v="0"/>
    <n v="11"/>
    <n v="84.77"/>
    <n v="300"/>
    <n v="306"/>
  </r>
  <r>
    <s v="O1000010"/>
    <s v="C3178"/>
    <x v="9"/>
    <d v="2020-08-16T00:00:00"/>
    <x v="0"/>
    <x v="4"/>
    <x v="0"/>
    <s v="Beijing"/>
    <s v="OFF-PA-10000955"/>
    <s v="Office Supplies"/>
    <s v="Paper"/>
    <s v="Southworth 25% Cotton Granite Paper &amp; Envelopes"/>
    <n v="309.55"/>
    <n v="93"/>
    <s v="S132"/>
    <x v="0"/>
    <s v="W4"/>
    <x v="3"/>
    <s v="DHL"/>
    <s v="Mumbai-Cape Town"/>
    <n v="2116"/>
    <n v="291"/>
    <n v="4"/>
    <n v="384.63"/>
    <n v="337.66"/>
    <n v="722.29"/>
    <x v="1"/>
    <n v="0"/>
    <n v="94.8"/>
    <n v="425"/>
    <n v="386"/>
  </r>
  <r>
    <s v="O1000011"/>
    <s v="C3505"/>
    <x v="10"/>
    <d v="2020-07-18T00:00:00"/>
    <x v="1"/>
    <x v="4"/>
    <x v="3"/>
    <s v="Berlin"/>
    <s v="OFF-PA-10002005"/>
    <s v="Office Supplies"/>
    <s v="Paper"/>
    <s v="Xerox 225"/>
    <n v="186.56"/>
    <n v="93"/>
    <s v="S546"/>
    <x v="0"/>
    <s v="W47"/>
    <x v="1"/>
    <s v="UPS"/>
    <s v="Cape Town-Mumbai"/>
    <n v="4911"/>
    <n v="358"/>
    <n v="18"/>
    <n v="706.31"/>
    <n v="293.54000000000002"/>
    <n v="999.84999999999991"/>
    <x v="1"/>
    <n v="0"/>
    <n v="70.02"/>
    <n v="257"/>
    <n v="257"/>
  </r>
  <r>
    <s v="O1000012"/>
    <s v="C4735"/>
    <x v="11"/>
    <d v="2020-07-12T00:00:00"/>
    <x v="2"/>
    <x v="2"/>
    <x v="6"/>
    <s v="Cape Town"/>
    <s v="TEC-PH-10004539"/>
    <s v="Technology"/>
    <s v="Phones"/>
    <s v="Wireless Extenders zBoost YX545 SOHO Signal Booster"/>
    <n v="88.2"/>
    <n v="91"/>
    <s v="S468"/>
    <x v="3"/>
    <s v="W29"/>
    <x v="2"/>
    <s v="DHL"/>
    <s v="Beijing-London"/>
    <n v="2805"/>
    <n v="490"/>
    <n v="2"/>
    <n v="1263.24"/>
    <n v="80.16"/>
    <n v="1343.4"/>
    <x v="1"/>
    <n v="0"/>
    <n v="76.64"/>
    <n v="428"/>
    <n v="434"/>
  </r>
  <r>
    <s v="O1000013"/>
    <s v="C1316"/>
    <x v="12"/>
    <d v="2024-04-21T00:00:00"/>
    <x v="2"/>
    <x v="2"/>
    <x v="6"/>
    <s v="São Paulo"/>
    <s v="TEC-PH-10004977"/>
    <s v="Technology"/>
    <s v="Phones"/>
    <s v="GE 30524EE4"/>
    <n v="165.4"/>
    <n v="55"/>
    <s v="S674"/>
    <x v="1"/>
    <s v="W1"/>
    <x v="0"/>
    <s v="DHL"/>
    <s v="Berlin-Cape Town"/>
    <n v="4728"/>
    <n v="220"/>
    <n v="26"/>
    <n v="1831.52"/>
    <n v="70.27"/>
    <n v="1901.79"/>
    <x v="0"/>
    <n v="10"/>
    <n v="91.19"/>
    <n v="252"/>
    <n v="222"/>
  </r>
  <r>
    <s v="O1000014"/>
    <s v="C8897"/>
    <x v="13"/>
    <d v="2021-08-27T00:00:00"/>
    <x v="1"/>
    <x v="1"/>
    <x v="4"/>
    <s v="Beijing"/>
    <s v="FUR-FU-10004864"/>
    <s v="Furniture"/>
    <s v="Furnishings"/>
    <s v="Howard Miller 14-1/2&quot; Diameter Chrome Round Wall Clock"/>
    <n v="20.3"/>
    <n v="56"/>
    <s v="S777"/>
    <x v="4"/>
    <s v="W40"/>
    <x v="0"/>
    <s v="DHL"/>
    <s v="Beijing-Cape Town"/>
    <n v="3385"/>
    <n v="274"/>
    <n v="6"/>
    <n v="1243.6500000000001"/>
    <n v="168.46"/>
    <n v="1412.11"/>
    <x v="1"/>
    <n v="0"/>
    <n v="83.04"/>
    <n v="421"/>
    <n v="445"/>
  </r>
  <r>
    <s v="O1000015"/>
    <s v="C9273"/>
    <x v="14"/>
    <d v="2024-05-17T00:00:00"/>
    <x v="1"/>
    <x v="1"/>
    <x v="1"/>
    <s v="Beijing"/>
    <s v="OFF-BI-10003708"/>
    <s v="Office Supplies"/>
    <s v="Binders"/>
    <s v="Acco Four Pocket Poly Ring Binder with Label Holder, Smoke, 1&quot;"/>
    <n v="94.21"/>
    <n v="19"/>
    <s v="S303"/>
    <x v="0"/>
    <s v="W9"/>
    <x v="2"/>
    <s v="BlueDart"/>
    <s v="Berlin-Beijing"/>
    <n v="551"/>
    <n v="202"/>
    <n v="20"/>
    <n v="245.11"/>
    <n v="180.68"/>
    <n v="425.79"/>
    <x v="1"/>
    <n v="0"/>
    <n v="93.23"/>
    <n v="199"/>
    <n v="218"/>
  </r>
  <r>
    <s v="O1000016"/>
    <s v="C8456"/>
    <x v="15"/>
    <d v="2021-12-24T00:00:00"/>
    <x v="1"/>
    <x v="2"/>
    <x v="0"/>
    <s v="Mumbai"/>
    <s v="OFF-AR-10004078"/>
    <s v="Office Supplies"/>
    <s v="Art"/>
    <s v="Newell 312"/>
    <n v="33"/>
    <n v="16"/>
    <s v="S613"/>
    <x v="2"/>
    <s v="W1"/>
    <x v="2"/>
    <s v="Maersk"/>
    <s v="Mumbai-New York"/>
    <n v="2548"/>
    <n v="53"/>
    <n v="8"/>
    <n v="1545.99"/>
    <n v="22.39"/>
    <n v="1568.38"/>
    <x v="1"/>
    <n v="0"/>
    <n v="76.39"/>
    <n v="320"/>
    <n v="313"/>
  </r>
  <r>
    <s v="O1000017"/>
    <s v="C2608"/>
    <x v="16"/>
    <d v="2024-08-26T00:00:00"/>
    <x v="2"/>
    <x v="1"/>
    <x v="6"/>
    <s v="Beijing"/>
    <s v="TEC-AC-10001266"/>
    <s v="Technology"/>
    <s v="Accessories"/>
    <s v="Memorex Micro Travel Drive 8 GB"/>
    <n v="397.89"/>
    <n v="60"/>
    <s v="S227"/>
    <x v="1"/>
    <s v="W3"/>
    <x v="0"/>
    <s v="UPS"/>
    <s v="New York-Cape Town"/>
    <n v="1899"/>
    <n v="368"/>
    <n v="1"/>
    <n v="1961.05"/>
    <n v="348.86"/>
    <n v="2309.91"/>
    <x v="1"/>
    <n v="0"/>
    <n v="92.39"/>
    <n v="263"/>
    <n v="226"/>
  </r>
  <r>
    <s v="O1000018"/>
    <s v="C3534"/>
    <x v="17"/>
    <d v="2023-05-10T00:00:00"/>
    <x v="2"/>
    <x v="4"/>
    <x v="0"/>
    <s v="São Paulo"/>
    <s v="FUR-FU-10000965"/>
    <s v="Furniture"/>
    <s v="Furnishings"/>
    <s v="Howard Miller 11-1/2&quot; Diameter Ridgewood Wall Clock"/>
    <n v="127.64"/>
    <n v="27"/>
    <s v="S665"/>
    <x v="3"/>
    <s v="W4"/>
    <x v="1"/>
    <s v="BlueDart"/>
    <s v="Toronto-Toronto"/>
    <n v="2169"/>
    <n v="153"/>
    <n v="12"/>
    <n v="972.32"/>
    <n v="327.31"/>
    <n v="1299.6300000000001"/>
    <x v="1"/>
    <n v="0"/>
    <n v="74.36"/>
    <n v="356"/>
    <n v="350"/>
  </r>
  <r>
    <s v="O1000019"/>
    <s v="C6902"/>
    <x v="18"/>
    <d v="2024-02-28T00:00:00"/>
    <x v="2"/>
    <x v="1"/>
    <x v="5"/>
    <s v="São Paulo"/>
    <s v="OFF-LA-10004272"/>
    <s v="Office Supplies"/>
    <s v="Labels"/>
    <s v="Avery 482"/>
    <n v="209.01"/>
    <n v="84"/>
    <s v="S742"/>
    <x v="4"/>
    <s v="W28"/>
    <x v="2"/>
    <s v="UPS"/>
    <s v="Cape Town-New York"/>
    <n v="4885"/>
    <n v="158"/>
    <n v="1"/>
    <n v="1991.58"/>
    <n v="297.87"/>
    <n v="2289.4499999999998"/>
    <x v="1"/>
    <n v="0"/>
    <n v="80.67"/>
    <n v="456"/>
    <n v="477"/>
  </r>
  <r>
    <s v="O1000020"/>
    <s v="C9827"/>
    <x v="19"/>
    <d v="2020-03-21T00:00:00"/>
    <x v="2"/>
    <x v="2"/>
    <x v="2"/>
    <s v="London"/>
    <s v="FUR-FU-10000010"/>
    <s v="Furniture"/>
    <s v="Furnishings"/>
    <s v="DAX Value U-Channel Document Frames, Easel Back"/>
    <n v="173.65"/>
    <n v="94"/>
    <s v="S752"/>
    <x v="2"/>
    <s v="W28"/>
    <x v="0"/>
    <s v="Maersk"/>
    <s v="Mumbai-São Paulo"/>
    <n v="3809"/>
    <n v="442"/>
    <n v="27"/>
    <n v="842.25"/>
    <n v="325.32"/>
    <n v="1167.57"/>
    <x v="1"/>
    <n v="0"/>
    <n v="81.75"/>
    <n v="298"/>
    <n v="300"/>
  </r>
  <r>
    <s v="O1000021"/>
    <s v="C4756"/>
    <x v="20"/>
    <d v="2024-11-05T00:00:00"/>
    <x v="1"/>
    <x v="3"/>
    <x v="5"/>
    <s v="São Paulo"/>
    <s v="FUR-BO-10003034"/>
    <s v="Furniture"/>
    <s v="Bookcases"/>
    <s v="O'Sullivan Elevations Bookcase, Cherry Finish"/>
    <n v="118.26"/>
    <n v="88"/>
    <s v="S448"/>
    <x v="4"/>
    <s v="W26"/>
    <x v="1"/>
    <s v="Maersk"/>
    <s v="Cape Town-Mumbai"/>
    <n v="3553"/>
    <n v="417"/>
    <n v="25"/>
    <n v="1100.94"/>
    <n v="287.49"/>
    <n v="1388.43"/>
    <x v="0"/>
    <n v="5"/>
    <n v="94.24"/>
    <n v="466"/>
    <n v="491"/>
  </r>
  <r>
    <s v="O1000022"/>
    <s v="C6997"/>
    <x v="21"/>
    <d v="2020-07-09T00:00:00"/>
    <x v="0"/>
    <x v="4"/>
    <x v="0"/>
    <s v="Toronto"/>
    <s v="FUR-CH-10000422"/>
    <s v="Furniture"/>
    <s v="Chairs"/>
    <s v="Global Highback Leather Tilter in Burgundy"/>
    <n v="282.82"/>
    <n v="52"/>
    <s v="S825"/>
    <x v="1"/>
    <s v="W44"/>
    <x v="3"/>
    <s v="BlueDart"/>
    <s v="Cape Town-London"/>
    <n v="2101"/>
    <n v="169"/>
    <n v="8"/>
    <n v="1318.04"/>
    <n v="448.9"/>
    <n v="1766.94"/>
    <x v="1"/>
    <n v="0"/>
    <n v="93.64"/>
    <n v="128"/>
    <n v="123"/>
  </r>
  <r>
    <s v="O1000023"/>
    <s v="C1028"/>
    <x v="22"/>
    <d v="2020-08-01T00:00:00"/>
    <x v="2"/>
    <x v="2"/>
    <x v="0"/>
    <s v="Berlin"/>
    <s v="OFF-AR-10003514"/>
    <s v="Office Supplies"/>
    <s v="Art"/>
    <s v="4009 Highlighters by Sanford"/>
    <n v="332.15"/>
    <n v="64"/>
    <s v="S576"/>
    <x v="0"/>
    <s v="W8"/>
    <x v="2"/>
    <s v="DHL"/>
    <s v="London-São Paulo"/>
    <n v="2108"/>
    <n v="181"/>
    <n v="5"/>
    <n v="596.41"/>
    <n v="250.91"/>
    <n v="847.31999999999994"/>
    <x v="1"/>
    <n v="0"/>
    <n v="70.77"/>
    <n v="316"/>
    <n v="343"/>
  </r>
  <r>
    <s v="O1000024"/>
    <s v="C4401"/>
    <x v="23"/>
    <d v="2022-02-15T00:00:00"/>
    <x v="2"/>
    <x v="2"/>
    <x v="0"/>
    <s v="Cape Town"/>
    <s v="OFF-BI-10003476"/>
    <s v="Office Supplies"/>
    <s v="Binders"/>
    <s v="Avery Metallic Poly Binders"/>
    <n v="320.01"/>
    <n v="42"/>
    <s v="S412"/>
    <x v="3"/>
    <s v="W30"/>
    <x v="1"/>
    <s v="Maersk"/>
    <s v="London-Toronto"/>
    <n v="861"/>
    <n v="169"/>
    <n v="24"/>
    <n v="1865.44"/>
    <n v="442.41"/>
    <n v="2307.85"/>
    <x v="1"/>
    <n v="0"/>
    <n v="78.569999999999993"/>
    <n v="335"/>
    <n v="311"/>
  </r>
  <r>
    <s v="O1000025"/>
    <s v="C4979"/>
    <x v="24"/>
    <d v="2024-11-29T00:00:00"/>
    <x v="1"/>
    <x v="0"/>
    <x v="3"/>
    <s v="Berlin"/>
    <s v="OFF-BI-10004187"/>
    <s v="Office Supplies"/>
    <s v="Binders"/>
    <s v="3-ring staple pack"/>
    <n v="386.85"/>
    <n v="93"/>
    <s v="S664"/>
    <x v="4"/>
    <s v="W15"/>
    <x v="0"/>
    <s v="BlueDart"/>
    <s v="Berlin-Toronto"/>
    <n v="1879"/>
    <n v="64"/>
    <n v="4"/>
    <n v="1019.67"/>
    <n v="486.56"/>
    <n v="1506.23"/>
    <x v="1"/>
    <n v="0"/>
    <n v="95.27"/>
    <n v="85"/>
    <n v="121"/>
  </r>
  <r>
    <s v="O1000026"/>
    <s v="C9865"/>
    <x v="25"/>
    <d v="2020-12-27T00:00:00"/>
    <x v="2"/>
    <x v="3"/>
    <x v="5"/>
    <s v="Mumbai"/>
    <s v="OFF-EN-10001532"/>
    <s v="Office Supplies"/>
    <s v="Envelopes"/>
    <s v="Brown Kraft Recycled Envelopes"/>
    <n v="145.83000000000001"/>
    <n v="81"/>
    <s v="S710"/>
    <x v="0"/>
    <s v="W7"/>
    <x v="1"/>
    <s v="Maersk"/>
    <s v="New York-São Paulo"/>
    <n v="2241"/>
    <n v="314"/>
    <n v="14"/>
    <n v="1043.45"/>
    <n v="220.42"/>
    <n v="1263.8699999999999"/>
    <x v="1"/>
    <n v="0"/>
    <n v="81.22"/>
    <n v="325"/>
    <n v="287"/>
  </r>
  <r>
    <s v="O1000027"/>
    <s v="C4004"/>
    <x v="26"/>
    <d v="2024-12-04T00:00:00"/>
    <x v="1"/>
    <x v="4"/>
    <x v="2"/>
    <s v="Cape Town"/>
    <s v="OFF-EN-10001990"/>
    <s v="Office Supplies"/>
    <s v="Envelopes"/>
    <s v="Staple envelope"/>
    <n v="468.12"/>
    <n v="82"/>
    <s v="S764"/>
    <x v="1"/>
    <s v="W4"/>
    <x v="2"/>
    <s v="Maersk"/>
    <s v="Cape Town-New York"/>
    <n v="4837"/>
    <n v="267"/>
    <n v="10"/>
    <n v="1473.47"/>
    <n v="10.39"/>
    <n v="1483.86"/>
    <x v="1"/>
    <n v="0"/>
    <n v="79.400000000000006"/>
    <n v="297"/>
    <n v="342"/>
  </r>
  <r>
    <s v="O1000028"/>
    <s v="C6243"/>
    <x v="27"/>
    <d v="2020-03-24T00:00:00"/>
    <x v="2"/>
    <x v="2"/>
    <x v="0"/>
    <s v="Berlin"/>
    <s v="OFF-PA-10002947"/>
    <s v="Office Supplies"/>
    <s v="Paper"/>
    <s v="Xerox 1923"/>
    <n v="242.57"/>
    <n v="80"/>
    <s v="S306"/>
    <x v="2"/>
    <s v="W25"/>
    <x v="2"/>
    <s v="UPS"/>
    <s v="São Paulo-London"/>
    <n v="4069"/>
    <n v="438"/>
    <n v="29"/>
    <n v="1043.1099999999999"/>
    <n v="204.1"/>
    <n v="1247.21"/>
    <x v="1"/>
    <n v="0"/>
    <n v="83.57"/>
    <n v="121"/>
    <n v="161"/>
  </r>
  <r>
    <s v="O1000029"/>
    <s v="C4550"/>
    <x v="28"/>
    <d v="2023-06-01T00:00:00"/>
    <x v="1"/>
    <x v="2"/>
    <x v="6"/>
    <s v="Berlin"/>
    <s v="OFF-ST-10000025"/>
    <s v="Office Supplies"/>
    <s v="Storage"/>
    <s v="Fellowes Stor/Drawer Steel Plus Storage Drawers"/>
    <n v="351.99"/>
    <n v="13"/>
    <s v="S936"/>
    <x v="1"/>
    <s v="W44"/>
    <x v="2"/>
    <s v="UPS"/>
    <s v="Beijing-Berlin"/>
    <n v="844"/>
    <n v="135"/>
    <n v="22"/>
    <n v="828.72"/>
    <n v="468.59"/>
    <n v="1297.31"/>
    <x v="0"/>
    <n v="1"/>
    <n v="93.61"/>
    <n v="69"/>
    <n v="22"/>
  </r>
  <r>
    <s v="O1000030"/>
    <s v="C4586"/>
    <x v="29"/>
    <d v="2021-04-09T00:00:00"/>
    <x v="1"/>
    <x v="4"/>
    <x v="3"/>
    <s v="Toronto"/>
    <s v="OFF-ST-10000078"/>
    <s v="Office Supplies"/>
    <s v="Storage"/>
    <s v="Tennsco 6- and 18-Compartment Lockers"/>
    <n v="411.06"/>
    <n v="7"/>
    <s v="S366"/>
    <x v="4"/>
    <s v="W30"/>
    <x v="2"/>
    <s v="UPS"/>
    <s v="Toronto-Cape Town"/>
    <n v="94"/>
    <n v="201"/>
    <n v="25"/>
    <n v="1488.94"/>
    <n v="168.71"/>
    <n v="1657.65"/>
    <x v="1"/>
    <n v="0"/>
    <n v="79.900000000000006"/>
    <n v="107"/>
    <n v="114"/>
  </r>
  <r>
    <s v="O1000031"/>
    <s v="C1027"/>
    <x v="30"/>
    <d v="2024-08-12T00:00:00"/>
    <x v="2"/>
    <x v="3"/>
    <x v="0"/>
    <s v="São Paulo"/>
    <s v="TEC-AC-10003174"/>
    <s v="Technology"/>
    <s v="Accessories"/>
    <s v="Plantronics S12 Corded Telephone Headset System"/>
    <n v="137.82"/>
    <n v="54"/>
    <s v="S203"/>
    <x v="0"/>
    <s v="W13"/>
    <x v="1"/>
    <s v="DHL"/>
    <s v="São Paulo-Mumbai"/>
    <n v="69"/>
    <n v="344"/>
    <n v="25"/>
    <n v="1967.45"/>
    <n v="375.64"/>
    <n v="2343.09"/>
    <x v="1"/>
    <n v="0"/>
    <n v="83.54"/>
    <n v="438"/>
    <n v="395"/>
  </r>
  <r>
    <s v="O1000032"/>
    <s v="C9007"/>
    <x v="31"/>
    <d v="2021-11-14T00:00:00"/>
    <x v="1"/>
    <x v="4"/>
    <x v="2"/>
    <s v="Mumbai"/>
    <s v="FUR-BO-10003433"/>
    <s v="Furniture"/>
    <s v="Bookcases"/>
    <s v="Sauder Cornerstone Collection Library"/>
    <n v="300.33999999999997"/>
    <n v="24"/>
    <s v="S104"/>
    <x v="4"/>
    <s v="W30"/>
    <x v="0"/>
    <s v="UPS"/>
    <s v="Mumbai-Mumbai"/>
    <n v="4925"/>
    <n v="263"/>
    <n v="24"/>
    <n v="1282.05"/>
    <n v="333.53"/>
    <n v="1615.58"/>
    <x v="1"/>
    <n v="0"/>
    <n v="89.63"/>
    <n v="210"/>
    <n v="216"/>
  </r>
  <r>
    <s v="O1000033"/>
    <s v="C5653"/>
    <x v="16"/>
    <d v="2023-11-08T00:00:00"/>
    <x v="2"/>
    <x v="1"/>
    <x v="0"/>
    <s v="Toronto"/>
    <s v="TEC-AC-10003628"/>
    <s v="Technology"/>
    <s v="Accessories"/>
    <s v="Logitech 910-002974 M325 Wireless Mouse for Web Scrolling"/>
    <n v="216.49"/>
    <n v="37"/>
    <s v="S156"/>
    <x v="4"/>
    <s v="W25"/>
    <x v="3"/>
    <s v="BlueDart"/>
    <s v="London-Cape Town"/>
    <n v="3907"/>
    <n v="302"/>
    <n v="15"/>
    <n v="1106.1099999999999"/>
    <n v="27.21"/>
    <n v="1133.32"/>
    <x v="1"/>
    <n v="0"/>
    <n v="71.8"/>
    <n v="53"/>
    <n v="52"/>
  </r>
  <r>
    <s v="O1000034"/>
    <s v="C1669"/>
    <x v="32"/>
    <d v="2021-12-03T00:00:00"/>
    <x v="2"/>
    <x v="2"/>
    <x v="3"/>
    <s v="Berlin"/>
    <s v="FUR-FU-10001095"/>
    <s v="Furniture"/>
    <s v="Furnishings"/>
    <s v="DAX Black Cherry Wood-Tone Poster Frame"/>
    <n v="333.08"/>
    <n v="75"/>
    <s v="S386"/>
    <x v="0"/>
    <s v="W8"/>
    <x v="3"/>
    <s v="DHL"/>
    <s v="Beijing-Beijing"/>
    <n v="2211"/>
    <n v="55"/>
    <n v="11"/>
    <n v="578.38"/>
    <n v="28.73"/>
    <n v="607.11"/>
    <x v="0"/>
    <n v="9"/>
    <n v="94.51"/>
    <n v="319"/>
    <n v="343"/>
  </r>
  <r>
    <s v="O1000035"/>
    <s v="C7631"/>
    <x v="33"/>
    <d v="2022-07-18T00:00:00"/>
    <x v="2"/>
    <x v="4"/>
    <x v="3"/>
    <s v="Berlin"/>
    <s v="OFF-BI-10001575"/>
    <s v="Office Supplies"/>
    <s v="Binders"/>
    <s v="GBC Linen Binding Covers"/>
    <n v="145.38"/>
    <n v="1"/>
    <s v="S148"/>
    <x v="4"/>
    <s v="W37"/>
    <x v="3"/>
    <s v="Maersk"/>
    <s v="Cape Town-Berlin"/>
    <n v="3348"/>
    <n v="136"/>
    <n v="13"/>
    <n v="1821.62"/>
    <n v="340.54"/>
    <n v="2162.16"/>
    <x v="1"/>
    <n v="0"/>
    <n v="78.680000000000007"/>
    <n v="87"/>
    <n v="40"/>
  </r>
  <r>
    <s v="O1000036"/>
    <s v="C3771"/>
    <x v="34"/>
    <d v="2021-11-30T00:00:00"/>
    <x v="2"/>
    <x v="1"/>
    <x v="4"/>
    <s v="Beijing"/>
    <s v="OFF-LA-10001074"/>
    <s v="Office Supplies"/>
    <s v="Labels"/>
    <s v="Round Specialty Laser Printer Labels"/>
    <n v="480"/>
    <n v="51"/>
    <s v="S525"/>
    <x v="1"/>
    <s v="W14"/>
    <x v="0"/>
    <s v="UPS"/>
    <s v="Cape Town-Mumbai"/>
    <n v="1715"/>
    <n v="134"/>
    <n v="4"/>
    <n v="1113.7"/>
    <n v="465.86"/>
    <n v="1579.56"/>
    <x v="1"/>
    <n v="0"/>
    <n v="98.67"/>
    <n v="94"/>
    <n v="120"/>
  </r>
  <r>
    <s v="O1000037"/>
    <s v="C9325"/>
    <x v="35"/>
    <d v="2022-03-07T00:00:00"/>
    <x v="1"/>
    <x v="3"/>
    <x v="4"/>
    <s v="Toronto"/>
    <s v="TEC-PH-10004614"/>
    <s v="Technology"/>
    <s v="Phones"/>
    <s v="AT&amp;T 841000 Phone"/>
    <n v="470.66"/>
    <n v="68"/>
    <s v="S845"/>
    <x v="0"/>
    <s v="W23"/>
    <x v="2"/>
    <s v="FedEx"/>
    <s v="Berlin-Mumbai"/>
    <n v="4201"/>
    <n v="360"/>
    <n v="28"/>
    <n v="606.94000000000005"/>
    <n v="164.04"/>
    <n v="770.98"/>
    <x v="0"/>
    <n v="7"/>
    <n v="70.42"/>
    <n v="286"/>
    <n v="243"/>
  </r>
  <r>
    <s v="O1000038"/>
    <s v="C9195"/>
    <x v="36"/>
    <d v="2020-03-05T00:00:00"/>
    <x v="2"/>
    <x v="0"/>
    <x v="1"/>
    <s v="New York"/>
    <s v="OFF-AP-10000692"/>
    <s v="Office Supplies"/>
    <s v="Appliances"/>
    <s v="Fellowes Mighty 8 Compact Surge Protector"/>
    <n v="180"/>
    <n v="67"/>
    <s v="S139"/>
    <x v="0"/>
    <s v="W4"/>
    <x v="1"/>
    <s v="BlueDart"/>
    <s v="São Paulo-Mumbai"/>
    <n v="1642"/>
    <n v="144"/>
    <n v="2"/>
    <n v="1800.52"/>
    <n v="464.69"/>
    <n v="2265.21"/>
    <x v="0"/>
    <n v="13"/>
    <n v="74.709999999999994"/>
    <n v="255"/>
    <n v="255"/>
  </r>
  <r>
    <s v="O1000039"/>
    <s v="C4804"/>
    <x v="37"/>
    <d v="2022-08-18T00:00:00"/>
    <x v="2"/>
    <x v="2"/>
    <x v="7"/>
    <s v="Beijing"/>
    <s v="FUR-BO-10001972"/>
    <s v="Furniture"/>
    <s v="Bookcases"/>
    <s v="O'Sullivan 4-Shelf Bookcase in Odessa Pine"/>
    <n v="99.22"/>
    <n v="60"/>
    <s v="S546"/>
    <x v="3"/>
    <s v="W46"/>
    <x v="2"/>
    <s v="Maersk"/>
    <s v="Toronto-London"/>
    <n v="4384"/>
    <n v="346"/>
    <n v="21"/>
    <n v="1003.34"/>
    <n v="141.62"/>
    <n v="1144.96"/>
    <x v="1"/>
    <n v="0"/>
    <n v="76.63"/>
    <n v="433"/>
    <n v="448"/>
  </r>
  <r>
    <s v="O1000040"/>
    <s v="C8013"/>
    <x v="38"/>
    <d v="2024-12-07T00:00:00"/>
    <x v="2"/>
    <x v="2"/>
    <x v="0"/>
    <s v="Cape Town"/>
    <s v="OFF-BI-10003676"/>
    <s v="Office Supplies"/>
    <s v="Binders"/>
    <s v="GBC Standard Recycled Report Covers, Clear Plastic Sheets"/>
    <n v="214.03"/>
    <n v="46"/>
    <s v="S990"/>
    <x v="4"/>
    <s v="W35"/>
    <x v="2"/>
    <s v="DHL"/>
    <s v="Toronto-Toronto"/>
    <n v="141"/>
    <n v="93"/>
    <n v="22"/>
    <n v="720.04"/>
    <n v="53.53"/>
    <n v="773.56999999999994"/>
    <x v="1"/>
    <n v="0"/>
    <n v="70.56"/>
    <n v="136"/>
    <n v="142"/>
  </r>
  <r>
    <s v="O1000041"/>
    <s v="C6886"/>
    <x v="39"/>
    <d v="2023-09-03T00:00:00"/>
    <x v="2"/>
    <x v="3"/>
    <x v="7"/>
    <s v="Toronto"/>
    <s v="OFF-EN-10002504"/>
    <s v="Office Supplies"/>
    <s v="Envelopes"/>
    <s v="Tyvek  Top-Opening Peel &amp; Seel Envelopes, Plain White"/>
    <n v="101.7"/>
    <n v="40"/>
    <s v="S112"/>
    <x v="0"/>
    <s v="W29"/>
    <x v="0"/>
    <s v="DHL"/>
    <s v="São Paulo-Beijing"/>
    <n v="2411"/>
    <n v="281"/>
    <n v="15"/>
    <n v="915.63"/>
    <n v="97.85"/>
    <n v="1013.48"/>
    <x v="1"/>
    <n v="0"/>
    <n v="79.010000000000005"/>
    <n v="411"/>
    <n v="389"/>
  </r>
  <r>
    <s v="O1000042"/>
    <s v="C8484"/>
    <x v="40"/>
    <d v="2024-10-17T00:00:00"/>
    <x v="2"/>
    <x v="3"/>
    <x v="6"/>
    <s v="Toronto"/>
    <s v="OFF-PA-10000659"/>
    <s v="Office Supplies"/>
    <s v="Paper"/>
    <s v="TOPS Carbonless Receipt Book, Four 2-3/4 x 7-1/4 Money Receipts per Page"/>
    <n v="35.479999999999997"/>
    <n v="88"/>
    <s v="S370"/>
    <x v="0"/>
    <s v="W28"/>
    <x v="0"/>
    <s v="BlueDart"/>
    <s v="Cape Town-New York"/>
    <n v="4523"/>
    <n v="193"/>
    <n v="25"/>
    <n v="1326.42"/>
    <n v="235.58"/>
    <n v="1562"/>
    <x v="1"/>
    <n v="0"/>
    <n v="79.67"/>
    <n v="306"/>
    <n v="256"/>
  </r>
  <r>
    <s v="O1000043"/>
    <s v="C2385"/>
    <x v="41"/>
    <d v="2021-09-15T00:00:00"/>
    <x v="1"/>
    <x v="3"/>
    <x v="5"/>
    <s v="Beijing"/>
    <s v="FUR-CH-10002331"/>
    <s v="Furniture"/>
    <s v="Chairs"/>
    <s v="Hon 4700 Series Mobuis Mid-Back Task Chairs with Adjustable Arms"/>
    <n v="10.63"/>
    <n v="28"/>
    <s v="S505"/>
    <x v="1"/>
    <s v="W39"/>
    <x v="3"/>
    <s v="FedEx"/>
    <s v="Toronto-São Paulo"/>
    <n v="2820"/>
    <n v="366"/>
    <n v="12"/>
    <n v="212.88"/>
    <n v="153.52000000000001"/>
    <n v="366.4"/>
    <x v="1"/>
    <n v="0"/>
    <n v="75.5"/>
    <n v="233"/>
    <n v="185"/>
  </r>
  <r>
    <s v="O1000044"/>
    <s v="C2707"/>
    <x v="42"/>
    <d v="2024-03-07T00:00:00"/>
    <x v="2"/>
    <x v="3"/>
    <x v="0"/>
    <s v="New York"/>
    <s v="FUR-FU-10002268"/>
    <s v="Furniture"/>
    <s v="Furnishings"/>
    <s v="Ultra Door Push Plate"/>
    <n v="463.15"/>
    <n v="17"/>
    <s v="S602"/>
    <x v="2"/>
    <s v="W48"/>
    <x v="3"/>
    <s v="BlueDart"/>
    <s v="Beijing-São Paulo"/>
    <n v="4892"/>
    <n v="165"/>
    <n v="14"/>
    <n v="1330.81"/>
    <n v="261.88"/>
    <n v="1592.69"/>
    <x v="1"/>
    <n v="0"/>
    <n v="76.61"/>
    <n v="93"/>
    <n v="102"/>
  </r>
  <r>
    <s v="O1000045"/>
    <s v="C9057"/>
    <x v="43"/>
    <d v="2022-01-12T00:00:00"/>
    <x v="1"/>
    <x v="4"/>
    <x v="5"/>
    <s v="São Paulo"/>
    <s v="FUR-FU-10002918"/>
    <s v="Furniture"/>
    <s v="Furnishings"/>
    <s v="Eldon ClusterMat Chair Mat with Cordless Antistatic Protection"/>
    <n v="208.71"/>
    <n v="61"/>
    <s v="S598"/>
    <x v="3"/>
    <s v="W9"/>
    <x v="0"/>
    <s v="DHL"/>
    <s v="London-Berlin"/>
    <n v="4975"/>
    <n v="368"/>
    <n v="11"/>
    <n v="1868.54"/>
    <n v="45.52"/>
    <n v="1914.06"/>
    <x v="1"/>
    <n v="0"/>
    <n v="88.77"/>
    <n v="305"/>
    <n v="315"/>
  </r>
  <r>
    <s v="O1000046"/>
    <s v="C1719"/>
    <x v="44"/>
    <d v="2023-04-28T00:00:00"/>
    <x v="2"/>
    <x v="3"/>
    <x v="4"/>
    <s v="Beijing"/>
    <s v="FUR-FU-10003194"/>
    <s v="Furniture"/>
    <s v="Furnishings"/>
    <s v="Eldon Expressions Desk Accessory, Wood Pencil Holder, Oak"/>
    <n v="18.760000000000002"/>
    <n v="44"/>
    <s v="S272"/>
    <x v="2"/>
    <s v="W24"/>
    <x v="2"/>
    <s v="DHL"/>
    <s v="Mumbai-Mumbai"/>
    <n v="4633"/>
    <n v="97"/>
    <n v="15"/>
    <n v="391.26"/>
    <n v="106.04"/>
    <n v="497.3"/>
    <x v="1"/>
    <n v="0"/>
    <n v="71.75"/>
    <n v="411"/>
    <n v="364"/>
  </r>
  <r>
    <s v="O1000047"/>
    <s v="C1158"/>
    <x v="45"/>
    <d v="2024-06-27T00:00:00"/>
    <x v="1"/>
    <x v="3"/>
    <x v="6"/>
    <s v="Cape Town"/>
    <s v="FUR-FU-10003194"/>
    <s v="Furniture"/>
    <s v="Furnishings"/>
    <s v="Eldon Expressions Desk Accessory, Wood Pencil Holder, Oak"/>
    <n v="93.37"/>
    <n v="86"/>
    <s v="S953"/>
    <x v="0"/>
    <s v="W13"/>
    <x v="0"/>
    <s v="UPS"/>
    <s v="London-Cape Town"/>
    <n v="1142"/>
    <n v="296"/>
    <n v="23"/>
    <n v="1209.5"/>
    <n v="292.60000000000002"/>
    <n v="1502.1"/>
    <x v="1"/>
    <n v="0"/>
    <n v="94.7"/>
    <n v="398"/>
    <n v="410"/>
  </r>
  <r>
    <s v="O1000048"/>
    <s v="C4222"/>
    <x v="46"/>
    <d v="2022-03-05T00:00:00"/>
    <x v="2"/>
    <x v="3"/>
    <x v="0"/>
    <s v="Cape Town"/>
    <s v="OFF-AP-10002311"/>
    <s v="Office Supplies"/>
    <s v="Appliances"/>
    <s v="Holmes Replacement Filter for HEPA Air Cleaner, Very Large Room, HEPA Filter"/>
    <n v="365.29"/>
    <n v="29"/>
    <s v="S958"/>
    <x v="2"/>
    <s v="W5"/>
    <x v="1"/>
    <s v="Maersk"/>
    <s v="Cape Town-New York"/>
    <n v="4605"/>
    <n v="112"/>
    <n v="10"/>
    <n v="1592.91"/>
    <n v="57.77"/>
    <n v="1650.68"/>
    <x v="1"/>
    <n v="0"/>
    <n v="93.45"/>
    <n v="252"/>
    <n v="217"/>
  </r>
  <r>
    <s v="O1000049"/>
    <s v="C8957"/>
    <x v="47"/>
    <d v="2022-10-12T00:00:00"/>
    <x v="1"/>
    <x v="0"/>
    <x v="0"/>
    <s v="Berlin"/>
    <s v="OFF-AR-10002375"/>
    <s v="Office Supplies"/>
    <s v="Art"/>
    <s v="Newell 351"/>
    <n v="110.25"/>
    <n v="52"/>
    <s v="S392"/>
    <x v="0"/>
    <s v="W26"/>
    <x v="0"/>
    <s v="UPS"/>
    <s v="Berlin-Beijing"/>
    <n v="2592"/>
    <n v="140"/>
    <n v="17"/>
    <n v="1427.44"/>
    <n v="305.92"/>
    <n v="1733.36"/>
    <x v="1"/>
    <n v="0"/>
    <n v="94.22"/>
    <n v="229"/>
    <n v="207"/>
  </r>
  <r>
    <s v="O1000050"/>
    <s v="C7555"/>
    <x v="48"/>
    <d v="2023-03-05T00:00:00"/>
    <x v="1"/>
    <x v="1"/>
    <x v="2"/>
    <s v="London"/>
    <s v="OFF-AR-10003811"/>
    <s v="Office Supplies"/>
    <s v="Art"/>
    <s v="Newell 327"/>
    <n v="205.05"/>
    <n v="48"/>
    <s v="S837"/>
    <x v="1"/>
    <s v="W17"/>
    <x v="3"/>
    <s v="Maersk"/>
    <s v="São Paulo-New York"/>
    <n v="4968"/>
    <n v="316"/>
    <n v="4"/>
    <n v="1153.44"/>
    <n v="179.71"/>
    <n v="1333.15"/>
    <x v="1"/>
    <n v="0"/>
    <n v="86.04"/>
    <n v="198"/>
    <n v="178"/>
  </r>
  <r>
    <s v="O1000051"/>
    <s v="C1034"/>
    <x v="49"/>
    <d v="2022-02-09T00:00:00"/>
    <x v="0"/>
    <x v="4"/>
    <x v="0"/>
    <s v="São Paulo"/>
    <s v="OFF-AR-10004456"/>
    <s v="Office Supplies"/>
    <s v="Art"/>
    <s v="Panasonic KP-4ABK Battery-Operated Pencil Sharpener"/>
    <n v="216.53"/>
    <n v="23"/>
    <s v="S814"/>
    <x v="0"/>
    <s v="W46"/>
    <x v="3"/>
    <s v="UPS"/>
    <s v="Berlin-Cape Town"/>
    <n v="4279"/>
    <n v="344"/>
    <n v="21"/>
    <n v="709.52"/>
    <n v="456.6"/>
    <n v="1166.1199999999999"/>
    <x v="1"/>
    <n v="0"/>
    <n v="90.13"/>
    <n v="400"/>
    <n v="380"/>
  </r>
  <r>
    <s v="O1000052"/>
    <s v="C4232"/>
    <x v="50"/>
    <d v="2022-07-31T00:00:00"/>
    <x v="1"/>
    <x v="2"/>
    <x v="4"/>
    <s v="São Paulo"/>
    <s v="OFF-BI-10000605"/>
    <s v="Office Supplies"/>
    <s v="Binders"/>
    <s v="Acco Pressboard Covers with Storage Hooks, 9 1/2&quot; x 11&quot;, Executive Red"/>
    <n v="101.14"/>
    <n v="62"/>
    <s v="S613"/>
    <x v="2"/>
    <s v="W44"/>
    <x v="0"/>
    <s v="UPS"/>
    <s v="New York-New York"/>
    <n v="4009"/>
    <n v="402"/>
    <n v="4"/>
    <n v="1354.13"/>
    <n v="410.63"/>
    <n v="1764.76"/>
    <x v="1"/>
    <n v="0"/>
    <n v="93.56"/>
    <n v="201"/>
    <n v="202"/>
  </r>
  <r>
    <s v="O1000053"/>
    <s v="C7882"/>
    <x v="51"/>
    <d v="2021-01-06T00:00:00"/>
    <x v="2"/>
    <x v="2"/>
    <x v="7"/>
    <s v="Berlin"/>
    <s v="OFF-BI-10003091"/>
    <s v="Office Supplies"/>
    <s v="Binders"/>
    <s v="GBC DocuBind TL200 Manual Binding Machine"/>
    <n v="465.3"/>
    <n v="45"/>
    <s v="S278"/>
    <x v="4"/>
    <s v="W21"/>
    <x v="3"/>
    <s v="FedEx"/>
    <s v="London-Mumbai"/>
    <n v="4235"/>
    <n v="96"/>
    <n v="15"/>
    <n v="1212.1099999999999"/>
    <n v="115.93"/>
    <n v="1328.04"/>
    <x v="1"/>
    <n v="0"/>
    <n v="72.56"/>
    <n v="353"/>
    <n v="308"/>
  </r>
  <r>
    <s v="O1000054"/>
    <s v="C7862"/>
    <x v="52"/>
    <d v="2022-06-25T00:00:00"/>
    <x v="2"/>
    <x v="3"/>
    <x v="5"/>
    <s v="São Paulo"/>
    <s v="OFF-BI-10004364"/>
    <s v="Office Supplies"/>
    <s v="Binders"/>
    <s v="Storex Dura Pro Binders"/>
    <n v="276.12"/>
    <n v="14"/>
    <s v="S157"/>
    <x v="4"/>
    <s v="W20"/>
    <x v="1"/>
    <s v="Maersk"/>
    <s v="Mumbai-Cape Town"/>
    <n v="4843"/>
    <n v="135"/>
    <n v="12"/>
    <n v="225.58"/>
    <n v="162.09"/>
    <n v="387.67"/>
    <x v="1"/>
    <n v="0"/>
    <n v="72.78"/>
    <n v="128"/>
    <n v="95"/>
  </r>
  <r>
    <s v="O1000055"/>
    <s v="C9281"/>
    <x v="53"/>
    <d v="2020-03-23T00:00:00"/>
    <x v="1"/>
    <x v="1"/>
    <x v="1"/>
    <s v="Toronto"/>
    <s v="OFF-EN-10001539"/>
    <s v="Office Supplies"/>
    <s v="Envelopes"/>
    <s v="Staple envelope"/>
    <n v="325.14999999999998"/>
    <n v="83"/>
    <s v="S763"/>
    <x v="4"/>
    <s v="W7"/>
    <x v="3"/>
    <s v="Maersk"/>
    <s v="Toronto-Mumbai"/>
    <n v="4036"/>
    <n v="69"/>
    <n v="10"/>
    <n v="1946.25"/>
    <n v="366.75"/>
    <n v="2313"/>
    <x v="1"/>
    <n v="0"/>
    <n v="86.74"/>
    <n v="486"/>
    <n v="490"/>
  </r>
  <r>
    <s v="O1000056"/>
    <s v="C5357"/>
    <x v="54"/>
    <d v="2021-09-11T00:00:00"/>
    <x v="2"/>
    <x v="1"/>
    <x v="1"/>
    <s v="New York"/>
    <s v="OFF-PA-10002893"/>
    <s v="Office Supplies"/>
    <s v="Paper"/>
    <s v="Wirebound Service Call Books, 5 1/2&quot; x 4&quot;"/>
    <n v="11.75"/>
    <n v="81"/>
    <s v="S919"/>
    <x v="2"/>
    <s v="W5"/>
    <x v="1"/>
    <s v="BlueDart"/>
    <s v="Beijing-Berlin"/>
    <n v="4874"/>
    <n v="145"/>
    <n v="20"/>
    <n v="65.150000000000006"/>
    <n v="114.97"/>
    <n v="180.12"/>
    <x v="1"/>
    <n v="0"/>
    <n v="76.459999999999994"/>
    <n v="125"/>
    <n v="115"/>
  </r>
  <r>
    <s v="O1000057"/>
    <s v="C3108"/>
    <x v="55"/>
    <d v="2024-06-19T00:00:00"/>
    <x v="2"/>
    <x v="1"/>
    <x v="2"/>
    <s v="London"/>
    <s v="OFF-ST-10000760"/>
    <s v="Office Supplies"/>
    <s v="Storage"/>
    <s v="Eldon Fold 'N Roll Cart System"/>
    <n v="203.59"/>
    <n v="55"/>
    <s v="S306"/>
    <x v="2"/>
    <s v="W48"/>
    <x v="1"/>
    <s v="Maersk"/>
    <s v="Mumbai-Berlin"/>
    <n v="1329"/>
    <n v="449"/>
    <n v="29"/>
    <n v="1258.25"/>
    <n v="152.4"/>
    <n v="1410.65"/>
    <x v="1"/>
    <n v="0"/>
    <n v="90.85"/>
    <n v="456"/>
    <n v="455"/>
  </r>
  <r>
    <s v="O1000058"/>
    <s v="C3864"/>
    <x v="56"/>
    <d v="2023-09-28T00:00:00"/>
    <x v="0"/>
    <x v="1"/>
    <x v="4"/>
    <s v="Beijing"/>
    <s v="OFF-ST-10003123"/>
    <s v="Office Supplies"/>
    <s v="Storage"/>
    <s v="Fellowes Bases and Tops For Staxonsteel/High-Stak Systems"/>
    <n v="76.849999999999994"/>
    <n v="10"/>
    <s v="S538"/>
    <x v="3"/>
    <s v="W9"/>
    <x v="2"/>
    <s v="DHL"/>
    <s v="Berlin-Toronto"/>
    <n v="2697"/>
    <n v="484"/>
    <n v="11"/>
    <n v="533.53"/>
    <n v="376.26"/>
    <n v="909.79"/>
    <x v="1"/>
    <n v="0"/>
    <n v="73.2"/>
    <n v="255"/>
    <n v="255"/>
  </r>
  <r>
    <s v="O1000059"/>
    <s v="C4873"/>
    <x v="57"/>
    <d v="2023-09-26T00:00:00"/>
    <x v="2"/>
    <x v="4"/>
    <x v="6"/>
    <s v="Cape Town"/>
    <s v="TEC-PH-10001061"/>
    <s v="Technology"/>
    <s v="Phones"/>
    <s v="Apple iPhone 5C"/>
    <n v="105.66"/>
    <n v="34"/>
    <s v="S285"/>
    <x v="0"/>
    <s v="W11"/>
    <x v="2"/>
    <s v="UPS"/>
    <s v="London-Toronto"/>
    <n v="1661"/>
    <n v="358"/>
    <n v="8"/>
    <n v="893.39"/>
    <n v="406.09"/>
    <n v="1299.48"/>
    <x v="1"/>
    <n v="0"/>
    <n v="76.42"/>
    <n v="483"/>
    <n v="511"/>
  </r>
  <r>
    <s v="O1000060"/>
    <s v="C2688"/>
    <x v="58"/>
    <d v="2020-03-14T00:00:00"/>
    <x v="2"/>
    <x v="3"/>
    <x v="4"/>
    <s v="São Paulo"/>
    <s v="FUR-FU-10001889"/>
    <s v="Furniture"/>
    <s v="Furnishings"/>
    <s v="Ultra Door Pull Handle"/>
    <n v="476.68"/>
    <n v="98"/>
    <s v="S930"/>
    <x v="1"/>
    <s v="W31"/>
    <x v="1"/>
    <s v="FedEx"/>
    <s v="Beijing-Cape Town"/>
    <n v="4942"/>
    <n v="55"/>
    <n v="21"/>
    <n v="497.09"/>
    <n v="96.28"/>
    <n v="593.37"/>
    <x v="0"/>
    <n v="13"/>
    <n v="99.02"/>
    <n v="94"/>
    <n v="45"/>
  </r>
  <r>
    <s v="O1000061"/>
    <s v="C6903"/>
    <x v="59"/>
    <d v="2021-07-02T00:00:00"/>
    <x v="2"/>
    <x v="2"/>
    <x v="0"/>
    <s v="São Paulo"/>
    <s v="FUR-FU-10001025"/>
    <s v="Furniture"/>
    <s v="Furnishings"/>
    <s v="Eldon Imàge Series Desk Accessories, Clear"/>
    <n v="166.59"/>
    <n v="85"/>
    <s v="S198"/>
    <x v="2"/>
    <s v="W40"/>
    <x v="1"/>
    <s v="DHL"/>
    <s v="São Paulo-Toronto"/>
    <n v="3485"/>
    <n v="108"/>
    <n v="14"/>
    <n v="978.84"/>
    <n v="473.11"/>
    <n v="1451.95"/>
    <x v="1"/>
    <n v="0"/>
    <n v="82.29"/>
    <n v="78"/>
    <n v="123"/>
  </r>
  <r>
    <s v="O1000062"/>
    <s v="C2104"/>
    <x v="60"/>
    <d v="2024-02-16T00:00:00"/>
    <x v="2"/>
    <x v="0"/>
    <x v="0"/>
    <s v="Toronto"/>
    <s v="FUR-FU-10002445"/>
    <s v="Furniture"/>
    <s v="Furnishings"/>
    <s v="DAX Two-Tone Rosewood/Black Document Frame, Desktop, 5 x 7"/>
    <n v="33.25"/>
    <n v="10"/>
    <s v="S968"/>
    <x v="3"/>
    <s v="W40"/>
    <x v="0"/>
    <s v="UPS"/>
    <s v="São Paulo-Cape Town"/>
    <n v="147"/>
    <n v="426"/>
    <n v="14"/>
    <n v="1774.41"/>
    <n v="347.7"/>
    <n v="2122.11"/>
    <x v="1"/>
    <n v="0"/>
    <n v="90.92"/>
    <n v="479"/>
    <n v="523"/>
  </r>
  <r>
    <s v="O1000063"/>
    <s v="C1767"/>
    <x v="61"/>
    <d v="2024-03-01T00:00:00"/>
    <x v="1"/>
    <x v="1"/>
    <x v="4"/>
    <s v="São Paulo"/>
    <s v="FUR-FU-10002960"/>
    <s v="Furniture"/>
    <s v="Furnishings"/>
    <s v="Eldon 200 Class Desk Accessories, Burgundy"/>
    <n v="483.49"/>
    <n v="59"/>
    <s v="S379"/>
    <x v="2"/>
    <s v="W35"/>
    <x v="3"/>
    <s v="FedEx"/>
    <s v="Berlin-Berlin"/>
    <n v="2253"/>
    <n v="495"/>
    <n v="1"/>
    <n v="1916.37"/>
    <n v="51.89"/>
    <n v="1968.26"/>
    <x v="1"/>
    <n v="0"/>
    <n v="85.52"/>
    <n v="124"/>
    <n v="99"/>
  </r>
  <r>
    <s v="O1000064"/>
    <s v="C5982"/>
    <x v="62"/>
    <d v="2024-06-03T00:00:00"/>
    <x v="2"/>
    <x v="1"/>
    <x v="6"/>
    <s v="New York"/>
    <s v="OFF-PA-10002689"/>
    <s v="Office Supplies"/>
    <s v="Paper"/>
    <s v="Weyerhaeuser First Choice Laser/Copy Paper (20Lb. and 88 Bright)"/>
    <n v="313.57"/>
    <n v="23"/>
    <s v="S919"/>
    <x v="0"/>
    <s v="W38"/>
    <x v="3"/>
    <s v="DHL"/>
    <s v="Cape Town-New York"/>
    <n v="2488"/>
    <n v="50"/>
    <n v="28"/>
    <n v="1727.84"/>
    <n v="103.95"/>
    <n v="1831.79"/>
    <x v="1"/>
    <n v="0"/>
    <n v="84.33"/>
    <n v="335"/>
    <n v="343"/>
  </r>
  <r>
    <s v="O1000065"/>
    <s v="C6311"/>
    <x v="63"/>
    <d v="2022-08-13T00:00:00"/>
    <x v="1"/>
    <x v="2"/>
    <x v="3"/>
    <s v="Beijing"/>
    <s v="TEC-PH-10001300"/>
    <s v="Technology"/>
    <s v="Phones"/>
    <s v="iKross Bluetooth Portable Keyboard + Cell Phone Stand Holder + Brush for Apple iPhone 5S 5C 5, 4S 4"/>
    <n v="146.75"/>
    <n v="43"/>
    <s v="S440"/>
    <x v="2"/>
    <s v="W19"/>
    <x v="3"/>
    <s v="UPS"/>
    <s v="Berlin-Berlin"/>
    <n v="3200"/>
    <n v="86"/>
    <n v="20"/>
    <n v="1073.94"/>
    <n v="308.13"/>
    <n v="1382.07"/>
    <x v="1"/>
    <n v="0"/>
    <n v="98.94"/>
    <n v="386"/>
    <n v="384"/>
  </r>
  <r>
    <s v="O1000066"/>
    <s v="C3432"/>
    <x v="64"/>
    <d v="2023-05-05T00:00:00"/>
    <x v="2"/>
    <x v="0"/>
    <x v="3"/>
    <s v="Toronto"/>
    <s v="OFF-FA-10003467"/>
    <s v="Office Supplies"/>
    <s v="Fasteners"/>
    <s v="Alliance Big Bands Rubber Bands, 12/Pack"/>
    <n v="84.76"/>
    <n v="32"/>
    <s v="S285"/>
    <x v="3"/>
    <s v="W34"/>
    <x v="2"/>
    <s v="FedEx"/>
    <s v="New York-São Paulo"/>
    <n v="4423"/>
    <n v="260"/>
    <n v="29"/>
    <n v="451.29"/>
    <n v="370.49"/>
    <n v="821.78"/>
    <x v="0"/>
    <n v="7"/>
    <n v="70.27"/>
    <n v="170"/>
    <n v="146"/>
  </r>
  <r>
    <s v="O1000067"/>
    <s v="C8169"/>
    <x v="65"/>
    <d v="2020-04-02T00:00:00"/>
    <x v="2"/>
    <x v="1"/>
    <x v="4"/>
    <s v="London"/>
    <s v="OFF-PA-10001804"/>
    <s v="Office Supplies"/>
    <s v="Paper"/>
    <s v="Xerox 195"/>
    <n v="390.58"/>
    <n v="13"/>
    <s v="S557"/>
    <x v="3"/>
    <s v="W23"/>
    <x v="0"/>
    <s v="Maersk"/>
    <s v="São Paulo-Mumbai"/>
    <n v="9"/>
    <n v="470"/>
    <n v="18"/>
    <n v="793.99"/>
    <n v="477.49"/>
    <n v="1271.48"/>
    <x v="1"/>
    <n v="0"/>
    <n v="91.78"/>
    <n v="133"/>
    <n v="89"/>
  </r>
  <r>
    <s v="O1000068"/>
    <s v="C5354"/>
    <x v="66"/>
    <d v="2021-09-19T00:00:00"/>
    <x v="0"/>
    <x v="3"/>
    <x v="4"/>
    <s v="Toronto"/>
    <s v="FUR-BO-10004409"/>
    <s v="Furniture"/>
    <s v="Bookcases"/>
    <s v="Safco Value Mate Series Steel Bookcases, Baked Enamel Finish on Steel, Gray"/>
    <n v="461.67"/>
    <n v="17"/>
    <s v="S518"/>
    <x v="0"/>
    <s v="W5"/>
    <x v="2"/>
    <s v="BlueDart"/>
    <s v="London-Cape Town"/>
    <n v="3119"/>
    <n v="403"/>
    <n v="19"/>
    <n v="1454.25"/>
    <n v="161.87"/>
    <n v="1616.12"/>
    <x v="1"/>
    <n v="0"/>
    <n v="96.67"/>
    <n v="479"/>
    <n v="460"/>
  </r>
  <r>
    <s v="O1000069"/>
    <s v="C1433"/>
    <x v="67"/>
    <d v="2023-07-10T00:00:00"/>
    <x v="2"/>
    <x v="3"/>
    <x v="1"/>
    <s v="Beijing"/>
    <s v="FUR-FU-10001847"/>
    <s v="Furniture"/>
    <s v="Furnishings"/>
    <s v="Eldon Image Series Black Desk Accessories"/>
    <n v="179.86"/>
    <n v="11"/>
    <s v="S529"/>
    <x v="0"/>
    <s v="W5"/>
    <x v="3"/>
    <s v="Maersk"/>
    <s v="Beijing-Toronto"/>
    <n v="3541"/>
    <n v="355"/>
    <n v="25"/>
    <n v="994.43"/>
    <n v="429.07"/>
    <n v="1423.5"/>
    <x v="1"/>
    <n v="0"/>
    <n v="97.89"/>
    <n v="122"/>
    <n v="144"/>
  </r>
  <r>
    <s v="O1000070"/>
    <s v="C9862"/>
    <x v="68"/>
    <d v="2022-05-29T00:00:00"/>
    <x v="2"/>
    <x v="2"/>
    <x v="1"/>
    <s v="Cape Town"/>
    <s v="FUR-FU-10004587"/>
    <s v="Furniture"/>
    <s v="Furnishings"/>
    <s v="GE General Use Halogen Bulbs, 100 Watts, 1 Bulb per Pack"/>
    <n v="113.1"/>
    <n v="87"/>
    <s v="S426"/>
    <x v="0"/>
    <s v="W12"/>
    <x v="3"/>
    <s v="Maersk"/>
    <s v="Cape Town-London"/>
    <n v="1673"/>
    <n v="493"/>
    <n v="5"/>
    <n v="1386.02"/>
    <n v="317.89999999999998"/>
    <n v="1703.92"/>
    <x v="1"/>
    <n v="0"/>
    <n v="97.31"/>
    <n v="480"/>
    <n v="451"/>
  </r>
  <r>
    <s v="O1000071"/>
    <s v="C2478"/>
    <x v="69"/>
    <d v="2024-07-16T00:00:00"/>
    <x v="2"/>
    <x v="0"/>
    <x v="6"/>
    <s v="Berlin"/>
    <s v="OFF-BI-10001758"/>
    <s v="Office Supplies"/>
    <s v="Binders"/>
    <s v="Wilson Jones 14 Line Acrylic Coated Pressboard Data Binders"/>
    <n v="129.01"/>
    <n v="62"/>
    <s v="S943"/>
    <x v="3"/>
    <s v="W35"/>
    <x v="0"/>
    <s v="UPS"/>
    <s v="Cape Town-London"/>
    <n v="371"/>
    <n v="180"/>
    <n v="16"/>
    <n v="312.06"/>
    <n v="85.69"/>
    <n v="397.75"/>
    <x v="1"/>
    <n v="0"/>
    <n v="87.37"/>
    <n v="250"/>
    <n v="299"/>
  </r>
  <r>
    <s v="O1000072"/>
    <s v="C2586"/>
    <x v="70"/>
    <d v="2022-11-16T00:00:00"/>
    <x v="1"/>
    <x v="2"/>
    <x v="0"/>
    <s v="London"/>
    <s v="OFF-PA-10000380"/>
    <s v="Office Supplies"/>
    <s v="Paper"/>
    <s v="REDIFORM Incoming/Outgoing Call Register, 11&quot; X 8 1/2&quot;, 100 Messages"/>
    <n v="294.23"/>
    <n v="31"/>
    <s v="S333"/>
    <x v="1"/>
    <s v="W12"/>
    <x v="3"/>
    <s v="BlueDart"/>
    <s v="Beijing-Berlin"/>
    <n v="4004"/>
    <n v="425"/>
    <n v="6"/>
    <n v="627.67999999999995"/>
    <n v="329.71"/>
    <n v="957.38999999999987"/>
    <x v="1"/>
    <n v="0"/>
    <n v="90.19"/>
    <n v="267"/>
    <n v="238"/>
  </r>
  <r>
    <s v="O1000073"/>
    <s v="C9473"/>
    <x v="39"/>
    <d v="2020-04-11T00:00:00"/>
    <x v="2"/>
    <x v="1"/>
    <x v="0"/>
    <s v="New York"/>
    <s v="OFF-PA-10003072"/>
    <s v="Office Supplies"/>
    <s v="Paper"/>
    <s v="Eureka Recycled Copy Paper 8 1/2&quot; x 11&quot;, Ream"/>
    <n v="84.81"/>
    <n v="76"/>
    <s v="S664"/>
    <x v="3"/>
    <s v="W27"/>
    <x v="2"/>
    <s v="UPS"/>
    <s v="Mumbai-Toronto"/>
    <n v="2204"/>
    <n v="205"/>
    <n v="26"/>
    <n v="1805.72"/>
    <n v="60.63"/>
    <n v="1866.35"/>
    <x v="0"/>
    <n v="10"/>
    <n v="91.14"/>
    <n v="449"/>
    <n v="441"/>
  </r>
  <r>
    <s v="O1000074"/>
    <s v="C1081"/>
    <x v="71"/>
    <d v="2023-11-27T00:00:00"/>
    <x v="1"/>
    <x v="3"/>
    <x v="7"/>
    <s v="Beijing"/>
    <s v="OFF-ST-10004337"/>
    <s v="Office Supplies"/>
    <s v="Storage"/>
    <s v="SAFCO Commercial Wire Shelving, 72h"/>
    <n v="398.93"/>
    <n v="37"/>
    <s v="S243"/>
    <x v="3"/>
    <s v="W13"/>
    <x v="3"/>
    <s v="DHL"/>
    <s v="São Paulo-Mumbai"/>
    <n v="1456"/>
    <n v="373"/>
    <n v="24"/>
    <n v="1916.61"/>
    <n v="465.67"/>
    <n v="2382.2800000000002"/>
    <x v="1"/>
    <n v="0"/>
    <n v="87.17"/>
    <n v="75"/>
    <n v="94"/>
  </r>
  <r>
    <s v="O1000075"/>
    <s v="C5251"/>
    <x v="72"/>
    <d v="2023-05-17T00:00:00"/>
    <x v="0"/>
    <x v="4"/>
    <x v="4"/>
    <s v="Mumbai"/>
    <s v="TEC-PH-10002103"/>
    <s v="Technology"/>
    <s v="Phones"/>
    <s v="Jabra SPEAK 410"/>
    <n v="125.42"/>
    <n v="55"/>
    <s v="S159"/>
    <x v="3"/>
    <s v="W43"/>
    <x v="0"/>
    <s v="Maersk"/>
    <s v="Toronto-Beijing"/>
    <n v="2429"/>
    <n v="287"/>
    <n v="10"/>
    <n v="1932.32"/>
    <n v="457.87"/>
    <n v="2390.19"/>
    <x v="1"/>
    <n v="0"/>
    <n v="73.22"/>
    <n v="458"/>
    <n v="460"/>
  </r>
  <r>
    <s v="O1000076"/>
    <s v="C6830"/>
    <x v="10"/>
    <d v="2023-07-05T00:00:00"/>
    <x v="2"/>
    <x v="1"/>
    <x v="3"/>
    <s v="New York"/>
    <s v="TEC-PH-10004833"/>
    <s v="Technology"/>
    <s v="Phones"/>
    <s v="Macally Suction Cup Mount"/>
    <n v="421.19"/>
    <n v="94"/>
    <s v="S687"/>
    <x v="2"/>
    <s v="W25"/>
    <x v="3"/>
    <s v="BlueDart"/>
    <s v="Berlin-Beijing"/>
    <n v="1882"/>
    <n v="79"/>
    <n v="2"/>
    <n v="317.02999999999997"/>
    <n v="51.07"/>
    <n v="368.1"/>
    <x v="1"/>
    <n v="0"/>
    <n v="97.46"/>
    <n v="174"/>
    <n v="196"/>
  </r>
  <r>
    <s v="O1000077"/>
    <s v="C5957"/>
    <x v="73"/>
    <d v="2024-10-03T00:00:00"/>
    <x v="0"/>
    <x v="3"/>
    <x v="5"/>
    <s v="Berlin"/>
    <s v="FUR-TA-10003469"/>
    <s v="Furniture"/>
    <s v="Tables"/>
    <s v="Balt Split Level Computer Training Table"/>
    <n v="477.18"/>
    <n v="3"/>
    <s v="S107"/>
    <x v="4"/>
    <s v="W46"/>
    <x v="3"/>
    <s v="Maersk"/>
    <s v="Toronto-São Paulo"/>
    <n v="3877"/>
    <n v="192"/>
    <n v="1"/>
    <n v="1855.28"/>
    <n v="50.64"/>
    <n v="1905.92"/>
    <x v="1"/>
    <n v="0"/>
    <n v="70.52"/>
    <n v="367"/>
    <n v="349"/>
  </r>
  <r>
    <s v="O1000078"/>
    <s v="C1883"/>
    <x v="74"/>
    <d v="2020-01-18T00:00:00"/>
    <x v="1"/>
    <x v="0"/>
    <x v="7"/>
    <s v="London"/>
    <s v="OFF-AR-10003179"/>
    <s v="Office Supplies"/>
    <s v="Art"/>
    <s v="Dixon Ticonderoga Core-Lock Colored Pencils"/>
    <n v="337.18"/>
    <n v="93"/>
    <s v="S542"/>
    <x v="2"/>
    <s v="W32"/>
    <x v="1"/>
    <s v="UPS"/>
    <s v="London-Beijing"/>
    <n v="2196"/>
    <n v="82"/>
    <n v="18"/>
    <n v="1393.52"/>
    <n v="460.58"/>
    <n v="1854.1"/>
    <x v="1"/>
    <n v="0"/>
    <n v="92.1"/>
    <n v="52"/>
    <n v="71"/>
  </r>
  <r>
    <s v="O1000079"/>
    <s v="C6759"/>
    <x v="27"/>
    <d v="2020-02-08T00:00:00"/>
    <x v="1"/>
    <x v="1"/>
    <x v="4"/>
    <s v="Beijing"/>
    <s v="OFF-ST-10003692"/>
    <s v="Office Supplies"/>
    <s v="Storage"/>
    <s v="Recycled Steel Personal File for Hanging File Folders"/>
    <n v="494.42"/>
    <n v="70"/>
    <s v="S253"/>
    <x v="2"/>
    <s v="W38"/>
    <x v="2"/>
    <s v="UPS"/>
    <s v="Cape Town-New York"/>
    <n v="2637"/>
    <n v="382"/>
    <n v="9"/>
    <n v="288.72000000000003"/>
    <n v="145.82"/>
    <n v="434.54"/>
    <x v="1"/>
    <n v="0"/>
    <n v="95.93"/>
    <n v="476"/>
    <n v="434"/>
  </r>
  <r>
    <s v="O1000080"/>
    <s v="C2813"/>
    <x v="75"/>
    <d v="2024-06-11T00:00:00"/>
    <x v="2"/>
    <x v="1"/>
    <x v="3"/>
    <s v="Mumbai"/>
    <s v="OFF-BI-10000343"/>
    <s v="Office Supplies"/>
    <s v="Binders"/>
    <s v="Pressboard Covers with Storage Hooks, 9 1/2&quot; x 11&quot;, Light Blue"/>
    <n v="318.36"/>
    <n v="32"/>
    <s v="S162"/>
    <x v="0"/>
    <s v="W14"/>
    <x v="2"/>
    <s v="BlueDart"/>
    <s v="Berlin-Toronto"/>
    <n v="2040"/>
    <n v="449"/>
    <n v="17"/>
    <n v="1988.88"/>
    <n v="48.76"/>
    <n v="2037.64"/>
    <x v="1"/>
    <n v="0"/>
    <n v="82.41"/>
    <n v="341"/>
    <n v="328"/>
  </r>
  <r>
    <s v="O1000081"/>
    <s v="C9596"/>
    <x v="76"/>
    <d v="2023-08-17T00:00:00"/>
    <x v="2"/>
    <x v="3"/>
    <x v="0"/>
    <s v="London"/>
    <s v="OFF-PA-10001204"/>
    <s v="Office Supplies"/>
    <s v="Paper"/>
    <s v="Xerox 1972"/>
    <n v="66.62"/>
    <n v="91"/>
    <s v="S565"/>
    <x v="3"/>
    <s v="W35"/>
    <x v="0"/>
    <s v="Maersk"/>
    <s v="Cape Town-Mumbai"/>
    <n v="322"/>
    <n v="157"/>
    <n v="13"/>
    <n v="482.06"/>
    <n v="470.6"/>
    <n v="952.66000000000008"/>
    <x v="1"/>
    <n v="0"/>
    <n v="96.56"/>
    <n v="428"/>
    <n v="400"/>
  </r>
  <r>
    <s v="O1000082"/>
    <s v="C3541"/>
    <x v="77"/>
    <d v="2023-04-10T00:00:00"/>
    <x v="1"/>
    <x v="1"/>
    <x v="4"/>
    <s v="Beijing"/>
    <s v="OFF-ST-10000991"/>
    <s v="Office Supplies"/>
    <s v="Storage"/>
    <s v="Space Solutions HD Industrial Steel Shelving."/>
    <n v="382.6"/>
    <n v="58"/>
    <s v="S148"/>
    <x v="3"/>
    <s v="W35"/>
    <x v="3"/>
    <s v="UPS"/>
    <s v="Beijing-London"/>
    <n v="4787"/>
    <n v="251"/>
    <n v="5"/>
    <n v="766.38"/>
    <n v="397.16"/>
    <n v="1163.54"/>
    <x v="1"/>
    <n v="0"/>
    <n v="98.72"/>
    <n v="159"/>
    <n v="199"/>
  </r>
  <r>
    <s v="O1000083"/>
    <s v="C9877"/>
    <x v="78"/>
    <d v="2022-10-26T00:00:00"/>
    <x v="0"/>
    <x v="1"/>
    <x v="6"/>
    <s v="São Paulo"/>
    <s v="FUR-BO-10003966"/>
    <s v="Furniture"/>
    <s v="Bookcases"/>
    <s v="Sauder Facets Collection Library, Sky Alder Finish"/>
    <n v="265.38"/>
    <n v="3"/>
    <s v="S897"/>
    <x v="4"/>
    <s v="W31"/>
    <x v="3"/>
    <s v="BlueDart"/>
    <s v="São Paulo-New York"/>
    <n v="4928"/>
    <n v="263"/>
    <n v="16"/>
    <n v="230.38"/>
    <n v="481.69"/>
    <n v="712.06999999999994"/>
    <x v="0"/>
    <n v="8"/>
    <n v="71.47"/>
    <n v="64"/>
    <n v="85"/>
  </r>
  <r>
    <s v="O1000084"/>
    <s v="C4954"/>
    <x v="79"/>
    <d v="2023-02-28T00:00:00"/>
    <x v="2"/>
    <x v="2"/>
    <x v="1"/>
    <s v="Toronto"/>
    <s v="TEC-AC-10001432"/>
    <s v="Technology"/>
    <s v="Accessories"/>
    <s v="Enermax Aurora Lite Keyboard"/>
    <n v="345.62"/>
    <n v="94"/>
    <s v="S393"/>
    <x v="4"/>
    <s v="W16"/>
    <x v="2"/>
    <s v="DHL"/>
    <s v="New York-Beijing"/>
    <n v="2578"/>
    <n v="194"/>
    <n v="20"/>
    <n v="740.63"/>
    <n v="466.35"/>
    <n v="1206.98"/>
    <x v="1"/>
    <n v="0"/>
    <n v="72.010000000000005"/>
    <n v="271"/>
    <n v="273"/>
  </r>
  <r>
    <s v="O1000085"/>
    <s v="C1507"/>
    <x v="80"/>
    <d v="2022-07-31T00:00:00"/>
    <x v="2"/>
    <x v="4"/>
    <x v="0"/>
    <s v="Mumbai"/>
    <s v="OFF-BI-10000666"/>
    <s v="Office Supplies"/>
    <s v="Binders"/>
    <s v="Surelock Post Binders"/>
    <n v="202.34"/>
    <n v="90"/>
    <s v="S369"/>
    <x v="4"/>
    <s v="W30"/>
    <x v="3"/>
    <s v="UPS"/>
    <s v="Toronto-Toronto"/>
    <n v="1813"/>
    <n v="355"/>
    <n v="18"/>
    <n v="1709.45"/>
    <n v="52.8"/>
    <n v="1762.25"/>
    <x v="1"/>
    <n v="0"/>
    <n v="77.23"/>
    <n v="150"/>
    <n v="173"/>
  </r>
  <r>
    <s v="O1000086"/>
    <s v="C8854"/>
    <x v="44"/>
    <d v="2023-08-07T00:00:00"/>
    <x v="2"/>
    <x v="4"/>
    <x v="1"/>
    <s v="Mumbai"/>
    <s v="OFF-FA-10001843"/>
    <s v="Office Supplies"/>
    <s v="Fasteners"/>
    <s v="Staples"/>
    <n v="334.08"/>
    <n v="31"/>
    <s v="S988"/>
    <x v="1"/>
    <s v="W44"/>
    <x v="1"/>
    <s v="DHL"/>
    <s v="Berlin-New York"/>
    <n v="285"/>
    <n v="358"/>
    <n v="22"/>
    <n v="75.290000000000006"/>
    <n v="59.79"/>
    <n v="135.08000000000001"/>
    <x v="1"/>
    <n v="0"/>
    <n v="78.28"/>
    <n v="106"/>
    <n v="91"/>
  </r>
  <r>
    <s v="O1000087"/>
    <s v="C5795"/>
    <x v="81"/>
    <d v="2021-10-04T00:00:00"/>
    <x v="2"/>
    <x v="0"/>
    <x v="4"/>
    <s v="Berlin"/>
    <s v="TEC-PH-10002890"/>
    <s v="Technology"/>
    <s v="Phones"/>
    <s v="AT&amp;T 17929 Lendline Telephone"/>
    <n v="138.94"/>
    <n v="63"/>
    <s v="S522"/>
    <x v="1"/>
    <s v="W23"/>
    <x v="2"/>
    <s v="DHL"/>
    <s v="Cape Town-Toronto"/>
    <n v="2031"/>
    <n v="394"/>
    <n v="10"/>
    <n v="307.20999999999998"/>
    <n v="404.94"/>
    <n v="712.15"/>
    <x v="0"/>
    <n v="6"/>
    <n v="93.45"/>
    <n v="269"/>
    <n v="276"/>
  </r>
  <r>
    <s v="O1000088"/>
    <s v="C3846"/>
    <x v="82"/>
    <d v="2022-06-10T00:00:00"/>
    <x v="2"/>
    <x v="4"/>
    <x v="1"/>
    <s v="Beijing"/>
    <s v="OFF-BI-10002827"/>
    <s v="Office Supplies"/>
    <s v="Binders"/>
    <s v="Avery Durable Poly Binders"/>
    <n v="193.87"/>
    <n v="60"/>
    <s v="S995"/>
    <x v="0"/>
    <s v="W41"/>
    <x v="2"/>
    <s v="FedEx"/>
    <s v="Mumbai-Mumbai"/>
    <n v="314"/>
    <n v="197"/>
    <n v="19"/>
    <n v="562.65"/>
    <n v="216.69"/>
    <n v="779.33999999999992"/>
    <x v="1"/>
    <n v="0"/>
    <n v="98.85"/>
    <n v="422"/>
    <n v="435"/>
  </r>
  <r>
    <s v="O1000089"/>
    <s v="C3309"/>
    <x v="83"/>
    <d v="2020-09-10T00:00:00"/>
    <x v="2"/>
    <x v="3"/>
    <x v="7"/>
    <s v="Beijing"/>
    <s v="OFF-BI-10004593"/>
    <s v="Office Supplies"/>
    <s v="Binders"/>
    <s v="Ibico Laser Imprintable Binding System Covers"/>
    <n v="260.93"/>
    <n v="54"/>
    <s v="S801"/>
    <x v="4"/>
    <s v="W13"/>
    <x v="1"/>
    <s v="FedEx"/>
    <s v="London-Mumbai"/>
    <n v="1922"/>
    <n v="247"/>
    <n v="18"/>
    <n v="250.84"/>
    <n v="235.61"/>
    <n v="486.45"/>
    <x v="0"/>
    <n v="4"/>
    <n v="85.03"/>
    <n v="199"/>
    <n v="247"/>
  </r>
  <r>
    <s v="O1000090"/>
    <s v="C3502"/>
    <x v="84"/>
    <d v="2024-10-29T00:00:00"/>
    <x v="2"/>
    <x v="0"/>
    <x v="3"/>
    <s v="New York"/>
    <s v="OFF-BI-10003676"/>
    <s v="Office Supplies"/>
    <s v="Binders"/>
    <s v="GBC Standard Recycled Report Covers, Clear Plastic Sheets"/>
    <n v="131.12"/>
    <n v="19"/>
    <s v="S312"/>
    <x v="4"/>
    <s v="W14"/>
    <x v="0"/>
    <s v="FedEx"/>
    <s v="Beijing-Cape Town"/>
    <n v="981"/>
    <n v="383"/>
    <n v="19"/>
    <n v="499.6"/>
    <n v="298.77"/>
    <n v="798.37"/>
    <x v="1"/>
    <n v="0"/>
    <n v="93.08"/>
    <n v="290"/>
    <n v="292"/>
  </r>
  <r>
    <s v="O1000091"/>
    <s v="C1182"/>
    <x v="85"/>
    <d v="2023-03-13T00:00:00"/>
    <x v="2"/>
    <x v="3"/>
    <x v="2"/>
    <s v="Beijing"/>
    <s v="OFF-BI-10004230"/>
    <s v="Office Supplies"/>
    <s v="Binders"/>
    <s v="GBC Recycled Grain Textured Covers"/>
    <n v="344.87"/>
    <n v="64"/>
    <s v="S310"/>
    <x v="4"/>
    <s v="W37"/>
    <x v="2"/>
    <s v="BlueDart"/>
    <s v="Cape Town-Beijing"/>
    <n v="573"/>
    <n v="266"/>
    <n v="22"/>
    <n v="911.46"/>
    <n v="432.92"/>
    <n v="1344.38"/>
    <x v="1"/>
    <n v="0"/>
    <n v="71.239999999999995"/>
    <n v="182"/>
    <n v="139"/>
  </r>
  <r>
    <s v="O1000092"/>
    <s v="C5319"/>
    <x v="86"/>
    <d v="2024-05-09T00:00:00"/>
    <x v="2"/>
    <x v="1"/>
    <x v="3"/>
    <s v="New York"/>
    <s v="OFF-PA-10000350"/>
    <s v="Office Supplies"/>
    <s v="Paper"/>
    <s v="Message Book, Standard Line &quot;While You Were Out&quot;, 5 1/2&quot; X 4&quot;, 200 Sets/Book"/>
    <n v="480.26"/>
    <n v="49"/>
    <s v="S550"/>
    <x v="3"/>
    <s v="W20"/>
    <x v="1"/>
    <s v="Maersk"/>
    <s v="London-Cape Town"/>
    <n v="19"/>
    <n v="294"/>
    <n v="13"/>
    <n v="1232.99"/>
    <n v="204.09"/>
    <n v="1437.08"/>
    <x v="1"/>
    <n v="0"/>
    <n v="79.959999999999994"/>
    <n v="159"/>
    <n v="201"/>
  </r>
  <r>
    <s v="O1000093"/>
    <s v="C5567"/>
    <x v="87"/>
    <d v="2022-06-16T00:00:00"/>
    <x v="2"/>
    <x v="1"/>
    <x v="4"/>
    <s v="London"/>
    <s v="OFF-BI-10001196"/>
    <s v="Office Supplies"/>
    <s v="Binders"/>
    <s v="Avery Flip-Chart Easel Binder, Black"/>
    <n v="396.85"/>
    <n v="11"/>
    <s v="S166"/>
    <x v="1"/>
    <s v="W38"/>
    <x v="1"/>
    <s v="BlueDart"/>
    <s v="New York-Toronto"/>
    <n v="4611"/>
    <n v="314"/>
    <n v="9"/>
    <n v="447.65"/>
    <n v="407.79"/>
    <n v="855.44"/>
    <x v="1"/>
    <n v="0"/>
    <n v="78.97"/>
    <n v="326"/>
    <n v="359"/>
  </r>
  <r>
    <s v="O1000094"/>
    <s v="C4479"/>
    <x v="88"/>
    <d v="2022-02-02T00:00:00"/>
    <x v="2"/>
    <x v="0"/>
    <x v="1"/>
    <s v="Toronto"/>
    <s v="OFF-LA-10002787"/>
    <s v="Office Supplies"/>
    <s v="Labels"/>
    <s v="Avery 480"/>
    <n v="202.73"/>
    <n v="60"/>
    <s v="S254"/>
    <x v="3"/>
    <s v="W44"/>
    <x v="0"/>
    <s v="FedEx"/>
    <s v="New York-Mumbai"/>
    <n v="3869"/>
    <n v="326"/>
    <n v="16"/>
    <n v="136.93"/>
    <n v="71.87"/>
    <n v="208.8"/>
    <x v="1"/>
    <n v="0"/>
    <n v="84.22"/>
    <n v="134"/>
    <n v="150"/>
  </r>
  <r>
    <s v="O1000095"/>
    <s v="C3143"/>
    <x v="89"/>
    <d v="2021-07-20T00:00:00"/>
    <x v="2"/>
    <x v="1"/>
    <x v="5"/>
    <s v="Berlin"/>
    <s v="TEC-PH-10001615"/>
    <s v="Technology"/>
    <s v="Phones"/>
    <s v="AT&amp;T CL82213"/>
    <n v="299.20999999999998"/>
    <n v="6"/>
    <s v="S690"/>
    <x v="3"/>
    <s v="W32"/>
    <x v="2"/>
    <s v="UPS"/>
    <s v="Mumbai-Toronto"/>
    <n v="1359"/>
    <n v="492"/>
    <n v="19"/>
    <n v="990.92"/>
    <n v="227.18"/>
    <n v="1218.0999999999999"/>
    <x v="1"/>
    <n v="0"/>
    <n v="95.45"/>
    <n v="383"/>
    <n v="368"/>
  </r>
  <r>
    <s v="O1000096"/>
    <s v="C3261"/>
    <x v="90"/>
    <d v="2020-07-04T00:00:00"/>
    <x v="2"/>
    <x v="2"/>
    <x v="2"/>
    <s v="São Paulo"/>
    <s v="TEC-PH-10003645"/>
    <s v="Technology"/>
    <s v="Phones"/>
    <s v="Aastra 57i VoIP phone"/>
    <n v="384.51"/>
    <n v="4"/>
    <s v="S674"/>
    <x v="1"/>
    <s v="W27"/>
    <x v="1"/>
    <s v="FedEx"/>
    <s v="London-London"/>
    <n v="3902"/>
    <n v="428"/>
    <n v="12"/>
    <n v="1950.62"/>
    <n v="262.37"/>
    <n v="2212.9899999999998"/>
    <x v="0"/>
    <n v="5"/>
    <n v="86.75"/>
    <n v="241"/>
    <n v="281"/>
  </r>
  <r>
    <s v="O1000097"/>
    <s v="C3141"/>
    <x v="91"/>
    <d v="2023-03-26T00:00:00"/>
    <x v="2"/>
    <x v="2"/>
    <x v="6"/>
    <s v="Cape Town"/>
    <s v="OFF-ST-10001558"/>
    <s v="Office Supplies"/>
    <s v="Storage"/>
    <s v="Acco Perma 4000 Stacking Storage Drawers"/>
    <n v="257.55"/>
    <n v="98"/>
    <s v="S349"/>
    <x v="2"/>
    <s v="W39"/>
    <x v="3"/>
    <s v="BlueDart"/>
    <s v="Cape Town-São Paulo"/>
    <n v="1335"/>
    <n v="465"/>
    <n v="17"/>
    <n v="1186.31"/>
    <n v="225.66"/>
    <n v="1411.97"/>
    <x v="1"/>
    <n v="0"/>
    <n v="72.88"/>
    <n v="53"/>
    <n v="45"/>
  </r>
  <r>
    <s v="O1000098"/>
    <s v="C4662"/>
    <x v="92"/>
    <d v="2024-10-01T00:00:00"/>
    <x v="2"/>
    <x v="2"/>
    <x v="0"/>
    <s v="Mumbai"/>
    <s v="TEC-AC-10000710"/>
    <s v="Technology"/>
    <s v="Accessories"/>
    <s v="Maxell DVD-RAM Discs"/>
    <n v="343.74"/>
    <n v="80"/>
    <s v="S347"/>
    <x v="1"/>
    <s v="W14"/>
    <x v="1"/>
    <s v="DHL"/>
    <s v="London-Mumbai"/>
    <n v="3407"/>
    <n v="254"/>
    <n v="11"/>
    <n v="1259.18"/>
    <n v="159.79"/>
    <n v="1418.97"/>
    <x v="1"/>
    <n v="0"/>
    <n v="83.31"/>
    <n v="127"/>
    <n v="137"/>
  </r>
  <r>
    <s v="O1000099"/>
    <s v="C1633"/>
    <x v="93"/>
    <d v="2020-04-06T00:00:00"/>
    <x v="1"/>
    <x v="2"/>
    <x v="0"/>
    <s v="New York"/>
    <s v="FUR-FU-10002111"/>
    <s v="Furniture"/>
    <s v="Furnishings"/>
    <s v="Master Caster Door Stop, Large Brown"/>
    <n v="49.63"/>
    <n v="54"/>
    <s v="S438"/>
    <x v="3"/>
    <s v="W48"/>
    <x v="1"/>
    <s v="FedEx"/>
    <s v="Mumbai-Mumbai"/>
    <n v="4208"/>
    <n v="227"/>
    <n v="8"/>
    <n v="1611.64"/>
    <n v="298.77999999999997"/>
    <n v="1910.42"/>
    <x v="0"/>
    <n v="9"/>
    <n v="92.49"/>
    <n v="182"/>
    <n v="195"/>
  </r>
  <r>
    <s v="O1000100"/>
    <s v="C3638"/>
    <x v="94"/>
    <d v="2023-07-05T00:00:00"/>
    <x v="1"/>
    <x v="4"/>
    <x v="4"/>
    <s v="Mumbai"/>
    <s v="FUR-CH-10001146"/>
    <s v="Furniture"/>
    <s v="Chairs"/>
    <s v="Global Value Mid-Back Manager's Chair, Gray"/>
    <n v="217.4"/>
    <n v="52"/>
    <s v="S558"/>
    <x v="3"/>
    <s v="W44"/>
    <x v="1"/>
    <s v="BlueDart"/>
    <s v="Cape Town-Cape Town"/>
    <n v="3788"/>
    <n v="271"/>
    <n v="18"/>
    <n v="142.26"/>
    <n v="414.86"/>
    <n v="557.12"/>
    <x v="1"/>
    <n v="0"/>
    <n v="70.540000000000006"/>
    <n v="488"/>
    <n v="516"/>
  </r>
  <r>
    <s v="O1000101"/>
    <s v="C1912"/>
    <x v="95"/>
    <d v="2020-09-19T00:00:00"/>
    <x v="1"/>
    <x v="4"/>
    <x v="4"/>
    <s v="Berlin"/>
    <s v="FUR-FU-10002298"/>
    <s v="Furniture"/>
    <s v="Furnishings"/>
    <s v="Rubbermaid ClusterMat Chairmats, Mat Size- 66&quot; x 60&quot;, Lip 20&quot; x 11&quot; -90 Degree Angle"/>
    <n v="156.72999999999999"/>
    <n v="9"/>
    <s v="S176"/>
    <x v="2"/>
    <s v="W28"/>
    <x v="3"/>
    <s v="Maersk"/>
    <s v="Cape Town-Berlin"/>
    <n v="4586"/>
    <n v="75"/>
    <n v="15"/>
    <n v="1947.99"/>
    <n v="369.69"/>
    <n v="2317.6799999999998"/>
    <x v="1"/>
    <n v="0"/>
    <n v="86.63"/>
    <n v="433"/>
    <n v="422"/>
  </r>
  <r>
    <s v="O1000102"/>
    <s v="C6462"/>
    <x v="96"/>
    <d v="2021-08-05T00:00:00"/>
    <x v="2"/>
    <x v="4"/>
    <x v="5"/>
    <s v="Cape Town"/>
    <s v="FUR-TA-10003715"/>
    <s v="Furniture"/>
    <s v="Tables"/>
    <s v="Hon 2111 Invitation Series Corner Table"/>
    <n v="209.52"/>
    <n v="89"/>
    <s v="S594"/>
    <x v="1"/>
    <s v="W42"/>
    <x v="1"/>
    <s v="Maersk"/>
    <s v="New York-São Paulo"/>
    <n v="3490"/>
    <n v="147"/>
    <n v="21"/>
    <n v="279.87"/>
    <n v="299.02999999999997"/>
    <n v="578.9"/>
    <x v="1"/>
    <n v="0"/>
    <n v="71.27"/>
    <n v="497"/>
    <n v="517"/>
  </r>
  <r>
    <s v="O1000103"/>
    <s v="C2679"/>
    <x v="97"/>
    <d v="2020-10-30T00:00:00"/>
    <x v="1"/>
    <x v="3"/>
    <x v="2"/>
    <s v="Beijing"/>
    <s v="OFF-BI-10003291"/>
    <s v="Office Supplies"/>
    <s v="Binders"/>
    <s v="Wilson Jones Leather-Like Binders with DublLock Round Rings"/>
    <n v="104.74"/>
    <n v="35"/>
    <s v="S678"/>
    <x v="4"/>
    <s v="W4"/>
    <x v="0"/>
    <s v="UPS"/>
    <s v="São Paulo-Beijing"/>
    <n v="670"/>
    <n v="115"/>
    <n v="17"/>
    <n v="1865.24"/>
    <n v="376.87"/>
    <n v="2242.11"/>
    <x v="0"/>
    <n v="11"/>
    <n v="96.13"/>
    <n v="106"/>
    <n v="112"/>
  </r>
  <r>
    <s v="O1000104"/>
    <s v="C1468"/>
    <x v="98"/>
    <d v="2021-01-25T00:00:00"/>
    <x v="1"/>
    <x v="2"/>
    <x v="2"/>
    <s v="Cape Town"/>
    <s v="OFF-BI-10004654"/>
    <s v="Office Supplies"/>
    <s v="Binders"/>
    <s v="VariCap6 Expandable Binder"/>
    <n v="390.23"/>
    <n v="1"/>
    <s v="S820"/>
    <x v="2"/>
    <s v="W3"/>
    <x v="3"/>
    <s v="Maersk"/>
    <s v="São Paulo-Beijing"/>
    <n v="115"/>
    <n v="255"/>
    <n v="22"/>
    <n v="178.97"/>
    <n v="485.39"/>
    <n v="664.36"/>
    <x v="1"/>
    <n v="0"/>
    <n v="70.25"/>
    <n v="381"/>
    <n v="343"/>
  </r>
  <r>
    <s v="O1000105"/>
    <s v="C6118"/>
    <x v="99"/>
    <d v="2020-08-29T00:00:00"/>
    <x v="1"/>
    <x v="4"/>
    <x v="4"/>
    <s v="Mumbai"/>
    <s v="OFF-BI-10004728"/>
    <s v="Office Supplies"/>
    <s v="Binders"/>
    <s v="Wilson Jones Turn Tabs Binder Tool for Ring Binders"/>
    <n v="344.38"/>
    <n v="33"/>
    <s v="S302"/>
    <x v="0"/>
    <s v="W33"/>
    <x v="2"/>
    <s v="Maersk"/>
    <s v="Berlin-Mumbai"/>
    <n v="4476"/>
    <n v="428"/>
    <n v="25"/>
    <n v="223.51"/>
    <n v="23.44"/>
    <n v="246.95"/>
    <x v="1"/>
    <n v="0"/>
    <n v="91.77"/>
    <n v="369"/>
    <n v="386"/>
  </r>
  <r>
    <s v="O1000106"/>
    <s v="C3637"/>
    <x v="100"/>
    <d v="2021-01-09T00:00:00"/>
    <x v="2"/>
    <x v="4"/>
    <x v="1"/>
    <s v="London"/>
    <s v="OFF-LA-10004853"/>
    <s v="Office Supplies"/>
    <s v="Labels"/>
    <s v="Avery 483"/>
    <n v="386.66"/>
    <n v="15"/>
    <s v="S563"/>
    <x v="4"/>
    <s v="W18"/>
    <x v="1"/>
    <s v="UPS"/>
    <s v="Toronto-São Paulo"/>
    <n v="247"/>
    <n v="109"/>
    <n v="27"/>
    <n v="1838.77"/>
    <n v="322.49"/>
    <n v="2161.2600000000002"/>
    <x v="1"/>
    <n v="0"/>
    <n v="97.31"/>
    <n v="67"/>
    <n v="62"/>
  </r>
  <r>
    <s v="O1000107"/>
    <s v="C1558"/>
    <x v="101"/>
    <d v="2020-09-27T00:00:00"/>
    <x v="2"/>
    <x v="1"/>
    <x v="0"/>
    <s v="São Paulo"/>
    <s v="OFF-ST-10002583"/>
    <s v="Office Supplies"/>
    <s v="Storage"/>
    <s v="Fellowes Neat Ideas Storage Cubes"/>
    <n v="368.24"/>
    <n v="71"/>
    <s v="S803"/>
    <x v="2"/>
    <s v="W31"/>
    <x v="3"/>
    <s v="BlueDart"/>
    <s v="São Paulo-Toronto"/>
    <n v="4821"/>
    <n v="406"/>
    <n v="12"/>
    <n v="638.46"/>
    <n v="439.14"/>
    <n v="1077.5999999999999"/>
    <x v="1"/>
    <n v="0"/>
    <n v="90.38"/>
    <n v="67"/>
    <n v="80"/>
  </r>
  <r>
    <s v="O1000108"/>
    <s v="C1894"/>
    <x v="102"/>
    <d v="2021-05-29T00:00:00"/>
    <x v="2"/>
    <x v="0"/>
    <x v="7"/>
    <s v="London"/>
    <s v="TEC-AC-10001432"/>
    <s v="Technology"/>
    <s v="Accessories"/>
    <s v="Enermax Aurora Lite Keyboard"/>
    <n v="90.27"/>
    <n v="98"/>
    <s v="S150"/>
    <x v="4"/>
    <s v="W34"/>
    <x v="1"/>
    <s v="FedEx"/>
    <s v="London-Mumbai"/>
    <n v="2529"/>
    <n v="370"/>
    <n v="9"/>
    <n v="1532.54"/>
    <n v="326.29000000000002"/>
    <n v="1858.83"/>
    <x v="1"/>
    <n v="0"/>
    <n v="83.69"/>
    <n v="157"/>
    <n v="153"/>
  </r>
  <r>
    <s v="O1000109"/>
    <s v="C8742"/>
    <x v="103"/>
    <d v="2023-04-01T00:00:00"/>
    <x v="2"/>
    <x v="0"/>
    <x v="4"/>
    <s v="Mumbai"/>
    <s v="FUR-CH-10000225"/>
    <s v="Furniture"/>
    <s v="Chairs"/>
    <s v="Global Geo Office Task Chair, Gray"/>
    <n v="61.83"/>
    <n v="60"/>
    <s v="S958"/>
    <x v="1"/>
    <s v="W1"/>
    <x v="3"/>
    <s v="BlueDart"/>
    <s v="Beijing-Mumbai"/>
    <n v="804"/>
    <n v="137"/>
    <n v="11"/>
    <n v="1239.28"/>
    <n v="59.25"/>
    <n v="1298.53"/>
    <x v="1"/>
    <n v="0"/>
    <n v="84.49"/>
    <n v="348"/>
    <n v="390"/>
  </r>
  <r>
    <s v="O1000110"/>
    <s v="C1627"/>
    <x v="104"/>
    <d v="2023-02-08T00:00:00"/>
    <x v="1"/>
    <x v="2"/>
    <x v="6"/>
    <s v="Beijing"/>
    <s v="OFF-AP-10001293"/>
    <s v="Office Supplies"/>
    <s v="Appliances"/>
    <s v="Belkin 8 Outlet Surge Protector"/>
    <n v="310.95"/>
    <n v="46"/>
    <s v="S789"/>
    <x v="3"/>
    <s v="W19"/>
    <x v="3"/>
    <s v="Maersk"/>
    <s v="Cape Town-Toronto"/>
    <n v="1733"/>
    <n v="315"/>
    <n v="5"/>
    <n v="927.3"/>
    <n v="161.94"/>
    <n v="1089.24"/>
    <x v="1"/>
    <n v="0"/>
    <n v="79.069999999999993"/>
    <n v="104"/>
    <n v="91"/>
  </r>
  <r>
    <s v="O1000111"/>
    <s v="C9044"/>
    <x v="105"/>
    <d v="2021-02-07T00:00:00"/>
    <x v="2"/>
    <x v="3"/>
    <x v="3"/>
    <s v="Mumbai"/>
    <s v="OFF-PA-10000466"/>
    <s v="Office Supplies"/>
    <s v="Paper"/>
    <s v="Memo Book, 100 Message Capacity, 5 3/8” x 11”"/>
    <n v="258.52999999999997"/>
    <n v="53"/>
    <s v="S909"/>
    <x v="1"/>
    <s v="W7"/>
    <x v="2"/>
    <s v="UPS"/>
    <s v="Beijing-New York"/>
    <n v="2630"/>
    <n v="320"/>
    <n v="8"/>
    <n v="663.06"/>
    <n v="41.62"/>
    <n v="704.68"/>
    <x v="1"/>
    <n v="0"/>
    <n v="86.41"/>
    <n v="162"/>
    <n v="166"/>
  </r>
  <r>
    <s v="O1000112"/>
    <s v="C1734"/>
    <x v="106"/>
    <d v="2020-04-14T00:00:00"/>
    <x v="1"/>
    <x v="0"/>
    <x v="6"/>
    <s v="São Paulo"/>
    <s v="OFF-SU-10000157"/>
    <s v="Office Supplies"/>
    <s v="Supplies"/>
    <s v="Compact Automatic Electric Letter Opener"/>
    <n v="476.17"/>
    <n v="46"/>
    <s v="S625"/>
    <x v="2"/>
    <s v="W12"/>
    <x v="1"/>
    <s v="BlueDart"/>
    <s v="Toronto-New York"/>
    <n v="661"/>
    <n v="447"/>
    <n v="29"/>
    <n v="1143.97"/>
    <n v="304.23"/>
    <n v="1448.2"/>
    <x v="1"/>
    <n v="0"/>
    <n v="97.79"/>
    <n v="386"/>
    <n v="344"/>
  </r>
  <r>
    <s v="O1000113"/>
    <s v="C7151"/>
    <x v="107"/>
    <d v="2021-07-11T00:00:00"/>
    <x v="2"/>
    <x v="2"/>
    <x v="6"/>
    <s v="New York"/>
    <s v="TEC-AC-10000736"/>
    <s v="Technology"/>
    <s v="Accessories"/>
    <s v="Logitech G600 MMO Gaming Mouse"/>
    <n v="148.63999999999999"/>
    <n v="30"/>
    <s v="S809"/>
    <x v="0"/>
    <s v="W33"/>
    <x v="2"/>
    <s v="UPS"/>
    <s v="Toronto-Toronto"/>
    <n v="3938"/>
    <n v="284"/>
    <n v="20"/>
    <n v="1829.71"/>
    <n v="454.91"/>
    <n v="2284.62"/>
    <x v="0"/>
    <n v="14"/>
    <n v="80.959999999999994"/>
    <n v="409"/>
    <n v="361"/>
  </r>
  <r>
    <s v="O1000114"/>
    <s v="C8759"/>
    <x v="108"/>
    <d v="2020-06-17T00:00:00"/>
    <x v="2"/>
    <x v="4"/>
    <x v="6"/>
    <s v="Mumbai"/>
    <s v="OFF-BI-10001031"/>
    <s v="Office Supplies"/>
    <s v="Binders"/>
    <s v="Pressboard Data Binders by Wilson Jones"/>
    <n v="488.97"/>
    <n v="47"/>
    <s v="S297"/>
    <x v="0"/>
    <s v="W32"/>
    <x v="0"/>
    <s v="UPS"/>
    <s v="Cape Town-New York"/>
    <n v="853"/>
    <n v="104"/>
    <n v="8"/>
    <n v="378"/>
    <n v="301.51"/>
    <n v="679.51"/>
    <x v="1"/>
    <n v="0"/>
    <n v="96.02"/>
    <n v="80"/>
    <n v="73"/>
  </r>
  <r>
    <s v="O1000115"/>
    <s v="C7231"/>
    <x v="109"/>
    <d v="2023-11-26T00:00:00"/>
    <x v="2"/>
    <x v="0"/>
    <x v="0"/>
    <s v="Toronto"/>
    <s v="OFF-AP-10001303"/>
    <s v="Office Supplies"/>
    <s v="Appliances"/>
    <s v="Holmes Cool Mist Humidifier for the Whole House with 8-Gallon Output per Day, Extended Life Filter"/>
    <n v="135.5"/>
    <n v="83"/>
    <s v="S303"/>
    <x v="1"/>
    <s v="W43"/>
    <x v="1"/>
    <s v="BlueDart"/>
    <s v="Toronto-Cape Town"/>
    <n v="1583"/>
    <n v="189"/>
    <n v="24"/>
    <n v="731.71"/>
    <n v="472.48"/>
    <n v="1204.19"/>
    <x v="1"/>
    <n v="0"/>
    <n v="80.03"/>
    <n v="154"/>
    <n v="189"/>
  </r>
  <r>
    <s v="O1000116"/>
    <s v="C1888"/>
    <x v="110"/>
    <d v="2020-03-28T00:00:00"/>
    <x v="2"/>
    <x v="4"/>
    <x v="6"/>
    <s v="London"/>
    <s v="OFF-BI-10002012"/>
    <s v="Office Supplies"/>
    <s v="Binders"/>
    <s v="Wilson Jones Easy Flow II Sheet Lifters"/>
    <n v="367.64"/>
    <n v="11"/>
    <s v="S362"/>
    <x v="0"/>
    <s v="W47"/>
    <x v="2"/>
    <s v="FedEx"/>
    <s v="Toronto-Cape Town"/>
    <n v="2987"/>
    <n v="178"/>
    <n v="10"/>
    <n v="571.88"/>
    <n v="241.84"/>
    <n v="813.72"/>
    <x v="1"/>
    <n v="0"/>
    <n v="85.19"/>
    <n v="445"/>
    <n v="480"/>
  </r>
  <r>
    <s v="O1000117"/>
    <s v="C6371"/>
    <x v="111"/>
    <d v="2022-01-14T00:00:00"/>
    <x v="2"/>
    <x v="1"/>
    <x v="6"/>
    <s v="Toronto"/>
    <s v="OFF-AR-10003631"/>
    <s v="Office Supplies"/>
    <s v="Art"/>
    <s v="Staples in misc. colors"/>
    <n v="112.02"/>
    <n v="37"/>
    <s v="S499"/>
    <x v="3"/>
    <s v="W13"/>
    <x v="2"/>
    <s v="DHL"/>
    <s v="London-Toronto"/>
    <n v="1785"/>
    <n v="118"/>
    <n v="15"/>
    <n v="1334.92"/>
    <n v="206.15"/>
    <n v="1541.07"/>
    <x v="1"/>
    <n v="0"/>
    <n v="97.83"/>
    <n v="91"/>
    <n v="54"/>
  </r>
  <r>
    <s v="O1000118"/>
    <s v="C8386"/>
    <x v="112"/>
    <d v="2021-12-09T00:00:00"/>
    <x v="2"/>
    <x v="2"/>
    <x v="5"/>
    <s v="Beijing"/>
    <s v="FUR-FU-10002396"/>
    <s v="Furniture"/>
    <s v="Furnishings"/>
    <s v="DAX Copper Panel Document Frame, 5 x 7 Size"/>
    <n v="347.75"/>
    <n v="82"/>
    <s v="S522"/>
    <x v="0"/>
    <s v="W27"/>
    <x v="1"/>
    <s v="FedEx"/>
    <s v="Toronto-Cape Town"/>
    <n v="1340"/>
    <n v="435"/>
    <n v="1"/>
    <n v="1468.85"/>
    <n v="48.82"/>
    <n v="1517.67"/>
    <x v="1"/>
    <n v="0"/>
    <n v="97.01"/>
    <n v="469"/>
    <n v="512"/>
  </r>
  <r>
    <s v="O1000119"/>
    <s v="C2163"/>
    <x v="113"/>
    <d v="2023-09-22T00:00:00"/>
    <x v="2"/>
    <x v="4"/>
    <x v="3"/>
    <s v="Berlin"/>
    <s v="OFF-ST-10000321"/>
    <s v="Office Supplies"/>
    <s v="Storage"/>
    <s v="Akro Stacking Bins"/>
    <n v="119.91"/>
    <n v="96"/>
    <s v="S152"/>
    <x v="3"/>
    <s v="W8"/>
    <x v="2"/>
    <s v="Maersk"/>
    <s v="London-Beijing"/>
    <n v="541"/>
    <n v="477"/>
    <n v="17"/>
    <n v="327.96"/>
    <n v="136.38"/>
    <n v="464.34"/>
    <x v="0"/>
    <n v="7"/>
    <n v="81.98"/>
    <n v="114"/>
    <n v="118"/>
  </r>
  <r>
    <s v="O1000120"/>
    <s v="C6193"/>
    <x v="114"/>
    <d v="2020-05-13T00:00:00"/>
    <x v="1"/>
    <x v="0"/>
    <x v="2"/>
    <s v="São Paulo"/>
    <s v="FUR-FU-10000221"/>
    <s v="Furniture"/>
    <s v="Furnishings"/>
    <s v="Master Caster Door Stop, Brown"/>
    <n v="96.03"/>
    <n v="30"/>
    <s v="S142"/>
    <x v="3"/>
    <s v="W12"/>
    <x v="2"/>
    <s v="Maersk"/>
    <s v="London-São Paulo"/>
    <n v="1217"/>
    <n v="275"/>
    <n v="11"/>
    <n v="1462.65"/>
    <n v="137.94999999999999"/>
    <n v="1600.6"/>
    <x v="1"/>
    <n v="0"/>
    <n v="85.19"/>
    <n v="132"/>
    <n v="117"/>
  </r>
  <r>
    <s v="O1000121"/>
    <s v="C4126"/>
    <x v="115"/>
    <d v="2024-12-27T00:00:00"/>
    <x v="2"/>
    <x v="2"/>
    <x v="3"/>
    <s v="Toronto"/>
    <s v="OFF-PA-10003363"/>
    <s v="Office Supplies"/>
    <s v="Paper"/>
    <s v="Xerox 204"/>
    <n v="74.5"/>
    <n v="5"/>
    <s v="S886"/>
    <x v="0"/>
    <s v="W18"/>
    <x v="0"/>
    <s v="BlueDart"/>
    <s v="Beijing-Toronto"/>
    <n v="1121"/>
    <n v="54"/>
    <n v="15"/>
    <n v="635.11"/>
    <n v="435.32"/>
    <n v="1070.43"/>
    <x v="1"/>
    <n v="0"/>
    <n v="73.02"/>
    <n v="431"/>
    <n v="438"/>
  </r>
  <r>
    <s v="O1000122"/>
    <s v="C9218"/>
    <x v="116"/>
    <d v="2024-03-08T00:00:00"/>
    <x v="1"/>
    <x v="0"/>
    <x v="4"/>
    <s v="Beijing"/>
    <s v="TEC-AC-10001284"/>
    <s v="Technology"/>
    <s v="Accessories"/>
    <s v="Enermax Briskie RF Wireless Keyboard and Mouse Combo"/>
    <n v="449.82"/>
    <n v="47"/>
    <s v="S378"/>
    <x v="1"/>
    <s v="W44"/>
    <x v="1"/>
    <s v="UPS"/>
    <s v="Cape Town-Berlin"/>
    <n v="123"/>
    <n v="138"/>
    <n v="1"/>
    <n v="1618.62"/>
    <n v="297.57"/>
    <n v="1916.19"/>
    <x v="1"/>
    <n v="0"/>
    <n v="81.95"/>
    <n v="59"/>
    <n v="14"/>
  </r>
  <r>
    <s v="O1000123"/>
    <s v="C5646"/>
    <x v="117"/>
    <d v="2020-01-16T00:00:00"/>
    <x v="1"/>
    <x v="0"/>
    <x v="0"/>
    <s v="Mumbai"/>
    <s v="OFF-BI-10004094"/>
    <s v="Office Supplies"/>
    <s v="Binders"/>
    <s v="GBC Standard Plastic Binding Systems Combs"/>
    <n v="290.57"/>
    <n v="61"/>
    <s v="S414"/>
    <x v="2"/>
    <s v="W35"/>
    <x v="1"/>
    <s v="BlueDart"/>
    <s v="Berlin-São Paulo"/>
    <n v="4275"/>
    <n v="418"/>
    <n v="27"/>
    <n v="382.13"/>
    <n v="378.99"/>
    <n v="761.12"/>
    <x v="1"/>
    <n v="0"/>
    <n v="95.09"/>
    <n v="110"/>
    <n v="91"/>
  </r>
  <r>
    <s v="O1000124"/>
    <s v="C4902"/>
    <x v="118"/>
    <d v="2024-05-16T00:00:00"/>
    <x v="2"/>
    <x v="4"/>
    <x v="0"/>
    <s v="Beijing"/>
    <s v="OFF-PA-10001800"/>
    <s v="Office Supplies"/>
    <s v="Paper"/>
    <s v="Xerox 220"/>
    <n v="236.09"/>
    <n v="91"/>
    <s v="S297"/>
    <x v="1"/>
    <s v="W49"/>
    <x v="3"/>
    <s v="DHL"/>
    <s v="New York-New York"/>
    <n v="4999"/>
    <n v="453"/>
    <n v="23"/>
    <n v="1216.17"/>
    <n v="152.24"/>
    <n v="1368.41"/>
    <x v="1"/>
    <n v="0"/>
    <n v="88.91"/>
    <n v="157"/>
    <n v="135"/>
  </r>
  <r>
    <s v="O1000125"/>
    <s v="C7267"/>
    <x v="119"/>
    <d v="2021-07-03T00:00:00"/>
    <x v="0"/>
    <x v="0"/>
    <x v="4"/>
    <s v="Cape Town"/>
    <s v="OFF-BI-10000320"/>
    <s v="Office Supplies"/>
    <s v="Binders"/>
    <s v="GBC Plastic Binding Combs"/>
    <n v="109.91"/>
    <n v="60"/>
    <s v="S823"/>
    <x v="3"/>
    <s v="W16"/>
    <x v="3"/>
    <s v="UPS"/>
    <s v="London-Beijing"/>
    <n v="1759"/>
    <n v="473"/>
    <n v="12"/>
    <n v="194.23"/>
    <n v="326.69"/>
    <n v="520.91999999999996"/>
    <x v="1"/>
    <n v="0"/>
    <n v="83.49"/>
    <n v="318"/>
    <n v="357"/>
  </r>
  <r>
    <s v="O1000126"/>
    <s v="C3614"/>
    <x v="120"/>
    <d v="2023-04-05T00:00:00"/>
    <x v="2"/>
    <x v="0"/>
    <x v="1"/>
    <s v="New York"/>
    <s v="OFF-LA-10004425"/>
    <s v="Office Supplies"/>
    <s v="Labels"/>
    <s v="Staple-on labels"/>
    <n v="84"/>
    <n v="82"/>
    <s v="S513"/>
    <x v="4"/>
    <s v="W30"/>
    <x v="0"/>
    <s v="BlueDart"/>
    <s v="Mumbai-Mumbai"/>
    <n v="4775"/>
    <n v="161"/>
    <n v="26"/>
    <n v="626.12"/>
    <n v="457.98"/>
    <n v="1084.0999999999999"/>
    <x v="1"/>
    <n v="0"/>
    <n v="84.38"/>
    <n v="304"/>
    <n v="286"/>
  </r>
  <r>
    <s v="O1000127"/>
    <s v="C6328"/>
    <x v="121"/>
    <d v="2023-02-12T00:00:00"/>
    <x v="0"/>
    <x v="4"/>
    <x v="6"/>
    <s v="Toronto"/>
    <s v="OFF-PA-10000069"/>
    <s v="Office Supplies"/>
    <s v="Paper"/>
    <s v="TOPS 4 x 6 Fluorescent Color Memo Sheets, 500 Sheets per Pack"/>
    <n v="405.48"/>
    <n v="68"/>
    <s v="S866"/>
    <x v="4"/>
    <s v="W40"/>
    <x v="3"/>
    <s v="DHL"/>
    <s v="Beijing-Toronto"/>
    <n v="4156"/>
    <n v="196"/>
    <n v="22"/>
    <n v="1465.45"/>
    <n v="399.02"/>
    <n v="1864.47"/>
    <x v="1"/>
    <n v="0"/>
    <n v="93.84"/>
    <n v="179"/>
    <n v="221"/>
  </r>
  <r>
    <s v="O1000128"/>
    <s v="C6034"/>
    <x v="67"/>
    <d v="2021-12-27T00:00:00"/>
    <x v="1"/>
    <x v="4"/>
    <x v="6"/>
    <s v="São Paulo"/>
    <s v="OFF-PA-10000174"/>
    <s v="Office Supplies"/>
    <s v="Paper"/>
    <s v="Message Book, Wirebound, Four 5 1/2&quot; X 4&quot; Forms/Pg., 200 Dupl. Sets/Book"/>
    <n v="174.3"/>
    <n v="44"/>
    <s v="S277"/>
    <x v="0"/>
    <s v="W41"/>
    <x v="3"/>
    <s v="FedEx"/>
    <s v="Mumbai-Beijing"/>
    <n v="3843"/>
    <n v="143"/>
    <n v="12"/>
    <n v="511.53"/>
    <n v="444.71"/>
    <n v="956.24"/>
    <x v="1"/>
    <n v="0"/>
    <n v="71.31"/>
    <n v="276"/>
    <n v="293"/>
  </r>
  <r>
    <s v="O1000129"/>
    <s v="C6764"/>
    <x v="122"/>
    <d v="2023-09-22T00:00:00"/>
    <x v="0"/>
    <x v="2"/>
    <x v="7"/>
    <s v="São Paulo"/>
    <s v="OFF-AR-10003560"/>
    <s v="Office Supplies"/>
    <s v="Art"/>
    <s v="Zebra Zazzle Fluorescent Highlighters"/>
    <n v="433.76"/>
    <n v="77"/>
    <s v="S465"/>
    <x v="4"/>
    <s v="W43"/>
    <x v="2"/>
    <s v="Maersk"/>
    <s v="Toronto-São Paulo"/>
    <n v="2214"/>
    <n v="80"/>
    <n v="18"/>
    <n v="124.32"/>
    <n v="181.16"/>
    <n v="305.48"/>
    <x v="1"/>
    <n v="0"/>
    <n v="87.48"/>
    <n v="397"/>
    <n v="363"/>
  </r>
  <r>
    <s v="O1000130"/>
    <s v="C3009"/>
    <x v="123"/>
    <d v="2020-02-14T00:00:00"/>
    <x v="2"/>
    <x v="4"/>
    <x v="6"/>
    <s v="New York"/>
    <s v="FUR-CH-10000863"/>
    <s v="Furniture"/>
    <s v="Chairs"/>
    <s v="Novimex Swivel Fabric Task Chair"/>
    <n v="162.28"/>
    <n v="18"/>
    <s v="S472"/>
    <x v="0"/>
    <s v="W41"/>
    <x v="0"/>
    <s v="FedEx"/>
    <s v="London-London"/>
    <n v="2264"/>
    <n v="327"/>
    <n v="8"/>
    <n v="1549.07"/>
    <n v="362.81"/>
    <n v="1911.88"/>
    <x v="1"/>
    <n v="0"/>
    <n v="98.42"/>
    <n v="206"/>
    <n v="192"/>
  </r>
  <r>
    <s v="O1000131"/>
    <s v="C1147"/>
    <x v="124"/>
    <d v="2021-02-11T00:00:00"/>
    <x v="0"/>
    <x v="2"/>
    <x v="6"/>
    <s v="Mumbai"/>
    <s v="FUR-CH-10001270"/>
    <s v="Furniture"/>
    <s v="Chairs"/>
    <s v="Harbour Creations Steel Folding Chair"/>
    <n v="459.38"/>
    <n v="76"/>
    <s v="S499"/>
    <x v="3"/>
    <s v="W29"/>
    <x v="0"/>
    <s v="BlueDart"/>
    <s v="São Paulo-Toronto"/>
    <n v="3027"/>
    <n v="260"/>
    <n v="3"/>
    <n v="1250.55"/>
    <n v="208.57"/>
    <n v="1459.12"/>
    <x v="1"/>
    <n v="0"/>
    <n v="75.989999999999995"/>
    <n v="289"/>
    <n v="281"/>
  </r>
  <r>
    <s v="O1000132"/>
    <s v="C3712"/>
    <x v="125"/>
    <d v="2021-05-08T00:00:00"/>
    <x v="1"/>
    <x v="4"/>
    <x v="3"/>
    <s v="London"/>
    <s v="FUR-CH-10004063"/>
    <s v="Furniture"/>
    <s v="Chairs"/>
    <s v="Global Deluxe High-Back Manager's Chair"/>
    <n v="412.6"/>
    <n v="49"/>
    <s v="S873"/>
    <x v="0"/>
    <s v="W10"/>
    <x v="3"/>
    <s v="FedEx"/>
    <s v="São Paulo-Toronto"/>
    <n v="271"/>
    <n v="273"/>
    <n v="10"/>
    <n v="1395.59"/>
    <n v="186.98"/>
    <n v="1582.57"/>
    <x v="1"/>
    <n v="0"/>
    <n v="85.41"/>
    <n v="245"/>
    <n v="221"/>
  </r>
  <r>
    <s v="O1000133"/>
    <s v="C3278"/>
    <x v="126"/>
    <d v="2022-12-01T00:00:00"/>
    <x v="1"/>
    <x v="1"/>
    <x v="7"/>
    <s v="Toronto"/>
    <s v="FUR-FU-10001095"/>
    <s v="Furniture"/>
    <s v="Furnishings"/>
    <s v="DAX Black Cherry Wood-Tone Poster Frame"/>
    <n v="375.05"/>
    <n v="11"/>
    <s v="S553"/>
    <x v="2"/>
    <s v="W1"/>
    <x v="0"/>
    <s v="Maersk"/>
    <s v="New York-Mumbai"/>
    <n v="259"/>
    <n v="493"/>
    <n v="4"/>
    <n v="735.12"/>
    <n v="149.18"/>
    <n v="884.3"/>
    <x v="1"/>
    <n v="0"/>
    <n v="89.08"/>
    <n v="90"/>
    <n v="66"/>
  </r>
  <r>
    <s v="O1000134"/>
    <s v="C8152"/>
    <x v="127"/>
    <d v="2020-06-10T00:00:00"/>
    <x v="1"/>
    <x v="4"/>
    <x v="2"/>
    <s v="New York"/>
    <s v="FUR-TA-10001866"/>
    <s v="Furniture"/>
    <s v="Tables"/>
    <s v="Bevis Round Conference Room Tables and Bases"/>
    <n v="370.23"/>
    <n v="60"/>
    <s v="S161"/>
    <x v="4"/>
    <s v="W8"/>
    <x v="0"/>
    <s v="BlueDart"/>
    <s v="London-Berlin"/>
    <n v="2944"/>
    <n v="443"/>
    <n v="7"/>
    <n v="782.81"/>
    <n v="455.08"/>
    <n v="1237.8900000000001"/>
    <x v="1"/>
    <n v="0"/>
    <n v="95.67"/>
    <n v="443"/>
    <n v="490"/>
  </r>
  <r>
    <s v="O1000135"/>
    <s v="C7943"/>
    <x v="128"/>
    <d v="2020-02-07T00:00:00"/>
    <x v="2"/>
    <x v="2"/>
    <x v="2"/>
    <s v="Cape Town"/>
    <s v="OFF-FA-10004395"/>
    <s v="Office Supplies"/>
    <s v="Fasteners"/>
    <s v="Plymouth Boxed Rubber Bands by Plymouth"/>
    <n v="160.32"/>
    <n v="64"/>
    <s v="S759"/>
    <x v="0"/>
    <s v="W17"/>
    <x v="1"/>
    <s v="UPS"/>
    <s v="London-Mumbai"/>
    <n v="4730"/>
    <n v="308"/>
    <n v="7"/>
    <n v="1498.63"/>
    <n v="346.9"/>
    <n v="1845.53"/>
    <x v="1"/>
    <n v="0"/>
    <n v="72.98"/>
    <n v="141"/>
    <n v="93"/>
  </r>
  <r>
    <s v="O1000136"/>
    <s v="C4204"/>
    <x v="129"/>
    <d v="2020-12-16T00:00:00"/>
    <x v="1"/>
    <x v="0"/>
    <x v="1"/>
    <s v="São Paulo"/>
    <s v="OFF-PA-10003036"/>
    <s v="Office Supplies"/>
    <s v="Paper"/>
    <s v="Black Print Carbonless 8 1/2&quot; x 8 1/4&quot; Rapid Memo Book"/>
    <n v="65.790000000000006"/>
    <n v="75"/>
    <s v="S363"/>
    <x v="1"/>
    <s v="W31"/>
    <x v="1"/>
    <s v="BlueDart"/>
    <s v="New York-São Paulo"/>
    <n v="125"/>
    <n v="337"/>
    <n v="25"/>
    <n v="1257.97"/>
    <n v="119.74"/>
    <n v="1377.71"/>
    <x v="1"/>
    <n v="0"/>
    <n v="77.739999999999995"/>
    <n v="138"/>
    <n v="117"/>
  </r>
  <r>
    <s v="O1000137"/>
    <s v="C3995"/>
    <x v="130"/>
    <d v="2020-11-19T00:00:00"/>
    <x v="1"/>
    <x v="3"/>
    <x v="6"/>
    <s v="São Paulo"/>
    <s v="OFF-ST-10001469"/>
    <s v="Office Supplies"/>
    <s v="Storage"/>
    <s v="Fellowes Bankers Box Recycled Super Stor/Drawer"/>
    <n v="192.94"/>
    <n v="20"/>
    <s v="S663"/>
    <x v="1"/>
    <s v="W9"/>
    <x v="3"/>
    <s v="Maersk"/>
    <s v="London-Cape Town"/>
    <n v="1084"/>
    <n v="90"/>
    <n v="10"/>
    <n v="1206.45"/>
    <n v="218.17"/>
    <n v="1424.62"/>
    <x v="1"/>
    <n v="0"/>
    <n v="75.22"/>
    <n v="440"/>
    <n v="478"/>
  </r>
  <r>
    <s v="O1000138"/>
    <s v="C6341"/>
    <x v="38"/>
    <d v="2023-07-24T00:00:00"/>
    <x v="2"/>
    <x v="4"/>
    <x v="7"/>
    <s v="Beijing"/>
    <s v="OFF-ST-10003692"/>
    <s v="Office Supplies"/>
    <s v="Storage"/>
    <s v="Recycled Steel Personal File for Hanging File Folders"/>
    <n v="427"/>
    <n v="34"/>
    <s v="S927"/>
    <x v="3"/>
    <s v="W49"/>
    <x v="0"/>
    <s v="FedEx"/>
    <s v="Berlin-Toronto"/>
    <n v="274"/>
    <n v="386"/>
    <n v="19"/>
    <n v="606.52"/>
    <n v="196.42"/>
    <n v="802.93999999999994"/>
    <x v="1"/>
    <n v="0"/>
    <n v="76.52"/>
    <n v="61"/>
    <n v="83"/>
  </r>
  <r>
    <s v="O1000139"/>
    <s v="C5152"/>
    <x v="131"/>
    <d v="2020-01-31T00:00:00"/>
    <x v="2"/>
    <x v="1"/>
    <x v="4"/>
    <s v="São Paulo"/>
    <s v="TEC-PH-10003655"/>
    <s v="Technology"/>
    <s v="Phones"/>
    <s v="Sannysis Cute Owl Design Soft Skin Case Cover for Samsung Galaxy S4"/>
    <n v="43.02"/>
    <n v="95"/>
    <s v="S312"/>
    <x v="2"/>
    <s v="W27"/>
    <x v="2"/>
    <s v="Maersk"/>
    <s v="London-Cape Town"/>
    <n v="471"/>
    <n v="439"/>
    <n v="13"/>
    <n v="1716.32"/>
    <n v="170.88"/>
    <n v="1887.2"/>
    <x v="1"/>
    <n v="0"/>
    <n v="99.86"/>
    <n v="98"/>
    <n v="110"/>
  </r>
  <r>
    <s v="O1000140"/>
    <s v="C8874"/>
    <x v="132"/>
    <d v="2021-06-23T00:00:00"/>
    <x v="1"/>
    <x v="2"/>
    <x v="1"/>
    <s v="Cape Town"/>
    <s v="OFF-EN-10001990"/>
    <s v="Office Supplies"/>
    <s v="Envelopes"/>
    <s v="Staple envelope"/>
    <n v="188.39"/>
    <n v="42"/>
    <s v="S692"/>
    <x v="3"/>
    <s v="W37"/>
    <x v="3"/>
    <s v="DHL"/>
    <s v="Berlin-São Paulo"/>
    <n v="3381"/>
    <n v="456"/>
    <n v="26"/>
    <n v="148.61000000000001"/>
    <n v="155.62"/>
    <n v="304.23"/>
    <x v="1"/>
    <n v="0"/>
    <n v="70.540000000000006"/>
    <n v="167"/>
    <n v="177"/>
  </r>
  <r>
    <s v="O1000141"/>
    <s v="C6014"/>
    <x v="133"/>
    <d v="2020-02-18T00:00:00"/>
    <x v="2"/>
    <x v="0"/>
    <x v="1"/>
    <s v="São Paulo"/>
    <s v="OFF-PA-10000327"/>
    <s v="Office Supplies"/>
    <s v="Paper"/>
    <s v="Xerox 1971"/>
    <n v="389.94"/>
    <n v="22"/>
    <s v="S555"/>
    <x v="4"/>
    <s v="W1"/>
    <x v="0"/>
    <s v="DHL"/>
    <s v="São Paulo-New York"/>
    <n v="204"/>
    <n v="182"/>
    <n v="25"/>
    <n v="1817.67"/>
    <n v="458.36"/>
    <n v="2276.0300000000002"/>
    <x v="1"/>
    <n v="0"/>
    <n v="79.989999999999995"/>
    <n v="305"/>
    <n v="259"/>
  </r>
  <r>
    <s v="O1000142"/>
    <s v="C4606"/>
    <x v="134"/>
    <d v="2024-12-11T00:00:00"/>
    <x v="0"/>
    <x v="3"/>
    <x v="2"/>
    <s v="Cape Town"/>
    <s v="OFF-PA-10000587"/>
    <s v="Office Supplies"/>
    <s v="Paper"/>
    <s v="Array Parchment Paper, Assorted Colors"/>
    <n v="477.85"/>
    <n v="55"/>
    <s v="S293"/>
    <x v="3"/>
    <s v="W17"/>
    <x v="0"/>
    <s v="BlueDart"/>
    <s v="New York-Mumbai"/>
    <n v="1234"/>
    <n v="317"/>
    <n v="26"/>
    <n v="1766.82"/>
    <n v="294.64"/>
    <n v="2061.46"/>
    <x v="1"/>
    <n v="0"/>
    <n v="98.62"/>
    <n v="265"/>
    <n v="262"/>
  </r>
  <r>
    <s v="O1000143"/>
    <s v="C2277"/>
    <x v="135"/>
    <d v="2022-02-07T00:00:00"/>
    <x v="2"/>
    <x v="3"/>
    <x v="4"/>
    <s v="Beijing"/>
    <s v="TEC-AC-10004353"/>
    <s v="Technology"/>
    <s v="Accessories"/>
    <s v="Hypercom P1300 Pinpad"/>
    <n v="270.39999999999998"/>
    <n v="2"/>
    <s v="S940"/>
    <x v="1"/>
    <s v="W27"/>
    <x v="0"/>
    <s v="FedEx"/>
    <s v="Berlin-Mumbai"/>
    <n v="4892"/>
    <n v="93"/>
    <n v="15"/>
    <n v="1441.47"/>
    <n v="468.77"/>
    <n v="1910.24"/>
    <x v="1"/>
    <n v="0"/>
    <n v="83.11"/>
    <n v="433"/>
    <n v="395"/>
  </r>
  <r>
    <s v="O1000144"/>
    <s v="C5012"/>
    <x v="136"/>
    <d v="2023-04-04T00:00:00"/>
    <x v="1"/>
    <x v="3"/>
    <x v="3"/>
    <s v="Toronto"/>
    <s v="FUR-BO-10001972"/>
    <s v="Furniture"/>
    <s v="Bookcases"/>
    <s v="O'Sullivan 4-Shelf Bookcase in Odessa Pine"/>
    <n v="118.65"/>
    <n v="24"/>
    <s v="S820"/>
    <x v="3"/>
    <s v="W30"/>
    <x v="2"/>
    <s v="DHL"/>
    <s v="Berlin-São Paulo"/>
    <n v="2532"/>
    <n v="228"/>
    <n v="13"/>
    <n v="1737.78"/>
    <n v="398.6"/>
    <n v="2136.38"/>
    <x v="1"/>
    <n v="0"/>
    <n v="93.95"/>
    <n v="185"/>
    <n v="212"/>
  </r>
  <r>
    <s v="O1000145"/>
    <s v="C7436"/>
    <x v="24"/>
    <d v="2023-05-11T00:00:00"/>
    <x v="1"/>
    <x v="1"/>
    <x v="4"/>
    <s v="Cape Town"/>
    <s v="FUR-TA-10002958"/>
    <s v="Furniture"/>
    <s v="Tables"/>
    <s v="Bevis Oval Conference Table, Walnut"/>
    <n v="104.63"/>
    <n v="48"/>
    <s v="S787"/>
    <x v="0"/>
    <s v="W25"/>
    <x v="0"/>
    <s v="BlueDart"/>
    <s v="Beijing-Toronto"/>
    <n v="3923"/>
    <n v="378"/>
    <n v="7"/>
    <n v="58.27"/>
    <n v="190.39"/>
    <n v="248.66"/>
    <x v="1"/>
    <n v="0"/>
    <n v="82.04"/>
    <n v="414"/>
    <n v="364"/>
  </r>
  <r>
    <s v="O1000146"/>
    <s v="C6185"/>
    <x v="137"/>
    <d v="2022-01-29T00:00:00"/>
    <x v="2"/>
    <x v="3"/>
    <x v="7"/>
    <s v="São Paulo"/>
    <s v="OFF-AP-10002534"/>
    <s v="Office Supplies"/>
    <s v="Appliances"/>
    <s v="3.6 Cubic Foot Counter Height Office Refrigerator"/>
    <n v="19.82"/>
    <n v="73"/>
    <s v="S738"/>
    <x v="2"/>
    <s v="W23"/>
    <x v="1"/>
    <s v="BlueDart"/>
    <s v="São Paulo-Beijing"/>
    <n v="3177"/>
    <n v="53"/>
    <n v="12"/>
    <n v="1884.99"/>
    <n v="406.51"/>
    <n v="2291.5"/>
    <x v="1"/>
    <n v="0"/>
    <n v="84.2"/>
    <n v="135"/>
    <n v="137"/>
  </r>
  <r>
    <s v="O1000147"/>
    <s v="C5097"/>
    <x v="138"/>
    <d v="2022-03-03T00:00:00"/>
    <x v="2"/>
    <x v="0"/>
    <x v="1"/>
    <s v="Berlin"/>
    <s v="OFF-AR-10003560"/>
    <s v="Office Supplies"/>
    <s v="Art"/>
    <s v="Zebra Zazzle Fluorescent Highlighters"/>
    <n v="281.52"/>
    <n v="73"/>
    <s v="S272"/>
    <x v="4"/>
    <s v="W3"/>
    <x v="0"/>
    <s v="DHL"/>
    <s v="Toronto-London"/>
    <n v="1547"/>
    <n v="143"/>
    <n v="5"/>
    <n v="638.04"/>
    <n v="474.56"/>
    <n v="1112.5999999999999"/>
    <x v="1"/>
    <n v="0"/>
    <n v="85.54"/>
    <n v="310"/>
    <n v="333"/>
  </r>
  <r>
    <s v="O1000148"/>
    <s v="C2807"/>
    <x v="139"/>
    <d v="2022-11-25T00:00:00"/>
    <x v="2"/>
    <x v="0"/>
    <x v="4"/>
    <s v="São Paulo"/>
    <s v="OFF-BI-10003429"/>
    <s v="Office Supplies"/>
    <s v="Binders"/>
    <s v="Cardinal HOLDit! Binder Insert Strips,Extra Strips"/>
    <n v="272.89999999999998"/>
    <n v="40"/>
    <s v="S242"/>
    <x v="4"/>
    <s v="W45"/>
    <x v="2"/>
    <s v="FedEx"/>
    <s v="Cape Town-Toronto"/>
    <n v="4885"/>
    <n v="93"/>
    <n v="23"/>
    <n v="1901.1"/>
    <n v="422.31"/>
    <n v="2323.41"/>
    <x v="1"/>
    <n v="0"/>
    <n v="92.05"/>
    <n v="479"/>
    <n v="502"/>
  </r>
  <r>
    <s v="O1000149"/>
    <s v="C9966"/>
    <x v="140"/>
    <d v="2023-05-21T00:00:00"/>
    <x v="2"/>
    <x v="3"/>
    <x v="3"/>
    <s v="Cape Town"/>
    <s v="OFF-BI-10004593"/>
    <s v="Office Supplies"/>
    <s v="Binders"/>
    <s v="Ibico Laser Imprintable Binding System Covers"/>
    <n v="376.25"/>
    <n v="92"/>
    <s v="S897"/>
    <x v="3"/>
    <s v="W18"/>
    <x v="2"/>
    <s v="BlueDart"/>
    <s v="London-London"/>
    <n v="1362"/>
    <n v="57"/>
    <n v="19"/>
    <n v="220.9"/>
    <n v="221.26"/>
    <n v="442.16"/>
    <x v="1"/>
    <n v="0"/>
    <n v="74.87"/>
    <n v="269"/>
    <n v="248"/>
  </r>
  <r>
    <s v="O1000150"/>
    <s v="C9666"/>
    <x v="141"/>
    <d v="2021-09-08T00:00:00"/>
    <x v="1"/>
    <x v="2"/>
    <x v="3"/>
    <s v="New York"/>
    <s v="OFF-LA-10000305"/>
    <s v="Office Supplies"/>
    <s v="Labels"/>
    <s v="Avery 495"/>
    <n v="109.06"/>
    <n v="36"/>
    <s v="S248"/>
    <x v="0"/>
    <s v="W49"/>
    <x v="0"/>
    <s v="UPS"/>
    <s v="Mumbai-New York"/>
    <n v="1921"/>
    <n v="89"/>
    <n v="16"/>
    <n v="1125.45"/>
    <n v="296.18"/>
    <n v="1421.63"/>
    <x v="1"/>
    <n v="0"/>
    <n v="70.88"/>
    <n v="100"/>
    <n v="112"/>
  </r>
  <r>
    <s v="O1000151"/>
    <s v="C1806"/>
    <x v="142"/>
    <d v="2020-02-21T00:00:00"/>
    <x v="2"/>
    <x v="4"/>
    <x v="7"/>
    <s v="Cape Town"/>
    <s v="OFF-ST-10002486"/>
    <s v="Office Supplies"/>
    <s v="Storage"/>
    <s v="Eldon Shelf Savers Cubes and Bins"/>
    <n v="367.78"/>
    <n v="87"/>
    <s v="S241"/>
    <x v="3"/>
    <s v="W22"/>
    <x v="0"/>
    <s v="UPS"/>
    <s v="São Paulo-Berlin"/>
    <n v="504"/>
    <n v="483"/>
    <n v="6"/>
    <n v="825.61"/>
    <n v="423.33"/>
    <n v="1248.94"/>
    <x v="0"/>
    <n v="9"/>
    <n v="73.63"/>
    <n v="181"/>
    <n v="151"/>
  </r>
  <r>
    <s v="O1000152"/>
    <s v="C6451"/>
    <x v="143"/>
    <d v="2024-06-07T00:00:00"/>
    <x v="2"/>
    <x v="0"/>
    <x v="7"/>
    <s v="London"/>
    <s v="TEC-PH-10004700"/>
    <s v="Technology"/>
    <s v="Phones"/>
    <s v="PowerGen Dual USB Car Charger"/>
    <n v="397.33"/>
    <n v="11"/>
    <s v="S996"/>
    <x v="0"/>
    <s v="W3"/>
    <x v="2"/>
    <s v="DHL"/>
    <s v="São Paulo-São Paulo"/>
    <n v="4998"/>
    <n v="96"/>
    <n v="14"/>
    <n v="1520.25"/>
    <n v="434.54"/>
    <n v="1954.79"/>
    <x v="1"/>
    <n v="0"/>
    <n v="85.45"/>
    <n v="487"/>
    <n v="481"/>
  </r>
  <r>
    <s v="O1000153"/>
    <s v="C4076"/>
    <x v="144"/>
    <d v="2023-12-18T00:00:00"/>
    <x v="0"/>
    <x v="2"/>
    <x v="1"/>
    <s v="São Paulo"/>
    <s v="OFF-AR-10001374"/>
    <s v="Office Supplies"/>
    <s v="Art"/>
    <s v="BIC Brite Liner Highlighters, Chisel Tip"/>
    <n v="425.45"/>
    <n v="63"/>
    <s v="S360"/>
    <x v="0"/>
    <s v="W45"/>
    <x v="3"/>
    <s v="UPS"/>
    <s v="London-New York"/>
    <n v="1367"/>
    <n v="484"/>
    <n v="1"/>
    <n v="811.9"/>
    <n v="313.57"/>
    <n v="1125.47"/>
    <x v="1"/>
    <n v="0"/>
    <n v="78.47"/>
    <n v="127"/>
    <n v="162"/>
  </r>
  <r>
    <s v="O1000154"/>
    <s v="C7031"/>
    <x v="145"/>
    <d v="2022-10-09T00:00:00"/>
    <x v="2"/>
    <x v="2"/>
    <x v="3"/>
    <s v="Toronto"/>
    <s v="OFF-ST-10001370"/>
    <s v="Office Supplies"/>
    <s v="Storage"/>
    <s v="Sensible Storage WireTech Storage Systems"/>
    <n v="11.06"/>
    <n v="69"/>
    <s v="S157"/>
    <x v="1"/>
    <s v="W24"/>
    <x v="3"/>
    <s v="Maersk"/>
    <s v="São Paulo-Beijing"/>
    <n v="1723"/>
    <n v="67"/>
    <n v="19"/>
    <n v="473.9"/>
    <n v="205.95"/>
    <n v="679.84999999999991"/>
    <x v="1"/>
    <n v="0"/>
    <n v="88.11"/>
    <n v="156"/>
    <n v="173"/>
  </r>
  <r>
    <s v="O1000155"/>
    <s v="C4633"/>
    <x v="146"/>
    <d v="2024-11-28T00:00:00"/>
    <x v="1"/>
    <x v="3"/>
    <x v="3"/>
    <s v="New York"/>
    <s v="OFF-AR-10000588"/>
    <s v="Office Supplies"/>
    <s v="Art"/>
    <s v="Newell 345"/>
    <n v="227.9"/>
    <n v="67"/>
    <s v="S315"/>
    <x v="4"/>
    <s v="W13"/>
    <x v="3"/>
    <s v="BlueDart"/>
    <s v="London-São Paulo"/>
    <n v="3821"/>
    <n v="462"/>
    <n v="4"/>
    <n v="542.05999999999995"/>
    <n v="471.5"/>
    <n v="1013.56"/>
    <x v="1"/>
    <n v="0"/>
    <n v="86.41"/>
    <n v="118"/>
    <n v="162"/>
  </r>
  <r>
    <s v="O1000156"/>
    <s v="C9506"/>
    <x v="147"/>
    <d v="2020-05-31T00:00:00"/>
    <x v="1"/>
    <x v="3"/>
    <x v="7"/>
    <s v="New York"/>
    <s v="OFF-BI-10001617"/>
    <s v="Office Supplies"/>
    <s v="Binders"/>
    <s v="GBC Wire Binding Combs"/>
    <n v="267.14999999999998"/>
    <n v="54"/>
    <s v="S553"/>
    <x v="2"/>
    <s v="W27"/>
    <x v="2"/>
    <s v="UPS"/>
    <s v="Mumbai-São Paulo"/>
    <n v="1056"/>
    <n v="272"/>
    <n v="2"/>
    <n v="1422.62"/>
    <n v="328.64"/>
    <n v="1751.26"/>
    <x v="1"/>
    <n v="0"/>
    <n v="77.41"/>
    <n v="79"/>
    <n v="105"/>
  </r>
  <r>
    <s v="O1000157"/>
    <s v="C9445"/>
    <x v="148"/>
    <d v="2021-09-04T00:00:00"/>
    <x v="2"/>
    <x v="1"/>
    <x v="4"/>
    <s v="Berlin"/>
    <s v="OFF-PA-10001878"/>
    <s v="Office Supplies"/>
    <s v="Paper"/>
    <s v="Xerox 1891"/>
    <n v="475.2"/>
    <n v="45"/>
    <s v="S582"/>
    <x v="1"/>
    <s v="W24"/>
    <x v="3"/>
    <s v="UPS"/>
    <s v="New York-Toronto"/>
    <n v="4548"/>
    <n v="188"/>
    <n v="6"/>
    <n v="645.46"/>
    <n v="175.29"/>
    <n v="820.75"/>
    <x v="1"/>
    <n v="0"/>
    <n v="87.62"/>
    <n v="386"/>
    <n v="386"/>
  </r>
  <r>
    <s v="O1000158"/>
    <s v="C8068"/>
    <x v="149"/>
    <d v="2024-12-12T00:00:00"/>
    <x v="0"/>
    <x v="1"/>
    <x v="7"/>
    <s v="London"/>
    <s v="OFF-SU-10000381"/>
    <s v="Office Supplies"/>
    <s v="Supplies"/>
    <s v="Acme Forged Steel Scissors with Black Enamel Handles"/>
    <n v="13.71"/>
    <n v="84"/>
    <s v="S460"/>
    <x v="2"/>
    <s v="W46"/>
    <x v="3"/>
    <s v="FedEx"/>
    <s v="London-São Paulo"/>
    <n v="1288"/>
    <n v="63"/>
    <n v="18"/>
    <n v="1513.45"/>
    <n v="29.72"/>
    <n v="1543.17"/>
    <x v="1"/>
    <n v="0"/>
    <n v="86.61"/>
    <n v="106"/>
    <n v="147"/>
  </r>
  <r>
    <s v="O1000159"/>
    <s v="C3156"/>
    <x v="90"/>
    <d v="2020-04-18T00:00:00"/>
    <x v="2"/>
    <x v="2"/>
    <x v="1"/>
    <s v="Toronto"/>
    <s v="TEC-AC-10002001"/>
    <s v="Technology"/>
    <s v="Accessories"/>
    <s v="Logitech Wireless Gaming Headset G930"/>
    <n v="423.74"/>
    <n v="8"/>
    <s v="S863"/>
    <x v="3"/>
    <s v="W41"/>
    <x v="2"/>
    <s v="UPS"/>
    <s v="Berlin-São Paulo"/>
    <n v="298"/>
    <n v="99"/>
    <n v="27"/>
    <n v="846.04"/>
    <n v="326.02999999999997"/>
    <n v="1172.07"/>
    <x v="1"/>
    <n v="0"/>
    <n v="81.16"/>
    <n v="77"/>
    <n v="125"/>
  </r>
  <r>
    <s v="O1000160"/>
    <s v="C5125"/>
    <x v="150"/>
    <d v="2024-10-02T00:00:00"/>
    <x v="1"/>
    <x v="0"/>
    <x v="1"/>
    <s v="Mumbai"/>
    <s v="FUR-CH-10002780"/>
    <s v="Furniture"/>
    <s v="Chairs"/>
    <s v="Office Star - Task Chair with Contemporary Loop Arms"/>
    <n v="356.96"/>
    <n v="81"/>
    <s v="S189"/>
    <x v="1"/>
    <s v="W42"/>
    <x v="1"/>
    <s v="FedEx"/>
    <s v="New York-São Paulo"/>
    <n v="3175"/>
    <n v="315"/>
    <n v="9"/>
    <n v="1959.56"/>
    <n v="449.28"/>
    <n v="2408.84"/>
    <x v="1"/>
    <n v="0"/>
    <n v="88.84"/>
    <n v="432"/>
    <n v="428"/>
  </r>
  <r>
    <s v="O1000161"/>
    <s v="C9529"/>
    <x v="151"/>
    <d v="2023-07-01T00:00:00"/>
    <x v="0"/>
    <x v="4"/>
    <x v="6"/>
    <s v="Mumbai"/>
    <s v="FUR-CH-10004477"/>
    <s v="Furniture"/>
    <s v="Chairs"/>
    <s v="Global Push Button Manager's Chair, Indigo"/>
    <n v="193.29"/>
    <n v="24"/>
    <s v="S124"/>
    <x v="2"/>
    <s v="W43"/>
    <x v="0"/>
    <s v="DHL"/>
    <s v="Beijing-Toronto"/>
    <n v="966"/>
    <n v="369"/>
    <n v="7"/>
    <n v="1912.28"/>
    <n v="363.88"/>
    <n v="2276.16"/>
    <x v="1"/>
    <n v="0"/>
    <n v="90.84"/>
    <n v="349"/>
    <n v="329"/>
  </r>
  <r>
    <s v="O1000162"/>
    <s v="C8244"/>
    <x v="81"/>
    <d v="2021-09-20T00:00:00"/>
    <x v="2"/>
    <x v="0"/>
    <x v="7"/>
    <s v="Beijing"/>
    <s v="FUR-CH-10004495"/>
    <s v="Furniture"/>
    <s v="Chairs"/>
    <s v="Global Leather and Oak Executive Chair, Black"/>
    <n v="202.8"/>
    <n v="15"/>
    <s v="S464"/>
    <x v="3"/>
    <s v="W19"/>
    <x v="2"/>
    <s v="Maersk"/>
    <s v="São Paulo-Cape Town"/>
    <n v="4545"/>
    <n v="416"/>
    <n v="24"/>
    <n v="1244.1500000000001"/>
    <n v="378.14"/>
    <n v="1622.29"/>
    <x v="1"/>
    <n v="0"/>
    <n v="73.16"/>
    <n v="62"/>
    <n v="58"/>
  </r>
  <r>
    <s v="O1000163"/>
    <s v="C5385"/>
    <x v="152"/>
    <d v="2023-03-07T00:00:00"/>
    <x v="2"/>
    <x v="3"/>
    <x v="1"/>
    <s v="São Paulo"/>
    <s v="OFF-AR-10000390"/>
    <s v="Office Supplies"/>
    <s v="Art"/>
    <s v="Newell Chalk Holder"/>
    <n v="360.9"/>
    <n v="89"/>
    <s v="S900"/>
    <x v="2"/>
    <s v="W19"/>
    <x v="3"/>
    <s v="UPS"/>
    <s v="Cape Town-São Paulo"/>
    <n v="2577"/>
    <n v="466"/>
    <n v="21"/>
    <n v="716.53"/>
    <n v="80.22"/>
    <n v="796.75"/>
    <x v="1"/>
    <n v="0"/>
    <n v="93.14"/>
    <n v="140"/>
    <n v="144"/>
  </r>
  <r>
    <s v="O1000164"/>
    <s v="C3901"/>
    <x v="153"/>
    <d v="2024-04-21T00:00:00"/>
    <x v="1"/>
    <x v="0"/>
    <x v="0"/>
    <s v="London"/>
    <s v="OFF-AR-10001427"/>
    <s v="Office Supplies"/>
    <s v="Art"/>
    <s v="Newell 330"/>
    <n v="5.81"/>
    <n v="36"/>
    <s v="S897"/>
    <x v="1"/>
    <s v="W32"/>
    <x v="1"/>
    <s v="DHL"/>
    <s v="New York-Toronto"/>
    <n v="2802"/>
    <n v="413"/>
    <n v="4"/>
    <n v="926.35"/>
    <n v="370.86"/>
    <n v="1297.21"/>
    <x v="1"/>
    <n v="0"/>
    <n v="86.63"/>
    <n v="457"/>
    <n v="482"/>
  </r>
  <r>
    <s v="O1000165"/>
    <s v="C9813"/>
    <x v="112"/>
    <d v="2021-07-07T00:00:00"/>
    <x v="1"/>
    <x v="2"/>
    <x v="7"/>
    <s v="Berlin"/>
    <s v="OFF-BI-10004224"/>
    <s v="Office Supplies"/>
    <s v="Binders"/>
    <s v="Catalog Binders with Expanding Posts"/>
    <n v="169.28"/>
    <n v="8"/>
    <s v="S749"/>
    <x v="0"/>
    <s v="W36"/>
    <x v="1"/>
    <s v="BlueDart"/>
    <s v="São Paulo-São Paulo"/>
    <n v="808"/>
    <n v="432"/>
    <n v="11"/>
    <n v="859.81"/>
    <n v="455.17"/>
    <n v="1314.98"/>
    <x v="1"/>
    <n v="0"/>
    <n v="75.900000000000006"/>
    <n v="194"/>
    <n v="239"/>
  </r>
  <r>
    <s v="O1000166"/>
    <s v="C8892"/>
    <x v="154"/>
    <d v="2021-08-20T00:00:00"/>
    <x v="1"/>
    <x v="1"/>
    <x v="7"/>
    <s v="New York"/>
    <s v="OFF-ST-10000934"/>
    <s v="Office Supplies"/>
    <s v="Storage"/>
    <s v="Contico 72&quot;H Heavy-Duty Storage System"/>
    <n v="267.14"/>
    <n v="93"/>
    <s v="S467"/>
    <x v="0"/>
    <s v="W11"/>
    <x v="2"/>
    <s v="BlueDart"/>
    <s v="Berlin-New York"/>
    <n v="4090"/>
    <n v="457"/>
    <n v="21"/>
    <n v="913.85"/>
    <n v="166.26"/>
    <n v="1080.1099999999999"/>
    <x v="1"/>
    <n v="0"/>
    <n v="94.98"/>
    <n v="107"/>
    <n v="148"/>
  </r>
  <r>
    <s v="O1000167"/>
    <s v="C6672"/>
    <x v="155"/>
    <d v="2022-01-22T00:00:00"/>
    <x v="1"/>
    <x v="3"/>
    <x v="7"/>
    <s v="Mumbai"/>
    <s v="OFF-ST-10002344"/>
    <s v="Office Supplies"/>
    <s v="Storage"/>
    <s v="Carina 42&quot;Hx23 3/4&quot;W Media Storage Unit"/>
    <n v="297.36"/>
    <n v="38"/>
    <s v="S103"/>
    <x v="1"/>
    <s v="W3"/>
    <x v="0"/>
    <s v="FedEx"/>
    <s v="São Paulo-Toronto"/>
    <n v="1311"/>
    <n v="387"/>
    <n v="12"/>
    <n v="869.18"/>
    <n v="62.51"/>
    <n v="931.68999999999994"/>
    <x v="1"/>
    <n v="0"/>
    <n v="97.71"/>
    <n v="346"/>
    <n v="339"/>
  </r>
  <r>
    <s v="O1000168"/>
    <s v="C5809"/>
    <x v="156"/>
    <d v="2021-11-02T00:00:00"/>
    <x v="1"/>
    <x v="1"/>
    <x v="2"/>
    <s v="Mumbai"/>
    <s v="OFF-AR-10001044"/>
    <s v="Office Supplies"/>
    <s v="Art"/>
    <s v="BOSTON Ranger #55 Pencil Sharpener, Black"/>
    <n v="217"/>
    <n v="20"/>
    <s v="S771"/>
    <x v="3"/>
    <s v="W3"/>
    <x v="2"/>
    <s v="UPS"/>
    <s v="São Paulo-New York"/>
    <n v="4118"/>
    <n v="133"/>
    <n v="17"/>
    <n v="801.16"/>
    <n v="295.33"/>
    <n v="1096.49"/>
    <x v="1"/>
    <n v="0"/>
    <n v="86.5"/>
    <n v="360"/>
    <n v="390"/>
  </r>
  <r>
    <s v="O1000169"/>
    <s v="C2094"/>
    <x v="157"/>
    <d v="2022-07-02T00:00:00"/>
    <x v="2"/>
    <x v="3"/>
    <x v="3"/>
    <s v="Cape Town"/>
    <s v="OFF-PA-10002259"/>
    <s v="Office Supplies"/>
    <s v="Paper"/>
    <s v="Geographics Note Cards, Blank, White, 8 1/2&quot; x 11&quot;"/>
    <n v="188.09"/>
    <n v="67"/>
    <s v="S681"/>
    <x v="1"/>
    <s v="W43"/>
    <x v="3"/>
    <s v="UPS"/>
    <s v="Toronto-Toronto"/>
    <n v="2569"/>
    <n v="283"/>
    <n v="4"/>
    <n v="773.39"/>
    <n v="107.53"/>
    <n v="880.92"/>
    <x v="1"/>
    <n v="0"/>
    <n v="85.12"/>
    <n v="225"/>
    <n v="211"/>
  </r>
  <r>
    <s v="O1000170"/>
    <s v="C2496"/>
    <x v="158"/>
    <d v="2020-10-26T00:00:00"/>
    <x v="0"/>
    <x v="4"/>
    <x v="2"/>
    <s v="Berlin"/>
    <s v="OFF-ST-10000078"/>
    <s v="Office Supplies"/>
    <s v="Storage"/>
    <s v="Tennsco 6- and 18-Compartment Lockers"/>
    <n v="15.31"/>
    <n v="85"/>
    <s v="S715"/>
    <x v="1"/>
    <s v="W30"/>
    <x v="2"/>
    <s v="BlueDart"/>
    <s v="Berlin-London"/>
    <n v="3755"/>
    <n v="177"/>
    <n v="1"/>
    <n v="656.07"/>
    <n v="90.06"/>
    <n v="746.13000000000011"/>
    <x v="1"/>
    <n v="0"/>
    <n v="73.400000000000006"/>
    <n v="377"/>
    <n v="337"/>
  </r>
  <r>
    <s v="O1000171"/>
    <s v="C2146"/>
    <x v="159"/>
    <d v="2024-05-08T00:00:00"/>
    <x v="2"/>
    <x v="3"/>
    <x v="3"/>
    <s v="Berlin"/>
    <s v="FUR-FU-10003981"/>
    <s v="Furniture"/>
    <s v="Furnishings"/>
    <s v="Eldon Wave Desk Accessories"/>
    <n v="131.93"/>
    <n v="5"/>
    <s v="S456"/>
    <x v="4"/>
    <s v="W14"/>
    <x v="2"/>
    <s v="Maersk"/>
    <s v="Mumbai-Beijing"/>
    <n v="1641"/>
    <n v="339"/>
    <n v="23"/>
    <n v="923.34"/>
    <n v="439.24"/>
    <n v="1362.58"/>
    <x v="1"/>
    <n v="0"/>
    <n v="83.93"/>
    <n v="130"/>
    <n v="142"/>
  </r>
  <r>
    <s v="O1000172"/>
    <s v="C5038"/>
    <x v="160"/>
    <d v="2022-01-05T00:00:00"/>
    <x v="2"/>
    <x v="4"/>
    <x v="1"/>
    <s v="New York"/>
    <s v="OFF-AP-10002578"/>
    <s v="Office Supplies"/>
    <s v="Appliances"/>
    <s v="Fellowes Premier Superior Surge Suppressor, 10-Outlet, With Phone and Remote"/>
    <n v="32.549999999999997"/>
    <n v="52"/>
    <s v="S532"/>
    <x v="0"/>
    <s v="W12"/>
    <x v="3"/>
    <s v="UPS"/>
    <s v="London-Berlin"/>
    <n v="2143"/>
    <n v="106"/>
    <n v="11"/>
    <n v="691.88"/>
    <n v="88.57"/>
    <n v="780.45"/>
    <x v="1"/>
    <n v="0"/>
    <n v="92.31"/>
    <n v="283"/>
    <n v="270"/>
  </r>
  <r>
    <s v="O1000173"/>
    <s v="C8147"/>
    <x v="161"/>
    <d v="2023-05-23T00:00:00"/>
    <x v="2"/>
    <x v="1"/>
    <x v="1"/>
    <s v="Cape Town"/>
    <s v="OFF-AR-10001770"/>
    <s v="Office Supplies"/>
    <s v="Art"/>
    <s v="Economy #2 Pencils"/>
    <n v="43.69"/>
    <n v="92"/>
    <s v="S545"/>
    <x v="0"/>
    <s v="W16"/>
    <x v="3"/>
    <s v="UPS"/>
    <s v="Mumbai-Cape Town"/>
    <n v="765"/>
    <n v="321"/>
    <n v="14"/>
    <n v="293.19"/>
    <n v="229.29"/>
    <n v="522.48"/>
    <x v="1"/>
    <n v="0"/>
    <n v="94.1"/>
    <n v="434"/>
    <n v="439"/>
  </r>
  <r>
    <s v="O1000174"/>
    <s v="C8074"/>
    <x v="162"/>
    <d v="2024-02-13T00:00:00"/>
    <x v="2"/>
    <x v="4"/>
    <x v="5"/>
    <s v="São Paulo"/>
    <s v="OFF-FA-10001561"/>
    <s v="Office Supplies"/>
    <s v="Fasteners"/>
    <s v="Stockwell Push Pins"/>
    <n v="170.57"/>
    <n v="8"/>
    <s v="S983"/>
    <x v="4"/>
    <s v="W24"/>
    <x v="0"/>
    <s v="UPS"/>
    <s v="Mumbai-Berlin"/>
    <n v="1948"/>
    <n v="150"/>
    <n v="9"/>
    <n v="1362.85"/>
    <n v="111.53"/>
    <n v="1474.38"/>
    <x v="1"/>
    <n v="0"/>
    <n v="90.95"/>
    <n v="453"/>
    <n v="473"/>
  </r>
  <r>
    <s v="O1000175"/>
    <s v="C1829"/>
    <x v="163"/>
    <d v="2024-11-23T00:00:00"/>
    <x v="2"/>
    <x v="0"/>
    <x v="2"/>
    <s v="Berlin"/>
    <s v="OFF-PA-10000213"/>
    <s v="Office Supplies"/>
    <s v="Paper"/>
    <s v="Xerox 198"/>
    <n v="170.17"/>
    <n v="34"/>
    <s v="S345"/>
    <x v="4"/>
    <s v="W3"/>
    <x v="2"/>
    <s v="DHL"/>
    <s v="Toronto-Mumbai"/>
    <n v="2435"/>
    <n v="469"/>
    <n v="5"/>
    <n v="1947.25"/>
    <n v="243.05"/>
    <n v="2190.3000000000002"/>
    <x v="1"/>
    <n v="0"/>
    <n v="75.459999999999994"/>
    <n v="100"/>
    <n v="147"/>
  </r>
  <r>
    <s v="O1000176"/>
    <s v="C1964"/>
    <x v="164"/>
    <d v="2024-01-24T00:00:00"/>
    <x v="2"/>
    <x v="0"/>
    <x v="5"/>
    <s v="Mumbai"/>
    <s v="OFF-PA-10002137"/>
    <s v="Office Supplies"/>
    <s v="Paper"/>
    <s v="Southworth 100% Résumé Paper, 24lb."/>
    <n v="107.39"/>
    <n v="79"/>
    <s v="S237"/>
    <x v="0"/>
    <s v="W37"/>
    <x v="1"/>
    <s v="Maersk"/>
    <s v="Cape Town-Cape Town"/>
    <n v="4983"/>
    <n v="489"/>
    <n v="2"/>
    <n v="1799.84"/>
    <n v="482.22"/>
    <n v="2282.06"/>
    <x v="1"/>
    <n v="0"/>
    <n v="80.64"/>
    <n v="304"/>
    <n v="349"/>
  </r>
  <r>
    <s v="O1000177"/>
    <s v="C3952"/>
    <x v="165"/>
    <d v="2023-01-24T00:00:00"/>
    <x v="2"/>
    <x v="1"/>
    <x v="5"/>
    <s v="Mumbai"/>
    <s v="TEC-AC-10000710"/>
    <s v="Technology"/>
    <s v="Accessories"/>
    <s v="Maxell DVD-RAM Discs"/>
    <n v="106.12"/>
    <n v="4"/>
    <s v="S707"/>
    <x v="0"/>
    <s v="W31"/>
    <x v="3"/>
    <s v="FedEx"/>
    <s v="New York-London"/>
    <n v="2817"/>
    <n v="415"/>
    <n v="19"/>
    <n v="1739.72"/>
    <n v="391.17"/>
    <n v="2130.89"/>
    <x v="1"/>
    <n v="0"/>
    <n v="93.97"/>
    <n v="246"/>
    <n v="198"/>
  </r>
  <r>
    <s v="O1000178"/>
    <s v="C9877"/>
    <x v="166"/>
    <d v="2024-06-26T00:00:00"/>
    <x v="2"/>
    <x v="0"/>
    <x v="7"/>
    <s v="Beijing"/>
    <s v="TEC-PH-10000984"/>
    <s v="Technology"/>
    <s v="Phones"/>
    <s v="Panasonic KX-TG9471B"/>
    <n v="81.86"/>
    <n v="42"/>
    <s v="S116"/>
    <x v="4"/>
    <s v="W39"/>
    <x v="0"/>
    <s v="UPS"/>
    <s v="Beijing-Cape Town"/>
    <n v="3025"/>
    <n v="452"/>
    <n v="11"/>
    <n v="1629.07"/>
    <n v="309.37"/>
    <n v="1938.44"/>
    <x v="1"/>
    <n v="0"/>
    <n v="90.97"/>
    <n v="468"/>
    <n v="467"/>
  </r>
  <r>
    <s v="O1000179"/>
    <s v="C6013"/>
    <x v="167"/>
    <d v="2023-02-17T00:00:00"/>
    <x v="2"/>
    <x v="3"/>
    <x v="1"/>
    <s v="Berlin"/>
    <s v="FUR-CH-10004063"/>
    <s v="Furniture"/>
    <s v="Chairs"/>
    <s v="Global Deluxe High-Back Manager's Chair"/>
    <n v="183.69"/>
    <n v="37"/>
    <s v="S818"/>
    <x v="3"/>
    <s v="W36"/>
    <x v="3"/>
    <s v="Maersk"/>
    <s v="London-Mumbai"/>
    <n v="1297"/>
    <n v="372"/>
    <n v="6"/>
    <n v="680.66"/>
    <n v="135.36000000000001"/>
    <n v="816.02"/>
    <x v="1"/>
    <n v="0"/>
    <n v="87.5"/>
    <n v="389"/>
    <n v="340"/>
  </r>
  <r>
    <s v="O1000180"/>
    <s v="C4728"/>
    <x v="168"/>
    <d v="2021-05-05T00:00:00"/>
    <x v="2"/>
    <x v="4"/>
    <x v="1"/>
    <s v="Berlin"/>
    <s v="FUR-FU-10001979"/>
    <s v="Furniture"/>
    <s v="Furnishings"/>
    <s v="Dana Halogen Swing-Arm Architect Lamp"/>
    <n v="248.6"/>
    <n v="11"/>
    <s v="S860"/>
    <x v="3"/>
    <s v="W9"/>
    <x v="3"/>
    <s v="DHL"/>
    <s v="São Paulo-Toronto"/>
    <n v="3415"/>
    <n v="373"/>
    <n v="3"/>
    <n v="1746.49"/>
    <n v="87.93"/>
    <n v="1834.42"/>
    <x v="1"/>
    <n v="0"/>
    <n v="91.1"/>
    <n v="472"/>
    <n v="471"/>
  </r>
  <r>
    <s v="O1000181"/>
    <s v="C7959"/>
    <x v="169"/>
    <d v="2022-06-27T00:00:00"/>
    <x v="2"/>
    <x v="2"/>
    <x v="2"/>
    <s v="Beijing"/>
    <s v="FUR-CH-10003379"/>
    <s v="Furniture"/>
    <s v="Chairs"/>
    <s v="Global Commerce Series High-Back Swivel/Tilt Chairs"/>
    <n v="175.3"/>
    <n v="77"/>
    <s v="S472"/>
    <x v="0"/>
    <s v="W43"/>
    <x v="0"/>
    <s v="FedEx"/>
    <s v="Mumbai-Toronto"/>
    <n v="1967"/>
    <n v="288"/>
    <n v="4"/>
    <n v="896.14"/>
    <n v="268.5"/>
    <n v="1164.6400000000001"/>
    <x v="1"/>
    <n v="0"/>
    <n v="77.900000000000006"/>
    <n v="253"/>
    <n v="212"/>
  </r>
  <r>
    <s v="O1000182"/>
    <s v="C3819"/>
    <x v="170"/>
    <d v="2022-06-06T00:00:00"/>
    <x v="2"/>
    <x v="1"/>
    <x v="6"/>
    <s v="New York"/>
    <s v="OFF-AR-10003723"/>
    <s v="Office Supplies"/>
    <s v="Art"/>
    <s v="Avery Hi-Liter Fluorescent Desk Style Markers"/>
    <n v="475.89"/>
    <n v="54"/>
    <s v="S888"/>
    <x v="4"/>
    <s v="W15"/>
    <x v="0"/>
    <s v="BlueDart"/>
    <s v="Mumbai-New York"/>
    <n v="241"/>
    <n v="498"/>
    <n v="20"/>
    <n v="1543.65"/>
    <n v="22.15"/>
    <n v="1565.8"/>
    <x v="0"/>
    <n v="10"/>
    <n v="86.32"/>
    <n v="194"/>
    <n v="237"/>
  </r>
  <r>
    <s v="O1000183"/>
    <s v="C5698"/>
    <x v="171"/>
    <d v="2024-04-20T00:00:00"/>
    <x v="1"/>
    <x v="4"/>
    <x v="6"/>
    <s v="Toronto"/>
    <s v="OFF-BI-10001617"/>
    <s v="Office Supplies"/>
    <s v="Binders"/>
    <s v="GBC Wire Binding Combs"/>
    <n v="261.16000000000003"/>
    <n v="58"/>
    <s v="S214"/>
    <x v="3"/>
    <s v="W9"/>
    <x v="2"/>
    <s v="DHL"/>
    <s v="Toronto-New York"/>
    <n v="2161"/>
    <n v="301"/>
    <n v="21"/>
    <n v="176.7"/>
    <n v="327.84"/>
    <n v="504.54"/>
    <x v="0"/>
    <n v="5"/>
    <n v="88.06"/>
    <n v="229"/>
    <n v="270"/>
  </r>
  <r>
    <s v="O1000184"/>
    <s v="C6011"/>
    <x v="172"/>
    <d v="2022-08-06T00:00:00"/>
    <x v="2"/>
    <x v="0"/>
    <x v="5"/>
    <s v="New York"/>
    <s v="OFF-BI-10003007"/>
    <s v="Office Supplies"/>
    <s v="Binders"/>
    <s v="Premium Transparent Presentation Covers, No Pattern/Clear, 8 1/2&quot; x 11&quot;"/>
    <n v="323.37"/>
    <n v="7"/>
    <s v="S508"/>
    <x v="3"/>
    <s v="W24"/>
    <x v="3"/>
    <s v="UPS"/>
    <s v="Mumbai-Beijing"/>
    <n v="1864"/>
    <n v="73"/>
    <n v="3"/>
    <n v="438.63"/>
    <n v="12.74"/>
    <n v="451.37"/>
    <x v="1"/>
    <n v="0"/>
    <n v="71.27"/>
    <n v="246"/>
    <n v="229"/>
  </r>
  <r>
    <s v="O1000185"/>
    <s v="C3914"/>
    <x v="173"/>
    <d v="2023-01-25T00:00:00"/>
    <x v="2"/>
    <x v="0"/>
    <x v="3"/>
    <s v="Berlin"/>
    <s v="OFF-PA-10000176"/>
    <s v="Office Supplies"/>
    <s v="Paper"/>
    <s v="Xerox 1887"/>
    <n v="375.2"/>
    <n v="91"/>
    <s v="S696"/>
    <x v="1"/>
    <s v="W11"/>
    <x v="1"/>
    <s v="DHL"/>
    <s v="Mumbai-Beijing"/>
    <n v="1439"/>
    <n v="321"/>
    <n v="19"/>
    <n v="780.32"/>
    <n v="153.44"/>
    <n v="933.76"/>
    <x v="1"/>
    <n v="0"/>
    <n v="90.04"/>
    <n v="399"/>
    <n v="438"/>
  </r>
  <r>
    <s v="O1000186"/>
    <s v="C1223"/>
    <x v="174"/>
    <d v="2023-08-22T00:00:00"/>
    <x v="2"/>
    <x v="1"/>
    <x v="5"/>
    <s v="Toronto"/>
    <s v="OFF-PA-10001204"/>
    <s v="Office Supplies"/>
    <s v="Paper"/>
    <s v="Xerox 1972"/>
    <n v="340.4"/>
    <n v="61"/>
    <s v="S676"/>
    <x v="4"/>
    <s v="W18"/>
    <x v="0"/>
    <s v="BlueDart"/>
    <s v="Beijing-New York"/>
    <n v="2141"/>
    <n v="257"/>
    <n v="4"/>
    <n v="1347.39"/>
    <n v="450.32"/>
    <n v="1797.71"/>
    <x v="1"/>
    <n v="0"/>
    <n v="79.7"/>
    <n v="410"/>
    <n v="421"/>
  </r>
  <r>
    <s v="O1000187"/>
    <s v="C4208"/>
    <x v="175"/>
    <d v="2021-09-09T00:00:00"/>
    <x v="2"/>
    <x v="1"/>
    <x v="7"/>
    <s v="Cape Town"/>
    <s v="OFF-PA-10001215"/>
    <s v="Office Supplies"/>
    <s v="Paper"/>
    <s v="Xerox 1963"/>
    <n v="235.53"/>
    <n v="55"/>
    <s v="S345"/>
    <x v="0"/>
    <s v="W46"/>
    <x v="2"/>
    <s v="FedEx"/>
    <s v="Beijing-London"/>
    <n v="1642"/>
    <n v="325"/>
    <n v="23"/>
    <n v="507.61"/>
    <n v="99.31"/>
    <n v="606.92000000000007"/>
    <x v="1"/>
    <n v="0"/>
    <n v="82.82"/>
    <n v="214"/>
    <n v="217"/>
  </r>
  <r>
    <s v="O1000188"/>
    <s v="C1062"/>
    <x v="176"/>
    <d v="2021-01-29T00:00:00"/>
    <x v="2"/>
    <x v="1"/>
    <x v="7"/>
    <s v="London"/>
    <s v="OFF-ST-10000736"/>
    <s v="Office Supplies"/>
    <s v="Storage"/>
    <s v="Carina Double Wide Media Storage Towers in Natural &amp; Black"/>
    <n v="74.040000000000006"/>
    <n v="7"/>
    <s v="S713"/>
    <x v="0"/>
    <s v="W4"/>
    <x v="3"/>
    <s v="UPS"/>
    <s v="Mumbai-Cape Town"/>
    <n v="3724"/>
    <n v="466"/>
    <n v="8"/>
    <n v="511.79"/>
    <n v="65.83"/>
    <n v="577.62"/>
    <x v="1"/>
    <n v="0"/>
    <n v="77.069999999999993"/>
    <n v="132"/>
    <n v="126"/>
  </r>
  <r>
    <s v="O1000189"/>
    <s v="C1917"/>
    <x v="177"/>
    <d v="2020-01-24T00:00:00"/>
    <x v="0"/>
    <x v="0"/>
    <x v="6"/>
    <s v="São Paulo"/>
    <s v="OFF-ST-10003221"/>
    <s v="Office Supplies"/>
    <s v="Storage"/>
    <s v="Staple magnet"/>
    <n v="199.53"/>
    <n v="61"/>
    <s v="S887"/>
    <x v="1"/>
    <s v="W34"/>
    <x v="0"/>
    <s v="BlueDart"/>
    <s v="Berlin-São Paulo"/>
    <n v="4021"/>
    <n v="137"/>
    <n v="20"/>
    <n v="1430.03"/>
    <n v="258.5"/>
    <n v="1688.53"/>
    <x v="1"/>
    <n v="0"/>
    <n v="70.760000000000005"/>
    <n v="470"/>
    <n v="426"/>
  </r>
  <r>
    <s v="O1000190"/>
    <s v="C5923"/>
    <x v="83"/>
    <d v="2020-02-01T00:00:00"/>
    <x v="1"/>
    <x v="2"/>
    <x v="4"/>
    <s v="Berlin"/>
    <s v="TEC-AC-10004877"/>
    <s v="Technology"/>
    <s v="Accessories"/>
    <s v="Imation 30456 USB Flash Drive 8GB"/>
    <n v="355.56"/>
    <n v="28"/>
    <s v="S786"/>
    <x v="0"/>
    <s v="W5"/>
    <x v="3"/>
    <s v="BlueDart"/>
    <s v="Toronto-Mumbai"/>
    <n v="3754"/>
    <n v="367"/>
    <n v="1"/>
    <n v="297.49"/>
    <n v="226.33"/>
    <n v="523.82000000000005"/>
    <x v="1"/>
    <n v="0"/>
    <n v="83.6"/>
    <n v="289"/>
    <n v="287"/>
  </r>
  <r>
    <s v="O1000191"/>
    <s v="C8875"/>
    <x v="178"/>
    <d v="2020-06-24T00:00:00"/>
    <x v="1"/>
    <x v="2"/>
    <x v="7"/>
    <s v="Berlin"/>
    <s v="TEC-MA-10003626"/>
    <s v="Technology"/>
    <s v="Machines"/>
    <s v="Hewlett-Packard Deskjet 6540 Color Inkjet Printer"/>
    <n v="107.85"/>
    <n v="78"/>
    <s v="S625"/>
    <x v="0"/>
    <s v="W39"/>
    <x v="1"/>
    <s v="BlueDart"/>
    <s v="New York-Mumbai"/>
    <n v="4926"/>
    <n v="387"/>
    <n v="21"/>
    <n v="692.15"/>
    <n v="130.80000000000001"/>
    <n v="822.95"/>
    <x v="1"/>
    <n v="0"/>
    <n v="74.83"/>
    <n v="286"/>
    <n v="317"/>
  </r>
  <r>
    <s v="O1000192"/>
    <s v="C1622"/>
    <x v="179"/>
    <d v="2024-08-28T00:00:00"/>
    <x v="2"/>
    <x v="3"/>
    <x v="4"/>
    <s v="Beijing"/>
    <s v="FUR-FU-10001756"/>
    <s v="Furniture"/>
    <s v="Furnishings"/>
    <s v="Eldon Expressions Desk Accessory, Wood Photo Frame, Mahogany"/>
    <n v="23.18"/>
    <n v="37"/>
    <s v="S156"/>
    <x v="1"/>
    <s v="W26"/>
    <x v="2"/>
    <s v="DHL"/>
    <s v="Toronto-São Paulo"/>
    <n v="2600"/>
    <n v="122"/>
    <n v="3"/>
    <n v="1942.19"/>
    <n v="452.53"/>
    <n v="2394.7199999999998"/>
    <x v="1"/>
    <n v="0"/>
    <n v="97.75"/>
    <n v="304"/>
    <n v="295"/>
  </r>
  <r>
    <s v="O1000193"/>
    <s v="C9843"/>
    <x v="138"/>
    <d v="2022-12-08T00:00:00"/>
    <x v="1"/>
    <x v="1"/>
    <x v="4"/>
    <s v="Mumbai"/>
    <s v="OFF-BI-10000773"/>
    <s v="Office Supplies"/>
    <s v="Binders"/>
    <s v="Insertable Tab Post Binder Dividers"/>
    <n v="27.74"/>
    <n v="37"/>
    <s v="S375"/>
    <x v="1"/>
    <s v="W35"/>
    <x v="2"/>
    <s v="BlueDart"/>
    <s v="Berlin-Berlin"/>
    <n v="1323"/>
    <n v="274"/>
    <n v="7"/>
    <n v="86.22"/>
    <n v="89.82"/>
    <n v="176.04"/>
    <x v="1"/>
    <n v="0"/>
    <n v="85.18"/>
    <n v="334"/>
    <n v="320"/>
  </r>
  <r>
    <s v="O1000194"/>
    <s v="C8894"/>
    <x v="180"/>
    <d v="2023-05-27T00:00:00"/>
    <x v="2"/>
    <x v="0"/>
    <x v="4"/>
    <s v="Toronto"/>
    <s v="OFF-BI-10001543"/>
    <s v="Office Supplies"/>
    <s v="Binders"/>
    <s v="GBC VeloBinder Manual Binding System"/>
    <n v="414.94"/>
    <n v="23"/>
    <s v="S212"/>
    <x v="2"/>
    <s v="W36"/>
    <x v="0"/>
    <s v="Maersk"/>
    <s v="New York-London"/>
    <n v="2076"/>
    <n v="147"/>
    <n v="26"/>
    <n v="51.65"/>
    <n v="275.05"/>
    <n v="326.7"/>
    <x v="1"/>
    <n v="0"/>
    <n v="71.900000000000006"/>
    <n v="223"/>
    <n v="222"/>
  </r>
  <r>
    <s v="O1000195"/>
    <s v="C5064"/>
    <x v="181"/>
    <d v="2023-06-20T00:00:00"/>
    <x v="1"/>
    <x v="4"/>
    <x v="5"/>
    <s v="Berlin"/>
    <s v="OFF-PA-10002120"/>
    <s v="Office Supplies"/>
    <s v="Paper"/>
    <s v="Xerox 1889"/>
    <n v="247.47"/>
    <n v="78"/>
    <s v="S465"/>
    <x v="0"/>
    <s v="W16"/>
    <x v="1"/>
    <s v="FedEx"/>
    <s v="Toronto-Cape Town"/>
    <n v="4660"/>
    <n v="439"/>
    <n v="21"/>
    <n v="404.37"/>
    <n v="201.21"/>
    <n v="605.58000000000004"/>
    <x v="1"/>
    <n v="0"/>
    <n v="71.53"/>
    <n v="424"/>
    <n v="387"/>
  </r>
  <r>
    <s v="O1000196"/>
    <s v="C7140"/>
    <x v="182"/>
    <d v="2020-09-28T00:00:00"/>
    <x v="2"/>
    <x v="0"/>
    <x v="6"/>
    <s v="New York"/>
    <s v="OFF-ST-10001490"/>
    <s v="Office Supplies"/>
    <s v="Storage"/>
    <s v="Hot File 7-Pocket, Floor Stand"/>
    <n v="110.28"/>
    <n v="61"/>
    <s v="S635"/>
    <x v="1"/>
    <s v="W34"/>
    <x v="0"/>
    <s v="BlueDart"/>
    <s v="Beijing-Berlin"/>
    <n v="4847"/>
    <n v="54"/>
    <n v="7"/>
    <n v="1775.82"/>
    <n v="272.06"/>
    <n v="2047.88"/>
    <x v="0"/>
    <n v="12"/>
    <n v="79.290000000000006"/>
    <n v="358"/>
    <n v="319"/>
  </r>
  <r>
    <s v="O1000197"/>
    <s v="C5167"/>
    <x v="183"/>
    <d v="2023-12-15T00:00:00"/>
    <x v="0"/>
    <x v="3"/>
    <x v="4"/>
    <s v="Mumbai"/>
    <s v="TEC-PH-10002415"/>
    <s v="Technology"/>
    <s v="Phones"/>
    <s v="Polycom VoiceStation 500 Conference phone"/>
    <n v="459.68"/>
    <n v="27"/>
    <s v="S570"/>
    <x v="4"/>
    <s v="W27"/>
    <x v="1"/>
    <s v="UPS"/>
    <s v="London-Cape Town"/>
    <n v="188"/>
    <n v="160"/>
    <n v="24"/>
    <n v="272.56"/>
    <n v="314.79000000000002"/>
    <n v="587.35"/>
    <x v="1"/>
    <n v="0"/>
    <n v="76.39"/>
    <n v="457"/>
    <n v="435"/>
  </r>
  <r>
    <s v="O1000198"/>
    <s v="C9420"/>
    <x v="184"/>
    <d v="2021-06-12T00:00:00"/>
    <x v="2"/>
    <x v="0"/>
    <x v="6"/>
    <s v="Beijing"/>
    <s v="FUR-TA-10001950"/>
    <s v="Furniture"/>
    <s v="Tables"/>
    <s v="Balt Solid Wood Round Tables"/>
    <n v="177.53"/>
    <n v="62"/>
    <s v="S244"/>
    <x v="3"/>
    <s v="W16"/>
    <x v="2"/>
    <s v="Maersk"/>
    <s v="Cape Town-Beijing"/>
    <n v="4600"/>
    <n v="365"/>
    <n v="6"/>
    <n v="1142.79"/>
    <n v="392.48"/>
    <n v="1535.27"/>
    <x v="1"/>
    <n v="0"/>
    <n v="99.38"/>
    <n v="449"/>
    <n v="474"/>
  </r>
  <r>
    <s v="O1000199"/>
    <s v="C5948"/>
    <x v="177"/>
    <d v="2023-06-03T00:00:00"/>
    <x v="2"/>
    <x v="3"/>
    <x v="5"/>
    <s v="Cape Town"/>
    <s v="FUR-TA-10003473"/>
    <s v="Furniture"/>
    <s v="Tables"/>
    <s v="Bretford Rectangular Conference Table Tops"/>
    <n v="51.69"/>
    <n v="37"/>
    <s v="S581"/>
    <x v="0"/>
    <s v="W29"/>
    <x v="0"/>
    <s v="UPS"/>
    <s v="New York-Beijing"/>
    <n v="4713"/>
    <n v="370"/>
    <n v="8"/>
    <n v="686.76"/>
    <n v="263.17"/>
    <n v="949.93000000000006"/>
    <x v="1"/>
    <n v="0"/>
    <n v="91.28"/>
    <n v="206"/>
    <n v="212"/>
  </r>
  <r>
    <s v="O1000200"/>
    <s v="C9340"/>
    <x v="185"/>
    <d v="2020-02-23T00:00:00"/>
    <x v="2"/>
    <x v="0"/>
    <x v="0"/>
    <s v="New York"/>
    <s v="FUR-TA-10004175"/>
    <s v="Furniture"/>
    <s v="Tables"/>
    <s v="Hon 30&quot; x 60&quot; Table with Locking Drawer"/>
    <n v="13.4"/>
    <n v="93"/>
    <s v="S224"/>
    <x v="4"/>
    <s v="W17"/>
    <x v="2"/>
    <s v="FedEx"/>
    <s v="Cape Town-São Paulo"/>
    <n v="4650"/>
    <n v="434"/>
    <n v="19"/>
    <n v="690.84"/>
    <n v="475.24"/>
    <n v="1166.08"/>
    <x v="1"/>
    <n v="0"/>
    <n v="93.73"/>
    <n v="273"/>
    <n v="307"/>
  </r>
  <r>
    <s v="O1000201"/>
    <s v="C2549"/>
    <x v="186"/>
    <d v="2020-08-15T00:00:00"/>
    <x v="2"/>
    <x v="4"/>
    <x v="5"/>
    <s v="New York"/>
    <s v="OFF-AP-10001154"/>
    <s v="Office Supplies"/>
    <s v="Appliances"/>
    <s v="Bionaire Personal Warm Mist Humidifier/Vaporizer"/>
    <n v="357.32"/>
    <n v="73"/>
    <s v="S592"/>
    <x v="1"/>
    <s v="W9"/>
    <x v="1"/>
    <s v="FedEx"/>
    <s v="Berlin-Toronto"/>
    <n v="1937"/>
    <n v="251"/>
    <n v="6"/>
    <n v="1161.28"/>
    <n v="497.52"/>
    <n v="1658.8"/>
    <x v="1"/>
    <n v="0"/>
    <n v="84.19"/>
    <n v="328"/>
    <n v="330"/>
  </r>
  <r>
    <s v="O1000202"/>
    <s v="C9903"/>
    <x v="187"/>
    <d v="2022-07-31T00:00:00"/>
    <x v="2"/>
    <x v="1"/>
    <x v="1"/>
    <s v="London"/>
    <s v="OFF-AP-10003971"/>
    <s v="Office Supplies"/>
    <s v="Appliances"/>
    <s v="Belkin 6 Outlet Metallic Surge Strip"/>
    <n v="242.51"/>
    <n v="54"/>
    <s v="S630"/>
    <x v="1"/>
    <s v="W19"/>
    <x v="1"/>
    <s v="FedEx"/>
    <s v="Toronto-São Paulo"/>
    <n v="4884"/>
    <n v="459"/>
    <n v="12"/>
    <n v="1037.33"/>
    <n v="350.54"/>
    <n v="1387.87"/>
    <x v="1"/>
    <n v="0"/>
    <n v="70.739999999999995"/>
    <n v="354"/>
    <n v="334"/>
  </r>
  <r>
    <s v="O1000203"/>
    <s v="C3832"/>
    <x v="188"/>
    <d v="2023-04-02T00:00:00"/>
    <x v="0"/>
    <x v="3"/>
    <x v="7"/>
    <s v="Toronto"/>
    <s v="OFF-AR-10003732"/>
    <s v="Office Supplies"/>
    <s v="Art"/>
    <s v="Newell 333"/>
    <n v="156.01"/>
    <n v="5"/>
    <s v="S146"/>
    <x v="2"/>
    <s v="W9"/>
    <x v="0"/>
    <s v="UPS"/>
    <s v="New York-London"/>
    <n v="4114"/>
    <n v="402"/>
    <n v="25"/>
    <n v="1786.27"/>
    <n v="273.60000000000002"/>
    <n v="2059.87"/>
    <x v="0"/>
    <n v="13"/>
    <n v="77.319999999999993"/>
    <n v="497"/>
    <n v="546"/>
  </r>
  <r>
    <s v="O1000204"/>
    <s v="C5673"/>
    <x v="189"/>
    <d v="2021-07-07T00:00:00"/>
    <x v="1"/>
    <x v="2"/>
    <x v="5"/>
    <s v="Mumbai"/>
    <s v="OFF-AR-10003829"/>
    <s v="Office Supplies"/>
    <s v="Art"/>
    <s v="Newell 35"/>
    <n v="60.29"/>
    <n v="45"/>
    <s v="S543"/>
    <x v="3"/>
    <s v="W29"/>
    <x v="1"/>
    <s v="Maersk"/>
    <s v="Toronto-São Paulo"/>
    <n v="4273"/>
    <n v="287"/>
    <n v="7"/>
    <n v="1400.45"/>
    <n v="28.15"/>
    <n v="1428.6"/>
    <x v="1"/>
    <n v="0"/>
    <n v="77.760000000000005"/>
    <n v="151"/>
    <n v="158"/>
  </r>
  <r>
    <s v="O1000205"/>
    <s v="C1211"/>
    <x v="136"/>
    <d v="2024-03-04T00:00:00"/>
    <x v="2"/>
    <x v="4"/>
    <x v="4"/>
    <s v="Beijing"/>
    <s v="OFF-BI-10000136"/>
    <s v="Office Supplies"/>
    <s v="Binders"/>
    <s v="Avery Non-Stick Heavy Duty View Round Locking Ring Binders"/>
    <n v="242.39"/>
    <n v="65"/>
    <s v="S332"/>
    <x v="1"/>
    <s v="W48"/>
    <x v="3"/>
    <s v="BlueDart"/>
    <s v="Toronto-Berlin"/>
    <n v="1323"/>
    <n v="134"/>
    <n v="26"/>
    <n v="721.05"/>
    <n v="186.83"/>
    <n v="907.88"/>
    <x v="1"/>
    <n v="0"/>
    <n v="79.959999999999994"/>
    <n v="314"/>
    <n v="350"/>
  </r>
  <r>
    <s v="O1000206"/>
    <s v="C7208"/>
    <x v="190"/>
    <d v="2020-04-30T00:00:00"/>
    <x v="2"/>
    <x v="1"/>
    <x v="6"/>
    <s v="Berlin"/>
    <s v="OFF-BI-10000309"/>
    <s v="Office Supplies"/>
    <s v="Binders"/>
    <s v="GBC Twin Loop Wire Binding Elements, 9/16&quot; Spine, Black"/>
    <n v="255.87"/>
    <n v="12"/>
    <s v="S563"/>
    <x v="0"/>
    <s v="W5"/>
    <x v="2"/>
    <s v="DHL"/>
    <s v="São Paulo-Berlin"/>
    <n v="4585"/>
    <n v="304"/>
    <n v="15"/>
    <n v="1977.02"/>
    <n v="249.04"/>
    <n v="2226.06"/>
    <x v="1"/>
    <n v="0"/>
    <n v="86.17"/>
    <n v="61"/>
    <n v="66"/>
  </r>
  <r>
    <s v="O1000207"/>
    <s v="C9552"/>
    <x v="42"/>
    <d v="2023-10-04T00:00:00"/>
    <x v="2"/>
    <x v="0"/>
    <x v="1"/>
    <s v="Cape Town"/>
    <s v="OFF-BI-10000605"/>
    <s v="Office Supplies"/>
    <s v="Binders"/>
    <s v="Acco Pressboard Covers with Storage Hooks, 9 1/2&quot; x 11&quot;, Executive Red"/>
    <n v="480.68"/>
    <n v="53"/>
    <s v="S828"/>
    <x v="2"/>
    <s v="W29"/>
    <x v="1"/>
    <s v="FedEx"/>
    <s v="Mumbai-Beijing"/>
    <n v="765"/>
    <n v="443"/>
    <n v="27"/>
    <n v="287.43"/>
    <n v="85.94"/>
    <n v="373.37"/>
    <x v="1"/>
    <n v="0"/>
    <n v="78.12"/>
    <n v="134"/>
    <n v="153"/>
  </r>
  <r>
    <s v="O1000208"/>
    <s v="C2825"/>
    <x v="191"/>
    <d v="2022-08-05T00:00:00"/>
    <x v="2"/>
    <x v="4"/>
    <x v="6"/>
    <s v="Cape Town"/>
    <s v="OFF-BI-10001758"/>
    <s v="Office Supplies"/>
    <s v="Binders"/>
    <s v="Wilson Jones 14 Line Acrylic Coated Pressboard Data Binders"/>
    <n v="58.8"/>
    <n v="76"/>
    <s v="S302"/>
    <x v="1"/>
    <s v="W8"/>
    <x v="1"/>
    <s v="UPS"/>
    <s v="New York-London"/>
    <n v="2392"/>
    <n v="349"/>
    <n v="9"/>
    <n v="1418.58"/>
    <n v="117.76"/>
    <n v="1536.34"/>
    <x v="1"/>
    <n v="0"/>
    <n v="78.8"/>
    <n v="89"/>
    <n v="59"/>
  </r>
  <r>
    <s v="O1000209"/>
    <s v="C6160"/>
    <x v="192"/>
    <d v="2021-09-08T00:00:00"/>
    <x v="2"/>
    <x v="1"/>
    <x v="4"/>
    <s v="Mumbai"/>
    <s v="OFF-PA-10000466"/>
    <s v="Office Supplies"/>
    <s v="Paper"/>
    <s v="Memo Book, 100 Message Capacity, 5 3/8” x 11”"/>
    <n v="219.57"/>
    <n v="96"/>
    <s v="S985"/>
    <x v="3"/>
    <s v="W46"/>
    <x v="1"/>
    <s v="BlueDart"/>
    <s v="Berlin-Toronto"/>
    <n v="2606"/>
    <n v="68"/>
    <n v="6"/>
    <n v="1169.51"/>
    <n v="480.26"/>
    <n v="1649.77"/>
    <x v="1"/>
    <n v="0"/>
    <n v="70.95"/>
    <n v="272"/>
    <n v="271"/>
  </r>
  <r>
    <s v="O1000210"/>
    <s v="C7204"/>
    <x v="193"/>
    <d v="2023-04-07T00:00:00"/>
    <x v="0"/>
    <x v="4"/>
    <x v="7"/>
    <s v="New York"/>
    <s v="OFF-PA-10000919"/>
    <s v="Office Supplies"/>
    <s v="Paper"/>
    <s v="Xerox 1918"/>
    <n v="327.27"/>
    <n v="23"/>
    <s v="S610"/>
    <x v="2"/>
    <s v="W24"/>
    <x v="3"/>
    <s v="BlueDart"/>
    <s v="London-Berlin"/>
    <n v="4012"/>
    <n v="437"/>
    <n v="28"/>
    <n v="391.41"/>
    <n v="108.58"/>
    <n v="499.99"/>
    <x v="1"/>
    <n v="0"/>
    <n v="88.48"/>
    <n v="493"/>
    <n v="472"/>
  </r>
  <r>
    <s v="O1000211"/>
    <s v="C8558"/>
    <x v="68"/>
    <d v="2023-03-03T00:00:00"/>
    <x v="2"/>
    <x v="4"/>
    <x v="3"/>
    <s v="Toronto"/>
    <s v="OFF-PA-10002195"/>
    <s v="Office Supplies"/>
    <s v="Paper"/>
    <s v="Xerox 1966"/>
    <n v="350.58"/>
    <n v="18"/>
    <s v="S314"/>
    <x v="4"/>
    <s v="W35"/>
    <x v="3"/>
    <s v="FedEx"/>
    <s v="Beijing-London"/>
    <n v="2582"/>
    <n v="231"/>
    <n v="4"/>
    <n v="1442.07"/>
    <n v="74.040000000000006"/>
    <n v="1516.11"/>
    <x v="1"/>
    <n v="0"/>
    <n v="71.760000000000005"/>
    <n v="388"/>
    <n v="373"/>
  </r>
  <r>
    <s v="O1000212"/>
    <s v="C5084"/>
    <x v="194"/>
    <d v="2022-03-11T00:00:00"/>
    <x v="1"/>
    <x v="1"/>
    <x v="2"/>
    <s v="New York"/>
    <s v="OFF-PA-10002365"/>
    <s v="Office Supplies"/>
    <s v="Paper"/>
    <s v="Xerox 1967"/>
    <n v="215.89"/>
    <n v="54"/>
    <s v="S204"/>
    <x v="4"/>
    <s v="W35"/>
    <x v="0"/>
    <s v="FedEx"/>
    <s v="Toronto-Cape Town"/>
    <n v="2888"/>
    <n v="301"/>
    <n v="10"/>
    <n v="1400.61"/>
    <n v="167.19"/>
    <n v="1567.8"/>
    <x v="1"/>
    <n v="0"/>
    <n v="75.59"/>
    <n v="56"/>
    <n v="10"/>
  </r>
  <r>
    <s v="O1000213"/>
    <s v="C5576"/>
    <x v="195"/>
    <d v="2020-07-14T00:00:00"/>
    <x v="2"/>
    <x v="2"/>
    <x v="4"/>
    <s v="Toronto"/>
    <s v="OFF-PA-10002960"/>
    <s v="Office Supplies"/>
    <s v="Paper"/>
    <s v="Xerox 1926"/>
    <n v="210.82"/>
    <n v="30"/>
    <s v="S198"/>
    <x v="2"/>
    <s v="W40"/>
    <x v="2"/>
    <s v="UPS"/>
    <s v="Beijing-London"/>
    <n v="2100"/>
    <n v="71"/>
    <n v="15"/>
    <n v="90.13"/>
    <n v="382.79"/>
    <n v="472.92"/>
    <x v="1"/>
    <n v="0"/>
    <n v="98.07"/>
    <n v="337"/>
    <n v="287"/>
  </r>
  <r>
    <s v="O1000214"/>
    <s v="C1139"/>
    <x v="196"/>
    <d v="2021-01-20T00:00:00"/>
    <x v="2"/>
    <x v="1"/>
    <x v="7"/>
    <s v="Cape Town"/>
    <s v="OFF-PA-10003063"/>
    <s v="Office Supplies"/>
    <s v="Paper"/>
    <s v="EcoTones Memo Sheets"/>
    <n v="19.489999999999998"/>
    <n v="94"/>
    <s v="S321"/>
    <x v="0"/>
    <s v="W37"/>
    <x v="2"/>
    <s v="BlueDart"/>
    <s v="Mumbai-Beijing"/>
    <n v="2273"/>
    <n v="163"/>
    <n v="18"/>
    <n v="1335.07"/>
    <n v="434.22"/>
    <n v="1769.29"/>
    <x v="0"/>
    <n v="10"/>
    <n v="91.97"/>
    <n v="425"/>
    <n v="386"/>
  </r>
  <r>
    <s v="O1000215"/>
    <s v="C2716"/>
    <x v="197"/>
    <d v="2020-08-04T00:00:00"/>
    <x v="2"/>
    <x v="2"/>
    <x v="1"/>
    <s v="Berlin"/>
    <s v="OFF-PA-10003349"/>
    <s v="Office Supplies"/>
    <s v="Paper"/>
    <s v="Xerox 1957"/>
    <n v="387.24"/>
    <n v="61"/>
    <s v="S562"/>
    <x v="3"/>
    <s v="W8"/>
    <x v="3"/>
    <s v="FedEx"/>
    <s v="Mumbai-Mumbai"/>
    <n v="373"/>
    <n v="150"/>
    <n v="25"/>
    <n v="1515.68"/>
    <n v="42.93"/>
    <n v="1558.61"/>
    <x v="1"/>
    <n v="0"/>
    <n v="89.89"/>
    <n v="279"/>
    <n v="286"/>
  </r>
  <r>
    <s v="O1000216"/>
    <s v="C2634"/>
    <x v="198"/>
    <d v="2022-12-09T00:00:00"/>
    <x v="2"/>
    <x v="1"/>
    <x v="1"/>
    <s v="São Paulo"/>
    <s v="OFF-PA-10003641"/>
    <s v="Office Supplies"/>
    <s v="Paper"/>
    <s v="Xerox 1909"/>
    <n v="6.19"/>
    <n v="15"/>
    <s v="S945"/>
    <x v="3"/>
    <s v="W25"/>
    <x v="1"/>
    <s v="FedEx"/>
    <s v="New York-New York"/>
    <n v="748"/>
    <n v="347"/>
    <n v="29"/>
    <n v="516.28"/>
    <n v="411.45"/>
    <n v="927.73"/>
    <x v="1"/>
    <n v="0"/>
    <n v="92.78"/>
    <n v="68"/>
    <n v="83"/>
  </r>
  <r>
    <s v="O1000217"/>
    <s v="C4539"/>
    <x v="199"/>
    <d v="2024-12-24T00:00:00"/>
    <x v="1"/>
    <x v="4"/>
    <x v="3"/>
    <s v="Toronto"/>
    <s v="FUR-BO-10004218"/>
    <s v="Furniture"/>
    <s v="Bookcases"/>
    <s v="Bush Heritage Pine Collection 5-Shelf Bookcase, Albany Pine Finish, *Special Order"/>
    <n v="447.26"/>
    <n v="93"/>
    <s v="S701"/>
    <x v="2"/>
    <s v="W25"/>
    <x v="3"/>
    <s v="Maersk"/>
    <s v="Cape Town-Toronto"/>
    <n v="2686"/>
    <n v="89"/>
    <n v="3"/>
    <n v="797.51"/>
    <n v="152.94999999999999"/>
    <n v="950.46"/>
    <x v="1"/>
    <n v="0"/>
    <n v="94.05"/>
    <n v="494"/>
    <n v="511"/>
  </r>
  <r>
    <s v="O1000218"/>
    <s v="C7870"/>
    <x v="200"/>
    <d v="2022-08-23T00:00:00"/>
    <x v="2"/>
    <x v="2"/>
    <x v="1"/>
    <s v="Berlin"/>
    <s v="FUR-FU-10001986"/>
    <s v="Furniture"/>
    <s v="Furnishings"/>
    <s v="Dana Fluorescent Magnifying Lamp, White, 36&quot;"/>
    <n v="484.64"/>
    <n v="47"/>
    <s v="S155"/>
    <x v="1"/>
    <s v="W18"/>
    <x v="0"/>
    <s v="UPS"/>
    <s v="Cape Town-Beijing"/>
    <n v="3685"/>
    <n v="334"/>
    <n v="13"/>
    <n v="563.38"/>
    <n v="88.12"/>
    <n v="651.5"/>
    <x v="0"/>
    <n v="12"/>
    <n v="90.36"/>
    <n v="170"/>
    <n v="125"/>
  </r>
  <r>
    <s v="O1000219"/>
    <s v="C7278"/>
    <x v="201"/>
    <d v="2020-01-16T00:00:00"/>
    <x v="2"/>
    <x v="4"/>
    <x v="2"/>
    <s v="New York"/>
    <s v="FUR-FU-10004270"/>
    <s v="Furniture"/>
    <s v="Furnishings"/>
    <s v="Executive Impressions 13&quot; Clairmont Wall Clock"/>
    <n v="22.27"/>
    <n v="53"/>
    <s v="S987"/>
    <x v="3"/>
    <s v="W46"/>
    <x v="0"/>
    <s v="Maersk"/>
    <s v="New York-Berlin"/>
    <n v="2717"/>
    <n v="391"/>
    <n v="9"/>
    <n v="1498.26"/>
    <n v="165.05"/>
    <n v="1663.31"/>
    <x v="1"/>
    <n v="0"/>
    <n v="74.760000000000005"/>
    <n v="89"/>
    <n v="54"/>
  </r>
  <r>
    <s v="O1000220"/>
    <s v="C5077"/>
    <x v="202"/>
    <d v="2021-05-10T00:00:00"/>
    <x v="1"/>
    <x v="2"/>
    <x v="0"/>
    <s v="São Paulo"/>
    <s v="FUR-FU-10004597"/>
    <s v="Furniture"/>
    <s v="Furnishings"/>
    <s v="Eldon Cleatmat Chair Mats for Medium Pile Carpets"/>
    <n v="383.48"/>
    <n v="3"/>
    <s v="S270"/>
    <x v="0"/>
    <s v="W1"/>
    <x v="3"/>
    <s v="UPS"/>
    <s v="Beijing-New York"/>
    <n v="3572"/>
    <n v="294"/>
    <n v="5"/>
    <n v="649.48"/>
    <n v="91.1"/>
    <n v="740.58"/>
    <x v="1"/>
    <n v="0"/>
    <n v="96.58"/>
    <n v="181"/>
    <n v="224"/>
  </r>
  <r>
    <s v="O1000221"/>
    <s v="C1613"/>
    <x v="203"/>
    <d v="2022-08-14T00:00:00"/>
    <x v="1"/>
    <x v="3"/>
    <x v="6"/>
    <s v="Beijing"/>
    <s v="OFF-AR-10003183"/>
    <s v="Office Supplies"/>
    <s v="Art"/>
    <s v="Avery Fluorescent Highlighter Four-Color Set"/>
    <n v="335.86"/>
    <n v="98"/>
    <s v="S415"/>
    <x v="2"/>
    <s v="W10"/>
    <x v="0"/>
    <s v="DHL"/>
    <s v="Toronto-Cape Town"/>
    <n v="3157"/>
    <n v="397"/>
    <n v="9"/>
    <n v="1743.8"/>
    <n v="388.5"/>
    <n v="2132.3000000000002"/>
    <x v="1"/>
    <n v="0"/>
    <n v="95.56"/>
    <n v="83"/>
    <n v="68"/>
  </r>
  <r>
    <s v="O1000222"/>
    <s v="C7663"/>
    <x v="97"/>
    <d v="2022-07-07T00:00:00"/>
    <x v="1"/>
    <x v="1"/>
    <x v="3"/>
    <s v="London"/>
    <s v="OFF-FA-10003112"/>
    <s v="Office Supplies"/>
    <s v="Fasteners"/>
    <s v="Staples"/>
    <n v="203.49"/>
    <n v="95"/>
    <s v="S872"/>
    <x v="3"/>
    <s v="W2"/>
    <x v="3"/>
    <s v="BlueDart"/>
    <s v="Toronto-New York"/>
    <n v="1208"/>
    <n v="318"/>
    <n v="5"/>
    <n v="1145.6500000000001"/>
    <n v="18.62"/>
    <n v="1164.27"/>
    <x v="1"/>
    <n v="0"/>
    <n v="98.62"/>
    <n v="366"/>
    <n v="360"/>
  </r>
  <r>
    <s v="O1000223"/>
    <s v="C1569"/>
    <x v="204"/>
    <d v="2023-06-09T00:00:00"/>
    <x v="1"/>
    <x v="4"/>
    <x v="7"/>
    <s v="Berlin"/>
    <s v="OFF-PA-10001804"/>
    <s v="Office Supplies"/>
    <s v="Paper"/>
    <s v="Xerox 195"/>
    <n v="352.9"/>
    <n v="99"/>
    <s v="S656"/>
    <x v="2"/>
    <s v="W8"/>
    <x v="0"/>
    <s v="DHL"/>
    <s v="New York-Berlin"/>
    <n v="2642"/>
    <n v="325"/>
    <n v="10"/>
    <n v="137.06"/>
    <n v="283.73"/>
    <n v="420.79"/>
    <x v="1"/>
    <n v="0"/>
    <n v="96.69"/>
    <n v="406"/>
    <n v="404"/>
  </r>
  <r>
    <s v="O1000224"/>
    <s v="C7830"/>
    <x v="205"/>
    <d v="2020-10-16T00:00:00"/>
    <x v="0"/>
    <x v="3"/>
    <x v="2"/>
    <s v="Cape Town"/>
    <s v="OFF-ST-10000078"/>
    <s v="Office Supplies"/>
    <s v="Storage"/>
    <s v="Tennsco 6- and 18-Compartment Lockers"/>
    <n v="353.64"/>
    <n v="2"/>
    <s v="S465"/>
    <x v="3"/>
    <s v="W18"/>
    <x v="2"/>
    <s v="UPS"/>
    <s v="Mumbai-Berlin"/>
    <n v="4991"/>
    <n v="435"/>
    <n v="15"/>
    <n v="1373.97"/>
    <n v="331.93"/>
    <n v="1705.9"/>
    <x v="1"/>
    <n v="0"/>
    <n v="73.47"/>
    <n v="132"/>
    <n v="166"/>
  </r>
  <r>
    <s v="O1000225"/>
    <s v="C4760"/>
    <x v="150"/>
    <d v="2021-12-25T00:00:00"/>
    <x v="2"/>
    <x v="0"/>
    <x v="1"/>
    <s v="New York"/>
    <s v="TEC-MA-10001148"/>
    <s v="Technology"/>
    <s v="Machines"/>
    <s v="Swingline SM12-08 MicroCut Jam Free Shredder"/>
    <n v="163.87"/>
    <n v="76"/>
    <s v="S938"/>
    <x v="0"/>
    <s v="W35"/>
    <x v="3"/>
    <s v="UPS"/>
    <s v="Toronto-Toronto"/>
    <n v="654"/>
    <n v="208"/>
    <n v="2"/>
    <n v="129.46"/>
    <n v="342.94"/>
    <n v="472.4"/>
    <x v="1"/>
    <n v="0"/>
    <n v="80.84"/>
    <n v="170"/>
    <n v="204"/>
  </r>
  <r>
    <s v="O1000226"/>
    <s v="C4957"/>
    <x v="206"/>
    <d v="2023-09-18T00:00:00"/>
    <x v="2"/>
    <x v="0"/>
    <x v="5"/>
    <s v="Cape Town"/>
    <s v="TEC-MA-10002412"/>
    <s v="Technology"/>
    <s v="Machines"/>
    <s v="Cisco TelePresence System EX90 Videoconferencing Unit"/>
    <n v="111.35"/>
    <n v="4"/>
    <s v="S828"/>
    <x v="4"/>
    <s v="W11"/>
    <x v="0"/>
    <s v="Maersk"/>
    <s v="São Paulo-Toronto"/>
    <n v="2329"/>
    <n v="473"/>
    <n v="17"/>
    <n v="1400.16"/>
    <n v="479.23"/>
    <n v="1879.39"/>
    <x v="0"/>
    <n v="6"/>
    <n v="95.79"/>
    <n v="406"/>
    <n v="371"/>
  </r>
  <r>
    <s v="O1000227"/>
    <s v="C2376"/>
    <x v="207"/>
    <d v="2022-11-25T00:00:00"/>
    <x v="1"/>
    <x v="2"/>
    <x v="2"/>
    <s v="Beijing"/>
    <s v="TEC-MA-10003626"/>
    <s v="Technology"/>
    <s v="Machines"/>
    <s v="Hewlett-Packard Deskjet 6540 Color Inkjet Printer"/>
    <n v="123.62"/>
    <n v="52"/>
    <s v="S676"/>
    <x v="1"/>
    <s v="W18"/>
    <x v="3"/>
    <s v="DHL"/>
    <s v="New York-London"/>
    <n v="1657"/>
    <n v="298"/>
    <n v="23"/>
    <n v="1779.68"/>
    <n v="123.49"/>
    <n v="1903.17"/>
    <x v="1"/>
    <n v="0"/>
    <n v="73.400000000000006"/>
    <n v="356"/>
    <n v="320"/>
  </r>
  <r>
    <s v="O1000228"/>
    <s v="C4570"/>
    <x v="208"/>
    <d v="2020-04-29T00:00:00"/>
    <x v="1"/>
    <x v="2"/>
    <x v="3"/>
    <s v="Cape Town"/>
    <s v="FUR-FU-10002508"/>
    <s v="Furniture"/>
    <s v="Furnishings"/>
    <s v="Document Clip Frames"/>
    <n v="201.26"/>
    <n v="62"/>
    <s v="S639"/>
    <x v="0"/>
    <s v="W26"/>
    <x v="0"/>
    <s v="Maersk"/>
    <s v="Berlin-Mumbai"/>
    <n v="805"/>
    <n v="200"/>
    <n v="17"/>
    <n v="219.25"/>
    <n v="427.91"/>
    <n v="647.16000000000008"/>
    <x v="1"/>
    <n v="0"/>
    <n v="87.11"/>
    <n v="265"/>
    <n v="268"/>
  </r>
  <r>
    <s v="O1000229"/>
    <s v="C8805"/>
    <x v="209"/>
    <d v="2021-09-20T00:00:00"/>
    <x v="2"/>
    <x v="2"/>
    <x v="0"/>
    <s v="London"/>
    <s v="FUR-FU-10003981"/>
    <s v="Furniture"/>
    <s v="Furnishings"/>
    <s v="Eldon Wave Desk Accessories"/>
    <n v="347.18"/>
    <n v="14"/>
    <s v="S529"/>
    <x v="0"/>
    <s v="W29"/>
    <x v="3"/>
    <s v="DHL"/>
    <s v="São Paulo-Beijing"/>
    <n v="4971"/>
    <n v="434"/>
    <n v="12"/>
    <n v="1856.36"/>
    <n v="254.31"/>
    <n v="2110.67"/>
    <x v="0"/>
    <n v="10"/>
    <n v="70.36"/>
    <n v="159"/>
    <n v="133"/>
  </r>
  <r>
    <s v="O1000230"/>
    <s v="C1287"/>
    <x v="183"/>
    <d v="2021-10-27T00:00:00"/>
    <x v="2"/>
    <x v="2"/>
    <x v="2"/>
    <s v="Berlin"/>
    <s v="OFF-BI-10001196"/>
    <s v="Office Supplies"/>
    <s v="Binders"/>
    <s v="Avery Flip-Chart Easel Binder, Black"/>
    <n v="130.51"/>
    <n v="39"/>
    <s v="S453"/>
    <x v="4"/>
    <s v="W24"/>
    <x v="2"/>
    <s v="BlueDart"/>
    <s v="Beijing-London"/>
    <n v="4663"/>
    <n v="74"/>
    <n v="1"/>
    <n v="188.65"/>
    <n v="280.64"/>
    <n v="469.29"/>
    <x v="1"/>
    <n v="0"/>
    <n v="95.23"/>
    <n v="202"/>
    <n v="242"/>
  </r>
  <r>
    <s v="O1000231"/>
    <s v="C9542"/>
    <x v="210"/>
    <d v="2020-03-18T00:00:00"/>
    <x v="2"/>
    <x v="3"/>
    <x v="6"/>
    <s v="New York"/>
    <s v="OFF-LA-10000443"/>
    <s v="Office Supplies"/>
    <s v="Labels"/>
    <s v="Avery 501"/>
    <n v="120.66"/>
    <n v="4"/>
    <s v="S882"/>
    <x v="3"/>
    <s v="W30"/>
    <x v="3"/>
    <s v="BlueDart"/>
    <s v="São Paulo-New York"/>
    <n v="644"/>
    <n v="429"/>
    <n v="15"/>
    <n v="575.09"/>
    <n v="313.87"/>
    <n v="888.96"/>
    <x v="1"/>
    <n v="0"/>
    <n v="72.45"/>
    <n v="282"/>
    <n v="274"/>
  </r>
  <r>
    <s v="O1000232"/>
    <s v="C7957"/>
    <x v="211"/>
    <d v="2020-12-30T00:00:00"/>
    <x v="2"/>
    <x v="3"/>
    <x v="5"/>
    <s v="Beijing"/>
    <s v="OFF-ST-10000918"/>
    <s v="Office Supplies"/>
    <s v="Storage"/>
    <s v="Crate-A-Files"/>
    <n v="282.81"/>
    <n v="39"/>
    <s v="S225"/>
    <x v="1"/>
    <s v="W35"/>
    <x v="1"/>
    <s v="Maersk"/>
    <s v="Toronto-Mumbai"/>
    <n v="3419"/>
    <n v="288"/>
    <n v="23"/>
    <n v="262.55"/>
    <n v="401.9"/>
    <n v="664.45"/>
    <x v="1"/>
    <n v="0"/>
    <n v="91.97"/>
    <n v="165"/>
    <n v="151"/>
  </r>
  <r>
    <s v="O1000233"/>
    <s v="C1100"/>
    <x v="212"/>
    <d v="2023-10-23T00:00:00"/>
    <x v="2"/>
    <x v="1"/>
    <x v="4"/>
    <s v="New York"/>
    <s v="TEC-AC-10002647"/>
    <s v="Technology"/>
    <s v="Accessories"/>
    <s v="Logitech Wireless Boombox Speaker - portable - wireless, wired"/>
    <n v="414.51"/>
    <n v="76"/>
    <s v="S145"/>
    <x v="4"/>
    <s v="W1"/>
    <x v="0"/>
    <s v="BlueDart"/>
    <s v="New York-Mumbai"/>
    <n v="3339"/>
    <n v="384"/>
    <n v="29"/>
    <n v="190.4"/>
    <n v="129.66"/>
    <n v="320.06"/>
    <x v="1"/>
    <n v="0"/>
    <n v="73.77"/>
    <n v="285"/>
    <n v="293"/>
  </r>
  <r>
    <s v="O1000234"/>
    <s v="C7719"/>
    <x v="213"/>
    <d v="2023-01-15T00:00:00"/>
    <x v="2"/>
    <x v="3"/>
    <x v="7"/>
    <s v="Beijing"/>
    <s v="TEC-PH-10004667"/>
    <s v="Technology"/>
    <s v="Phones"/>
    <s v="Cisco 8x8 Inc. 6753i IP Business Phone System"/>
    <n v="114.57"/>
    <n v="21"/>
    <s v="S743"/>
    <x v="4"/>
    <s v="W34"/>
    <x v="2"/>
    <s v="FedEx"/>
    <s v="New York-Mumbai"/>
    <n v="3913"/>
    <n v="156"/>
    <n v="1"/>
    <n v="759.77"/>
    <n v="372.21"/>
    <n v="1131.98"/>
    <x v="1"/>
    <n v="0"/>
    <n v="74.08"/>
    <n v="353"/>
    <n v="401"/>
  </r>
  <r>
    <s v="O1000235"/>
    <s v="C1890"/>
    <x v="214"/>
    <d v="2023-07-15T00:00:00"/>
    <x v="2"/>
    <x v="0"/>
    <x v="7"/>
    <s v="London"/>
    <s v="FUR-CH-10000422"/>
    <s v="Furniture"/>
    <s v="Chairs"/>
    <s v="Global Highback Leather Tilter in Burgundy"/>
    <n v="27.76"/>
    <n v="74"/>
    <s v="S762"/>
    <x v="0"/>
    <s v="W11"/>
    <x v="3"/>
    <s v="DHL"/>
    <s v="Mumbai-London"/>
    <n v="1286"/>
    <n v="129"/>
    <n v="1"/>
    <n v="1964.59"/>
    <n v="155.62"/>
    <n v="2120.21"/>
    <x v="1"/>
    <n v="0"/>
    <n v="72.319999999999993"/>
    <n v="405"/>
    <n v="422"/>
  </r>
  <r>
    <s v="O1000236"/>
    <s v="C3179"/>
    <x v="215"/>
    <d v="2021-07-31T00:00:00"/>
    <x v="2"/>
    <x v="1"/>
    <x v="7"/>
    <s v="Berlin"/>
    <s v="FUR-FU-10001473"/>
    <s v="Furniture"/>
    <s v="Furnishings"/>
    <s v="DAX Wood Document Frame"/>
    <n v="416.74"/>
    <n v="42"/>
    <s v="S416"/>
    <x v="2"/>
    <s v="W28"/>
    <x v="2"/>
    <s v="BlueDart"/>
    <s v="Mumbai-New York"/>
    <n v="2850"/>
    <n v="477"/>
    <n v="26"/>
    <n v="315.58999999999997"/>
    <n v="142.06"/>
    <n v="457.65"/>
    <x v="1"/>
    <n v="0"/>
    <n v="91.62"/>
    <n v="288"/>
    <n v="335"/>
  </r>
  <r>
    <s v="O1000237"/>
    <s v="C5234"/>
    <x v="216"/>
    <d v="2022-03-26T00:00:00"/>
    <x v="2"/>
    <x v="0"/>
    <x v="6"/>
    <s v="New York"/>
    <s v="OFF-AR-10001573"/>
    <s v="Office Supplies"/>
    <s v="Art"/>
    <s v="American Pencil"/>
    <n v="116.12"/>
    <n v="44"/>
    <s v="S835"/>
    <x v="2"/>
    <s v="W34"/>
    <x v="1"/>
    <s v="BlueDart"/>
    <s v="Toronto-Mumbai"/>
    <n v="4542"/>
    <n v="182"/>
    <n v="11"/>
    <n v="1786.29"/>
    <n v="36.9"/>
    <n v="1823.19"/>
    <x v="1"/>
    <n v="0"/>
    <n v="76.94"/>
    <n v="444"/>
    <n v="466"/>
  </r>
  <r>
    <s v="O1000238"/>
    <s v="C6964"/>
    <x v="169"/>
    <d v="2024-01-02T00:00:00"/>
    <x v="2"/>
    <x v="4"/>
    <x v="7"/>
    <s v="Berlin"/>
    <s v="OFF-AR-10004027"/>
    <s v="Office Supplies"/>
    <s v="Art"/>
    <s v="Binney &amp; Smith inkTank Erasable Desk Highlighter, Chisel Tip, Yellow, 12/Box"/>
    <n v="321.14999999999998"/>
    <n v="68"/>
    <s v="S405"/>
    <x v="0"/>
    <s v="W44"/>
    <x v="1"/>
    <s v="UPS"/>
    <s v="Cape Town-Toronto"/>
    <n v="89"/>
    <n v="431"/>
    <n v="10"/>
    <n v="1980.82"/>
    <n v="94.51"/>
    <n v="2075.33"/>
    <x v="0"/>
    <n v="4"/>
    <n v="82.91"/>
    <n v="356"/>
    <n v="348"/>
  </r>
  <r>
    <s v="O1000239"/>
    <s v="C1787"/>
    <x v="204"/>
    <d v="2022-02-22T00:00:00"/>
    <x v="1"/>
    <x v="4"/>
    <x v="2"/>
    <s v="London"/>
    <s v="OFF-AR-10004685"/>
    <s v="Office Supplies"/>
    <s v="Art"/>
    <s v="Binney &amp; Smith Crayola Metallic Colored Pencils, 8-Color Set"/>
    <n v="284.12"/>
    <n v="5"/>
    <s v="S568"/>
    <x v="0"/>
    <s v="W29"/>
    <x v="1"/>
    <s v="UPS"/>
    <s v="São Paulo-Mumbai"/>
    <n v="3062"/>
    <n v="358"/>
    <n v="7"/>
    <n v="679.17"/>
    <n v="181.66"/>
    <n v="860.82999999999993"/>
    <x v="1"/>
    <n v="0"/>
    <n v="91.46"/>
    <n v="122"/>
    <n v="131"/>
  </r>
  <r>
    <s v="O1000240"/>
    <s v="C9534"/>
    <x v="217"/>
    <d v="2024-07-19T00:00:00"/>
    <x v="2"/>
    <x v="0"/>
    <x v="7"/>
    <s v="Mumbai"/>
    <s v="OFF-BI-10001597"/>
    <s v="Office Supplies"/>
    <s v="Binders"/>
    <s v="Wilson Jones Ledger-Size, Piano-Hinge Binder, 2&quot;, Blue"/>
    <n v="460.62"/>
    <n v="46"/>
    <s v="S292"/>
    <x v="1"/>
    <s v="W42"/>
    <x v="0"/>
    <s v="FedEx"/>
    <s v="Cape Town-Mumbai"/>
    <n v="3336"/>
    <n v="83"/>
    <n v="14"/>
    <n v="1144.1300000000001"/>
    <n v="365.61"/>
    <n v="1509.74"/>
    <x v="0"/>
    <n v="5"/>
    <n v="79.510000000000005"/>
    <n v="254"/>
    <n v="206"/>
  </r>
  <r>
    <s v="O1000241"/>
    <s v="C1434"/>
    <x v="218"/>
    <d v="2024-07-15T00:00:00"/>
    <x v="2"/>
    <x v="3"/>
    <x v="2"/>
    <s v="Cape Town"/>
    <s v="OFF-LA-10004409"/>
    <s v="Office Supplies"/>
    <s v="Labels"/>
    <s v="Avery 492"/>
    <n v="200.03"/>
    <n v="51"/>
    <s v="S779"/>
    <x v="4"/>
    <s v="W34"/>
    <x v="0"/>
    <s v="DHL"/>
    <s v="New York-Cape Town"/>
    <n v="801"/>
    <n v="311"/>
    <n v="19"/>
    <n v="376.26"/>
    <n v="121.34"/>
    <n v="497.6"/>
    <x v="1"/>
    <n v="0"/>
    <n v="94.49"/>
    <n v="236"/>
    <n v="223"/>
  </r>
  <r>
    <s v="O1000242"/>
    <s v="C9292"/>
    <x v="219"/>
    <d v="2020-08-30T00:00:00"/>
    <x v="1"/>
    <x v="0"/>
    <x v="4"/>
    <s v="London"/>
    <s v="OFF-LA-10004544"/>
    <s v="Office Supplies"/>
    <s v="Labels"/>
    <s v="Avery 505"/>
    <n v="297.33999999999997"/>
    <n v="82"/>
    <s v="S405"/>
    <x v="2"/>
    <s v="W30"/>
    <x v="3"/>
    <s v="Maersk"/>
    <s v="London-Toronto"/>
    <n v="4049"/>
    <n v="416"/>
    <n v="14"/>
    <n v="1341.3"/>
    <n v="392.99"/>
    <n v="1734.29"/>
    <x v="1"/>
    <n v="0"/>
    <n v="98.44"/>
    <n v="320"/>
    <n v="331"/>
  </r>
  <r>
    <s v="O1000243"/>
    <s v="C6852"/>
    <x v="220"/>
    <d v="2023-01-04T00:00:00"/>
    <x v="2"/>
    <x v="0"/>
    <x v="7"/>
    <s v="New York"/>
    <s v="OFF-PA-10000675"/>
    <s v="Office Supplies"/>
    <s v="Paper"/>
    <s v="Xerox 1919"/>
    <n v="295.55"/>
    <n v="62"/>
    <s v="S380"/>
    <x v="3"/>
    <s v="W48"/>
    <x v="1"/>
    <s v="BlueDart"/>
    <s v="Beijing-Mumbai"/>
    <n v="2055"/>
    <n v="295"/>
    <n v="6"/>
    <n v="570.65"/>
    <n v="164.25"/>
    <n v="734.9"/>
    <x v="1"/>
    <n v="0"/>
    <n v="70.98"/>
    <n v="319"/>
    <n v="337"/>
  </r>
  <r>
    <s v="O1000244"/>
    <s v="C8344"/>
    <x v="221"/>
    <d v="2024-11-21T00:00:00"/>
    <x v="2"/>
    <x v="0"/>
    <x v="2"/>
    <s v="London"/>
    <s v="OFF-ST-10002301"/>
    <s v="Office Supplies"/>
    <s v="Storage"/>
    <s v="Tennsco Commercial Shelving"/>
    <n v="465.29"/>
    <n v="50"/>
    <s v="S263"/>
    <x v="1"/>
    <s v="W13"/>
    <x v="3"/>
    <s v="UPS"/>
    <s v="Beijing-Mumbai"/>
    <n v="1228"/>
    <n v="102"/>
    <n v="8"/>
    <n v="1994.59"/>
    <n v="396.13"/>
    <n v="2390.7199999999998"/>
    <x v="1"/>
    <n v="0"/>
    <n v="88.73"/>
    <n v="235"/>
    <n v="197"/>
  </r>
  <r>
    <s v="O1000245"/>
    <s v="C2764"/>
    <x v="222"/>
    <d v="2022-06-12T00:00:00"/>
    <x v="2"/>
    <x v="0"/>
    <x v="6"/>
    <s v="São Paulo"/>
    <s v="TEC-PH-10000730"/>
    <s v="Technology"/>
    <s v="Phones"/>
    <s v="Samsung Galaxy S4 Active"/>
    <n v="104.75"/>
    <n v="53"/>
    <s v="S869"/>
    <x v="4"/>
    <s v="W32"/>
    <x v="3"/>
    <s v="BlueDart"/>
    <s v="Toronto-Cape Town"/>
    <n v="1960"/>
    <n v="397"/>
    <n v="22"/>
    <n v="1777.03"/>
    <n v="412.45"/>
    <n v="2189.48"/>
    <x v="0"/>
    <n v="9"/>
    <n v="79.25"/>
    <n v="183"/>
    <n v="183"/>
  </r>
  <r>
    <s v="O1000246"/>
    <s v="C1123"/>
    <x v="223"/>
    <d v="2022-01-03T00:00:00"/>
    <x v="1"/>
    <x v="2"/>
    <x v="2"/>
    <s v="Toronto"/>
    <s v="FUR-CH-10001482"/>
    <s v="Furniture"/>
    <s v="Chairs"/>
    <s v="Office Star - Mesh Screen back chair with Vinyl seat"/>
    <n v="94.74"/>
    <n v="46"/>
    <s v="S429"/>
    <x v="2"/>
    <s v="W9"/>
    <x v="1"/>
    <s v="DHL"/>
    <s v="New York-New York"/>
    <n v="3561"/>
    <n v="317"/>
    <n v="1"/>
    <n v="1491.03"/>
    <n v="31.07"/>
    <n v="1522.1"/>
    <x v="1"/>
    <n v="0"/>
    <n v="82.36"/>
    <n v="425"/>
    <n v="449"/>
  </r>
  <r>
    <s v="O1000247"/>
    <s v="C5276"/>
    <x v="224"/>
    <d v="2024-08-18T00:00:00"/>
    <x v="1"/>
    <x v="4"/>
    <x v="5"/>
    <s v="Berlin"/>
    <s v="OFF-AR-10003478"/>
    <s v="Office Supplies"/>
    <s v="Art"/>
    <s v="Avery Hi-Liter EverBold Pen Style Fluorescent Highlighters, 4/Pack"/>
    <n v="495.49"/>
    <n v="23"/>
    <s v="S137"/>
    <x v="1"/>
    <s v="W37"/>
    <x v="3"/>
    <s v="DHL"/>
    <s v="Toronto-New York"/>
    <n v="1568"/>
    <n v="419"/>
    <n v="14"/>
    <n v="921.91"/>
    <n v="411.8"/>
    <n v="1333.71"/>
    <x v="1"/>
    <n v="0"/>
    <n v="88.24"/>
    <n v="51"/>
    <n v="51"/>
  </r>
  <r>
    <s v="O1000248"/>
    <s v="C1144"/>
    <x v="225"/>
    <d v="2023-01-29T00:00:00"/>
    <x v="2"/>
    <x v="3"/>
    <x v="6"/>
    <s v="Berlin"/>
    <s v="OFF-BI-10002735"/>
    <s v="Office Supplies"/>
    <s v="Binders"/>
    <s v="GBC Prestige Therm-A-Bind Covers"/>
    <n v="268.99"/>
    <n v="44"/>
    <s v="S881"/>
    <x v="1"/>
    <s v="W15"/>
    <x v="0"/>
    <s v="FedEx"/>
    <s v="Toronto-London"/>
    <n v="3336"/>
    <n v="417"/>
    <n v="8"/>
    <n v="1059.83"/>
    <n v="152.71"/>
    <n v="1212.54"/>
    <x v="1"/>
    <n v="0"/>
    <n v="70.12"/>
    <n v="298"/>
    <n v="252"/>
  </r>
  <r>
    <s v="O1000249"/>
    <s v="C1009"/>
    <x v="226"/>
    <d v="2020-01-05T00:00:00"/>
    <x v="2"/>
    <x v="1"/>
    <x v="1"/>
    <s v="Berlin"/>
    <s v="OFF-BI-10004410"/>
    <s v="Office Supplies"/>
    <s v="Binders"/>
    <s v="C-Line Peel &amp; Stick Add-On Filing Pockets, 8-3/4 x 5-1/8, 10/Pack"/>
    <n v="407.75"/>
    <n v="73"/>
    <s v="S791"/>
    <x v="2"/>
    <s v="W28"/>
    <x v="0"/>
    <s v="Maersk"/>
    <s v="São Paulo-Beijing"/>
    <n v="1101"/>
    <n v="92"/>
    <n v="16"/>
    <n v="1771.67"/>
    <n v="192.02"/>
    <n v="1963.69"/>
    <x v="1"/>
    <n v="0"/>
    <n v="75.27"/>
    <n v="111"/>
    <n v="96"/>
  </r>
  <r>
    <s v="O1000250"/>
    <s v="C4867"/>
    <x v="227"/>
    <d v="2021-01-14T00:00:00"/>
    <x v="2"/>
    <x v="4"/>
    <x v="4"/>
    <s v="Beijing"/>
    <s v="OFF-PA-10002581"/>
    <s v="Office Supplies"/>
    <s v="Paper"/>
    <s v="Xerox 1951"/>
    <n v="430.88"/>
    <n v="28"/>
    <s v="S801"/>
    <x v="2"/>
    <s v="W34"/>
    <x v="2"/>
    <s v="DHL"/>
    <s v="Mumbai-São Paulo"/>
    <n v="3697"/>
    <n v="340"/>
    <n v="13"/>
    <n v="162.07"/>
    <n v="160.97"/>
    <n v="323.04000000000002"/>
    <x v="1"/>
    <n v="0"/>
    <n v="91.06"/>
    <n v="75"/>
    <n v="62"/>
  </r>
  <r>
    <s v="O1000251"/>
    <s v="C2605"/>
    <x v="228"/>
    <d v="2020-10-05T00:00:00"/>
    <x v="2"/>
    <x v="3"/>
    <x v="2"/>
    <s v="Beijing"/>
    <s v="OFF-LA-10004484"/>
    <s v="Office Supplies"/>
    <s v="Labels"/>
    <s v="Avery 476"/>
    <n v="455.03"/>
    <n v="69"/>
    <s v="S536"/>
    <x v="4"/>
    <s v="W17"/>
    <x v="3"/>
    <s v="BlueDart"/>
    <s v="Mumbai-Cape Town"/>
    <n v="4746"/>
    <n v="235"/>
    <n v="22"/>
    <n v="1187.27"/>
    <n v="480.04"/>
    <n v="1667.31"/>
    <x v="1"/>
    <n v="0"/>
    <n v="91.48"/>
    <n v="268"/>
    <n v="309"/>
  </r>
  <r>
    <s v="O1000252"/>
    <s v="C8502"/>
    <x v="229"/>
    <d v="2024-03-11T00:00:00"/>
    <x v="1"/>
    <x v="2"/>
    <x v="1"/>
    <s v="Toronto"/>
    <s v="OFF-ST-10000585"/>
    <s v="Office Supplies"/>
    <s v="Storage"/>
    <s v="Economy Rollaway Files"/>
    <n v="48.27"/>
    <n v="39"/>
    <s v="S231"/>
    <x v="3"/>
    <s v="W1"/>
    <x v="3"/>
    <s v="DHL"/>
    <s v="Cape Town-Cape Town"/>
    <n v="1038"/>
    <n v="315"/>
    <n v="5"/>
    <n v="218.62"/>
    <n v="153.69999999999999"/>
    <n v="372.32"/>
    <x v="1"/>
    <n v="0"/>
    <n v="91.69"/>
    <n v="125"/>
    <n v="134"/>
  </r>
  <r>
    <s v="O1000253"/>
    <s v="C6693"/>
    <x v="230"/>
    <d v="2021-02-02T00:00:00"/>
    <x v="2"/>
    <x v="1"/>
    <x v="3"/>
    <s v="London"/>
    <s v="TEC-PH-10003484"/>
    <s v="Technology"/>
    <s v="Phones"/>
    <s v="Ooma Telo VoIP Home Phone System"/>
    <n v="202.73"/>
    <n v="6"/>
    <s v="S712"/>
    <x v="2"/>
    <s v="W17"/>
    <x v="1"/>
    <s v="UPS"/>
    <s v="Beijing-São Paulo"/>
    <n v="3019"/>
    <n v="281"/>
    <n v="2"/>
    <n v="637.6"/>
    <n v="265.18"/>
    <n v="902.78"/>
    <x v="1"/>
    <n v="0"/>
    <n v="83.54"/>
    <n v="380"/>
    <n v="367"/>
  </r>
  <r>
    <s v="O1000254"/>
    <s v="C5621"/>
    <x v="231"/>
    <d v="2022-07-13T00:00:00"/>
    <x v="2"/>
    <x v="4"/>
    <x v="4"/>
    <s v="Beijing"/>
    <s v="FUR-FU-10002813"/>
    <s v="Furniture"/>
    <s v="Furnishings"/>
    <s v="DAX Contemporary Wood Frame with Silver Metal Mat, Desktop, 11 x 14 Size"/>
    <n v="23.69"/>
    <n v="60"/>
    <s v="S788"/>
    <x v="4"/>
    <s v="W15"/>
    <x v="0"/>
    <s v="FedEx"/>
    <s v="Berlin-Cape Town"/>
    <n v="1448"/>
    <n v="258"/>
    <n v="1"/>
    <n v="297.19"/>
    <n v="125.95"/>
    <n v="423.14"/>
    <x v="1"/>
    <n v="0"/>
    <n v="84.78"/>
    <n v="304"/>
    <n v="327"/>
  </r>
  <r>
    <s v="O1000255"/>
    <s v="C4146"/>
    <x v="232"/>
    <d v="2021-10-21T00:00:00"/>
    <x v="1"/>
    <x v="4"/>
    <x v="5"/>
    <s v="Toronto"/>
    <s v="OFF-PA-10004948"/>
    <s v="Office Supplies"/>
    <s v="Paper"/>
    <s v="Xerox 190"/>
    <n v="259.73"/>
    <n v="40"/>
    <s v="S415"/>
    <x v="0"/>
    <s v="W15"/>
    <x v="0"/>
    <s v="BlueDart"/>
    <s v="Mumbai-Cape Town"/>
    <n v="1049"/>
    <n v="286"/>
    <n v="20"/>
    <n v="982.09"/>
    <n v="66.64"/>
    <n v="1048.73"/>
    <x v="1"/>
    <n v="0"/>
    <n v="97.81"/>
    <n v="144"/>
    <n v="108"/>
  </r>
  <r>
    <s v="O1000256"/>
    <s v="C1971"/>
    <x v="233"/>
    <d v="2020-10-28T00:00:00"/>
    <x v="2"/>
    <x v="4"/>
    <x v="7"/>
    <s v="Toronto"/>
    <s v="FUR-CH-10002439"/>
    <s v="Furniture"/>
    <s v="Chairs"/>
    <s v="Iceberg Nesting Folding Chair, 19w x 6d x 43h"/>
    <n v="337.65"/>
    <n v="64"/>
    <s v="S294"/>
    <x v="2"/>
    <s v="W28"/>
    <x v="2"/>
    <s v="Maersk"/>
    <s v="Berlin-Cape Town"/>
    <n v="841"/>
    <n v="220"/>
    <n v="28"/>
    <n v="65.760000000000005"/>
    <n v="480.13"/>
    <n v="545.89"/>
    <x v="1"/>
    <n v="0"/>
    <n v="80.45"/>
    <n v="329"/>
    <n v="296"/>
  </r>
  <r>
    <s v="O1000257"/>
    <s v="C5220"/>
    <x v="234"/>
    <d v="2020-10-19T00:00:00"/>
    <x v="1"/>
    <x v="0"/>
    <x v="3"/>
    <s v="Cape Town"/>
    <s v="OFF-AR-10000034"/>
    <s v="Office Supplies"/>
    <s v="Art"/>
    <s v="BIC Brite Liner Grip Highlighters, Assorted, 5/Pack"/>
    <n v="264.26"/>
    <n v="88"/>
    <s v="S865"/>
    <x v="1"/>
    <s v="W14"/>
    <x v="3"/>
    <s v="BlueDart"/>
    <s v="Cape Town-Mumbai"/>
    <n v="2160"/>
    <n v="103"/>
    <n v="24"/>
    <n v="1149.8499999999999"/>
    <n v="275.27"/>
    <n v="1425.12"/>
    <x v="1"/>
    <n v="0"/>
    <n v="78.09"/>
    <n v="62"/>
    <n v="58"/>
  </r>
  <r>
    <s v="O1000258"/>
    <s v="C9932"/>
    <x v="235"/>
    <d v="2023-05-16T00:00:00"/>
    <x v="1"/>
    <x v="4"/>
    <x v="2"/>
    <s v="London"/>
    <s v="OFF-AR-10003338"/>
    <s v="Office Supplies"/>
    <s v="Art"/>
    <s v="Eberhard Faber 3 1/2&quot; Golf Pencils"/>
    <n v="361.53"/>
    <n v="82"/>
    <s v="S480"/>
    <x v="4"/>
    <s v="W23"/>
    <x v="0"/>
    <s v="DHL"/>
    <s v="São Paulo-Toronto"/>
    <n v="2596"/>
    <n v="88"/>
    <n v="25"/>
    <n v="548.91999999999996"/>
    <n v="402.65"/>
    <n v="951.56999999999994"/>
    <x v="1"/>
    <n v="0"/>
    <n v="86.47"/>
    <n v="499"/>
    <n v="494"/>
  </r>
  <r>
    <s v="O1000259"/>
    <s v="C5452"/>
    <x v="236"/>
    <d v="2020-10-04T00:00:00"/>
    <x v="1"/>
    <x v="0"/>
    <x v="6"/>
    <s v="Berlin"/>
    <s v="OFF-AR-10003829"/>
    <s v="Office Supplies"/>
    <s v="Art"/>
    <s v="Newell 35"/>
    <n v="267.22000000000003"/>
    <n v="63"/>
    <s v="S261"/>
    <x v="0"/>
    <s v="W11"/>
    <x v="1"/>
    <s v="Maersk"/>
    <s v="Toronto-Berlin"/>
    <n v="4474"/>
    <n v="475"/>
    <n v="16"/>
    <n v="578.17999999999995"/>
    <n v="60.19"/>
    <n v="638.36999999999989"/>
    <x v="1"/>
    <n v="0"/>
    <n v="71.73"/>
    <n v="52"/>
    <n v="29"/>
  </r>
  <r>
    <s v="O1000260"/>
    <s v="C4404"/>
    <x v="237"/>
    <d v="2022-05-07T00:00:00"/>
    <x v="1"/>
    <x v="4"/>
    <x v="0"/>
    <s v="Mumbai"/>
    <s v="TEC-AC-10002558"/>
    <s v="Technology"/>
    <s v="Accessories"/>
    <s v="Imation Swivel Flash Drive USB flash drive - 8 GB"/>
    <n v="303.39"/>
    <n v="12"/>
    <s v="S482"/>
    <x v="1"/>
    <s v="W23"/>
    <x v="2"/>
    <s v="BlueDart"/>
    <s v="Toronto-New York"/>
    <n v="3876"/>
    <n v="231"/>
    <n v="21"/>
    <n v="1484.93"/>
    <n v="492.6"/>
    <n v="1977.53"/>
    <x v="1"/>
    <n v="0"/>
    <n v="80.650000000000006"/>
    <n v="265"/>
    <n v="298"/>
  </r>
  <r>
    <s v="O1000261"/>
    <s v="C6086"/>
    <x v="238"/>
    <d v="2022-08-26T00:00:00"/>
    <x v="2"/>
    <x v="2"/>
    <x v="4"/>
    <s v="London"/>
    <s v="OFF-AR-10004272"/>
    <s v="Office Supplies"/>
    <s v="Art"/>
    <s v="Newell 308"/>
    <n v="469.48"/>
    <n v="9"/>
    <s v="S516"/>
    <x v="4"/>
    <s v="W12"/>
    <x v="0"/>
    <s v="Maersk"/>
    <s v="New York-New York"/>
    <n v="2965"/>
    <n v="96"/>
    <n v="29"/>
    <n v="622.08000000000004"/>
    <n v="402.57"/>
    <n v="1024.6500000000001"/>
    <x v="1"/>
    <n v="0"/>
    <n v="85.37"/>
    <n v="64"/>
    <n v="105"/>
  </r>
  <r>
    <s v="O1000262"/>
    <s v="C3687"/>
    <x v="239"/>
    <d v="2021-11-28T00:00:00"/>
    <x v="2"/>
    <x v="4"/>
    <x v="3"/>
    <s v="New York"/>
    <s v="OFF-BI-10003291"/>
    <s v="Office Supplies"/>
    <s v="Binders"/>
    <s v="Wilson Jones Leather-Like Binders with DublLock Round Rings"/>
    <n v="191.71"/>
    <n v="86"/>
    <s v="S593"/>
    <x v="4"/>
    <s v="W38"/>
    <x v="0"/>
    <s v="DHL"/>
    <s v="Berlin-Beijing"/>
    <n v="3139"/>
    <n v="351"/>
    <n v="29"/>
    <n v="540.75"/>
    <n v="340.48"/>
    <n v="881.23"/>
    <x v="1"/>
    <n v="0"/>
    <n v="95.85"/>
    <n v="204"/>
    <n v="170"/>
  </r>
  <r>
    <s v="O1000263"/>
    <s v="C3718"/>
    <x v="240"/>
    <d v="2021-03-31T00:00:00"/>
    <x v="1"/>
    <x v="1"/>
    <x v="7"/>
    <s v="London"/>
    <s v="OFF-LA-10001982"/>
    <s v="Office Supplies"/>
    <s v="Labels"/>
    <s v="Smead Alpha-Z Color-Coded Name Labels First Letter Starter Set"/>
    <n v="445.35"/>
    <n v="66"/>
    <s v="S324"/>
    <x v="3"/>
    <s v="W49"/>
    <x v="3"/>
    <s v="FedEx"/>
    <s v="Cape Town-São Paulo"/>
    <n v="2976"/>
    <n v="307"/>
    <n v="17"/>
    <n v="1728.3"/>
    <n v="384.37"/>
    <n v="2112.67"/>
    <x v="0"/>
    <n v="1"/>
    <n v="99.21"/>
    <n v="397"/>
    <n v="357"/>
  </r>
  <r>
    <s v="O1000264"/>
    <s v="C5050"/>
    <x v="241"/>
    <d v="2023-11-10T00:00:00"/>
    <x v="2"/>
    <x v="4"/>
    <x v="5"/>
    <s v="Mumbai"/>
    <s v="TEC-AC-10002323"/>
    <s v="Technology"/>
    <s v="Accessories"/>
    <s v="SanDisk Ultra 32 GB MicroSDHC Class 10 Memory Card"/>
    <n v="416.73"/>
    <n v="55"/>
    <s v="S728"/>
    <x v="1"/>
    <s v="W22"/>
    <x v="1"/>
    <s v="FedEx"/>
    <s v="New York-São Paulo"/>
    <n v="3139"/>
    <n v="426"/>
    <n v="26"/>
    <n v="462.45"/>
    <n v="57.85"/>
    <n v="520.29999999999995"/>
    <x v="0"/>
    <n v="14"/>
    <n v="84.13"/>
    <n v="141"/>
    <n v="99"/>
  </r>
  <r>
    <s v="O1000265"/>
    <s v="C8685"/>
    <x v="242"/>
    <d v="2022-08-18T00:00:00"/>
    <x v="2"/>
    <x v="3"/>
    <x v="0"/>
    <s v="Toronto"/>
    <s v="TEC-PH-10004100"/>
    <s v="Technology"/>
    <s v="Phones"/>
    <s v="Griffin GC17055 Auxiliary Audio Cable"/>
    <n v="173.54"/>
    <n v="81"/>
    <s v="S386"/>
    <x v="4"/>
    <s v="W12"/>
    <x v="0"/>
    <s v="DHL"/>
    <s v="Cape Town-London"/>
    <n v="2072"/>
    <n v="330"/>
    <n v="20"/>
    <n v="1515.71"/>
    <n v="50.61"/>
    <n v="1566.32"/>
    <x v="1"/>
    <n v="0"/>
    <n v="76.040000000000006"/>
    <n v="375"/>
    <n v="346"/>
  </r>
  <r>
    <s v="O1000266"/>
    <s v="C6912"/>
    <x v="243"/>
    <d v="2020-06-09T00:00:00"/>
    <x v="2"/>
    <x v="3"/>
    <x v="0"/>
    <s v="São Paulo"/>
    <s v="FUR-TA-10000198"/>
    <s v="Furniture"/>
    <s v="Tables"/>
    <s v="Chromcraft Bull-Nose Wood Oval Conference Tables &amp; Bases"/>
    <n v="432.25"/>
    <n v="47"/>
    <s v="S858"/>
    <x v="4"/>
    <s v="W1"/>
    <x v="2"/>
    <s v="FedEx"/>
    <s v="London-Cape Town"/>
    <n v="1849"/>
    <n v="493"/>
    <n v="7"/>
    <n v="1361.42"/>
    <n v="222.7"/>
    <n v="1584.12"/>
    <x v="1"/>
    <n v="0"/>
    <n v="81.34"/>
    <n v="454"/>
    <n v="445"/>
  </r>
  <r>
    <s v="O1000267"/>
    <s v="C7168"/>
    <x v="244"/>
    <d v="2020-03-07T00:00:00"/>
    <x v="2"/>
    <x v="3"/>
    <x v="5"/>
    <s v="London"/>
    <s v="FUR-TA-10003954"/>
    <s v="Furniture"/>
    <s v="Tables"/>
    <s v="Hon 94000 Series Round Tables"/>
    <n v="475.08"/>
    <n v="63"/>
    <s v="S716"/>
    <x v="1"/>
    <s v="W44"/>
    <x v="3"/>
    <s v="BlueDart"/>
    <s v="Berlin-Cape Town"/>
    <n v="4734"/>
    <n v="342"/>
    <n v="7"/>
    <n v="1054.43"/>
    <n v="72.52"/>
    <n v="1126.95"/>
    <x v="1"/>
    <n v="0"/>
    <n v="78.94"/>
    <n v="132"/>
    <n v="98"/>
  </r>
  <r>
    <s v="O1000268"/>
    <s v="C7880"/>
    <x v="245"/>
    <d v="2024-07-07T00:00:00"/>
    <x v="2"/>
    <x v="0"/>
    <x v="7"/>
    <s v="Berlin"/>
    <s v="OFF-EN-10001509"/>
    <s v="Office Supplies"/>
    <s v="Envelopes"/>
    <s v="Poly String Tie Envelopes"/>
    <n v="30.12"/>
    <n v="32"/>
    <s v="S811"/>
    <x v="4"/>
    <s v="W25"/>
    <x v="1"/>
    <s v="UPS"/>
    <s v="Mumbai-Beijing"/>
    <n v="1408"/>
    <n v="115"/>
    <n v="18"/>
    <n v="1216.07"/>
    <n v="463.02"/>
    <n v="1679.09"/>
    <x v="1"/>
    <n v="0"/>
    <n v="93.76"/>
    <n v="489"/>
    <n v="452"/>
  </r>
  <r>
    <s v="O1000269"/>
    <s v="C4612"/>
    <x v="246"/>
    <d v="2021-03-04T00:00:00"/>
    <x v="2"/>
    <x v="1"/>
    <x v="6"/>
    <s v="Beijing"/>
    <s v="TEC-PH-10003273"/>
    <s v="Technology"/>
    <s v="Phones"/>
    <s v="AT&amp;T TR1909W"/>
    <n v="493.07"/>
    <n v="81"/>
    <s v="S844"/>
    <x v="0"/>
    <s v="W27"/>
    <x v="2"/>
    <s v="FedEx"/>
    <s v="Beijing-New York"/>
    <n v="4156"/>
    <n v="420"/>
    <n v="4"/>
    <n v="1147.3499999999999"/>
    <n v="423.92"/>
    <n v="1571.27"/>
    <x v="1"/>
    <n v="0"/>
    <n v="74.25"/>
    <n v="93"/>
    <n v="43"/>
  </r>
  <r>
    <s v="O1000270"/>
    <s v="C6418"/>
    <x v="247"/>
    <d v="2020-01-19T00:00:00"/>
    <x v="0"/>
    <x v="2"/>
    <x v="0"/>
    <s v="Berlin"/>
    <s v="FUR-TA-10001889"/>
    <s v="Furniture"/>
    <s v="Tables"/>
    <s v="Bush Advantage Collection Racetrack Conference Table"/>
    <n v="435.59"/>
    <n v="52"/>
    <s v="S717"/>
    <x v="3"/>
    <s v="W10"/>
    <x v="3"/>
    <s v="BlueDart"/>
    <s v="Toronto-Toronto"/>
    <n v="2643"/>
    <n v="416"/>
    <n v="19"/>
    <n v="1403.83"/>
    <n v="261.3"/>
    <n v="1665.13"/>
    <x v="1"/>
    <n v="0"/>
    <n v="73.540000000000006"/>
    <n v="59"/>
    <n v="96"/>
  </r>
  <r>
    <s v="O1000271"/>
    <s v="C5427"/>
    <x v="139"/>
    <d v="2024-06-30T00:00:00"/>
    <x v="2"/>
    <x v="4"/>
    <x v="1"/>
    <s v="New York"/>
    <s v="FUR-BO-10001337"/>
    <s v="Furniture"/>
    <s v="Bookcases"/>
    <s v="O'Sullivan Living Dimensions 2-Shelf Bookcases"/>
    <n v="225.36"/>
    <n v="25"/>
    <s v="S108"/>
    <x v="3"/>
    <s v="W43"/>
    <x v="0"/>
    <s v="UPS"/>
    <s v="São Paulo-São Paulo"/>
    <n v="4502"/>
    <n v="461"/>
    <n v="6"/>
    <n v="1424.26"/>
    <n v="460.25"/>
    <n v="1884.51"/>
    <x v="1"/>
    <n v="0"/>
    <n v="70.52"/>
    <n v="331"/>
    <n v="292"/>
  </r>
  <r>
    <s v="O1000272"/>
    <s v="C4728"/>
    <x v="248"/>
    <d v="2022-03-30T00:00:00"/>
    <x v="1"/>
    <x v="2"/>
    <x v="1"/>
    <s v="São Paulo"/>
    <s v="FUR-CH-10002304"/>
    <s v="Furniture"/>
    <s v="Chairs"/>
    <s v="Global Stack Chair without Arms, Black"/>
    <n v="189.78"/>
    <n v="7"/>
    <s v="S858"/>
    <x v="1"/>
    <s v="W3"/>
    <x v="3"/>
    <s v="UPS"/>
    <s v="Toronto-São Paulo"/>
    <n v="1955"/>
    <n v="89"/>
    <n v="20"/>
    <n v="436.09"/>
    <n v="158.94999999999999"/>
    <n v="595.04"/>
    <x v="1"/>
    <n v="0"/>
    <n v="92.32"/>
    <n v="112"/>
    <n v="151"/>
  </r>
  <r>
    <s v="O1000273"/>
    <s v="C8477"/>
    <x v="249"/>
    <d v="2021-12-07T00:00:00"/>
    <x v="1"/>
    <x v="1"/>
    <x v="6"/>
    <s v="Beijing"/>
    <s v="OFF-AR-10001231"/>
    <s v="Office Supplies"/>
    <s v="Art"/>
    <s v="Sanford EarthWrite Recycled Pencils, Medium Soft, #2"/>
    <n v="243.41"/>
    <n v="29"/>
    <s v="S870"/>
    <x v="3"/>
    <s v="W3"/>
    <x v="0"/>
    <s v="FedEx"/>
    <s v="Toronto-Cape Town"/>
    <n v="3216"/>
    <n v="474"/>
    <n v="15"/>
    <n v="375.05"/>
    <n v="260.75"/>
    <n v="635.79999999999995"/>
    <x v="1"/>
    <n v="0"/>
    <n v="74.52"/>
    <n v="73"/>
    <n v="35"/>
  </r>
  <r>
    <s v="O1000274"/>
    <s v="C3431"/>
    <x v="250"/>
    <d v="2021-01-25T00:00:00"/>
    <x v="2"/>
    <x v="1"/>
    <x v="0"/>
    <s v="Cape Town"/>
    <s v="OFF-AR-10001915"/>
    <s v="Office Supplies"/>
    <s v="Art"/>
    <s v="Peel-Off China Markers"/>
    <n v="480.17"/>
    <n v="10"/>
    <s v="S934"/>
    <x v="1"/>
    <s v="W4"/>
    <x v="2"/>
    <s v="Maersk"/>
    <s v="Cape Town-Berlin"/>
    <n v="2878"/>
    <n v="214"/>
    <n v="13"/>
    <n v="1121.93"/>
    <n v="499.11"/>
    <n v="1621.04"/>
    <x v="1"/>
    <n v="0"/>
    <n v="71.38"/>
    <n v="321"/>
    <n v="362"/>
  </r>
  <r>
    <s v="O1000275"/>
    <s v="C1253"/>
    <x v="251"/>
    <d v="2024-11-09T00:00:00"/>
    <x v="1"/>
    <x v="0"/>
    <x v="6"/>
    <s v="Toronto"/>
    <s v="OFF-EN-10002230"/>
    <s v="Office Supplies"/>
    <s v="Envelopes"/>
    <s v="Airmail Envelopes"/>
    <n v="405.04"/>
    <n v="93"/>
    <s v="S482"/>
    <x v="1"/>
    <s v="W49"/>
    <x v="1"/>
    <s v="UPS"/>
    <s v="Mumbai-London"/>
    <n v="4741"/>
    <n v="231"/>
    <n v="10"/>
    <n v="1939.53"/>
    <n v="42.61"/>
    <n v="1982.14"/>
    <x v="1"/>
    <n v="0"/>
    <n v="75.05"/>
    <n v="449"/>
    <n v="483"/>
  </r>
  <r>
    <s v="O1000276"/>
    <s v="C4265"/>
    <x v="252"/>
    <d v="2022-04-16T00:00:00"/>
    <x v="0"/>
    <x v="1"/>
    <x v="3"/>
    <s v="Berlin"/>
    <s v="OFF-LA-10002312"/>
    <s v="Office Supplies"/>
    <s v="Labels"/>
    <s v="Avery 490"/>
    <n v="325.02"/>
    <n v="30"/>
    <s v="S352"/>
    <x v="0"/>
    <s v="W48"/>
    <x v="2"/>
    <s v="UPS"/>
    <s v="New York-Toronto"/>
    <n v="2800"/>
    <n v="248"/>
    <n v="12"/>
    <n v="527.46"/>
    <n v="339.63"/>
    <n v="867.09"/>
    <x v="1"/>
    <n v="0"/>
    <n v="73.89"/>
    <n v="418"/>
    <n v="423"/>
  </r>
  <r>
    <s v="O1000277"/>
    <s v="C1436"/>
    <x v="253"/>
    <d v="2024-04-27T00:00:00"/>
    <x v="1"/>
    <x v="1"/>
    <x v="1"/>
    <s v="Toronto"/>
    <s v="OFF-ST-10001511"/>
    <s v="Office Supplies"/>
    <s v="Storage"/>
    <s v="Space Solutions Commercial Steel Shelving"/>
    <n v="211.95"/>
    <n v="51"/>
    <s v="S794"/>
    <x v="1"/>
    <s v="W22"/>
    <x v="1"/>
    <s v="DHL"/>
    <s v="Mumbai-New York"/>
    <n v="4698"/>
    <n v="377"/>
    <n v="17"/>
    <n v="383.6"/>
    <n v="307.68"/>
    <n v="691.28"/>
    <x v="1"/>
    <n v="0"/>
    <n v="82.64"/>
    <n v="464"/>
    <n v="419"/>
  </r>
  <r>
    <s v="O1000278"/>
    <s v="C5317"/>
    <x v="254"/>
    <d v="2022-06-08T00:00:00"/>
    <x v="2"/>
    <x v="1"/>
    <x v="6"/>
    <s v="Berlin"/>
    <s v="OFF-ST-10002957"/>
    <s v="Office Supplies"/>
    <s v="Storage"/>
    <s v="Sterilite Show Offs Storage Containers"/>
    <n v="211.08"/>
    <n v="7"/>
    <s v="S259"/>
    <x v="3"/>
    <s v="W24"/>
    <x v="2"/>
    <s v="Maersk"/>
    <s v="Berlin-Toronto"/>
    <n v="4743"/>
    <n v="53"/>
    <n v="23"/>
    <n v="1621.75"/>
    <n v="199.73"/>
    <n v="1821.48"/>
    <x v="1"/>
    <n v="0"/>
    <n v="91.3"/>
    <n v="123"/>
    <n v="90"/>
  </r>
  <r>
    <s v="O1000279"/>
    <s v="C5501"/>
    <x v="255"/>
    <d v="2023-03-19T00:00:00"/>
    <x v="2"/>
    <x v="1"/>
    <x v="7"/>
    <s v="São Paulo"/>
    <s v="TEC-PH-10001819"/>
    <s v="Technology"/>
    <s v="Phones"/>
    <s v="Innergie mMini Combo Duo USB Travel Charging Kit"/>
    <n v="450.76"/>
    <n v="2"/>
    <s v="S588"/>
    <x v="4"/>
    <s v="W26"/>
    <x v="1"/>
    <s v="Maersk"/>
    <s v="London-Berlin"/>
    <n v="747"/>
    <n v="259"/>
    <n v="20"/>
    <n v="489.52"/>
    <n v="173.33"/>
    <n v="662.85"/>
    <x v="1"/>
    <n v="0"/>
    <n v="92.26"/>
    <n v="301"/>
    <n v="254"/>
  </r>
  <r>
    <s v="O1000280"/>
    <s v="C1556"/>
    <x v="225"/>
    <d v="2021-08-14T00:00:00"/>
    <x v="2"/>
    <x v="4"/>
    <x v="1"/>
    <s v="São Paulo"/>
    <s v="FUR-CH-10002965"/>
    <s v="Furniture"/>
    <s v="Chairs"/>
    <s v="Global Leather Highback Executive Chair with Pneumatic Height Adjustment, Black"/>
    <n v="108.24"/>
    <n v="33"/>
    <s v="S738"/>
    <x v="1"/>
    <s v="W25"/>
    <x v="0"/>
    <s v="DHL"/>
    <s v="Beijing-Cape Town"/>
    <n v="307"/>
    <n v="88"/>
    <n v="5"/>
    <n v="652.41"/>
    <n v="28.53"/>
    <n v="680.93999999999994"/>
    <x v="1"/>
    <n v="0"/>
    <n v="98.29"/>
    <n v="151"/>
    <n v="118"/>
  </r>
  <r>
    <s v="O1000281"/>
    <s v="C8849"/>
    <x v="256"/>
    <d v="2022-07-01T00:00:00"/>
    <x v="0"/>
    <x v="0"/>
    <x v="5"/>
    <s v="Toronto"/>
    <s v="OFF-AP-10002765"/>
    <s v="Office Supplies"/>
    <s v="Appliances"/>
    <s v="Fellowes Advanced Computer Series Surge Protectors"/>
    <n v="264.10000000000002"/>
    <n v="39"/>
    <s v="S289"/>
    <x v="0"/>
    <s v="W15"/>
    <x v="1"/>
    <s v="Maersk"/>
    <s v="New York-Toronto"/>
    <n v="1838"/>
    <n v="208"/>
    <n v="25"/>
    <n v="375.52"/>
    <n v="382.97"/>
    <n v="758.49"/>
    <x v="1"/>
    <n v="0"/>
    <n v="82.74"/>
    <n v="355"/>
    <n v="312"/>
  </r>
  <r>
    <s v="O1000282"/>
    <s v="C9951"/>
    <x v="257"/>
    <d v="2023-05-18T00:00:00"/>
    <x v="1"/>
    <x v="1"/>
    <x v="1"/>
    <s v="Berlin"/>
    <s v="OFF-AR-10004027"/>
    <s v="Office Supplies"/>
    <s v="Art"/>
    <s v="Binney &amp; Smith inkTank Erasable Desk Highlighter, Chisel Tip, Yellow, 12/Box"/>
    <n v="355.03"/>
    <n v="53"/>
    <s v="S307"/>
    <x v="1"/>
    <s v="W39"/>
    <x v="2"/>
    <s v="UPS"/>
    <s v="London-São Paulo"/>
    <n v="1985"/>
    <n v="143"/>
    <n v="27"/>
    <n v="1764.97"/>
    <n v="295.01"/>
    <n v="2059.98"/>
    <x v="1"/>
    <n v="0"/>
    <n v="89.53"/>
    <n v="277"/>
    <n v="294"/>
  </r>
  <r>
    <s v="O1000283"/>
    <s v="C9176"/>
    <x v="258"/>
    <d v="2023-01-09T00:00:00"/>
    <x v="1"/>
    <x v="4"/>
    <x v="2"/>
    <s v="Toronto"/>
    <s v="OFF-BI-10001097"/>
    <s v="Office Supplies"/>
    <s v="Binders"/>
    <s v="Avery Hole Reinforcements"/>
    <n v="441.94"/>
    <n v="76"/>
    <s v="S931"/>
    <x v="0"/>
    <s v="W18"/>
    <x v="0"/>
    <s v="BlueDart"/>
    <s v="Berlin-Cape Town"/>
    <n v="4650"/>
    <n v="366"/>
    <n v="18"/>
    <n v="352.92"/>
    <n v="377.69"/>
    <n v="730.61"/>
    <x v="1"/>
    <n v="0"/>
    <n v="73.06"/>
    <n v="168"/>
    <n v="166"/>
  </r>
  <r>
    <s v="O1000284"/>
    <s v="C9957"/>
    <x v="259"/>
    <d v="2024-07-22T00:00:00"/>
    <x v="2"/>
    <x v="0"/>
    <x v="6"/>
    <s v="São Paulo"/>
    <s v="OFF-BI-10001636"/>
    <s v="Office Supplies"/>
    <s v="Binders"/>
    <s v="Ibico Plastic and Wire Spiral Binding Combs"/>
    <n v="277.82"/>
    <n v="10"/>
    <s v="S442"/>
    <x v="4"/>
    <s v="W22"/>
    <x v="0"/>
    <s v="FedEx"/>
    <s v="Beijing-Beijing"/>
    <n v="754"/>
    <n v="472"/>
    <n v="5"/>
    <n v="171.92"/>
    <n v="214.1"/>
    <n v="386.02"/>
    <x v="1"/>
    <n v="0"/>
    <n v="92"/>
    <n v="70"/>
    <n v="67"/>
  </r>
  <r>
    <s v="O1000285"/>
    <s v="C5263"/>
    <x v="260"/>
    <d v="2020-05-30T00:00:00"/>
    <x v="1"/>
    <x v="3"/>
    <x v="3"/>
    <s v="São Paulo"/>
    <s v="OFF-BI-10002071"/>
    <s v="Office Supplies"/>
    <s v="Binders"/>
    <s v="Fellowes Black Plastic Comb Bindings"/>
    <n v="204.53"/>
    <n v="95"/>
    <s v="S205"/>
    <x v="4"/>
    <s v="W26"/>
    <x v="3"/>
    <s v="Maersk"/>
    <s v="Toronto-Beijing"/>
    <n v="4586"/>
    <n v="84"/>
    <n v="28"/>
    <n v="506.68"/>
    <n v="455.44"/>
    <n v="962.12"/>
    <x v="1"/>
    <n v="0"/>
    <n v="84.7"/>
    <n v="163"/>
    <n v="169"/>
  </r>
  <r>
    <s v="O1000286"/>
    <s v="C1060"/>
    <x v="261"/>
    <d v="2020-01-30T00:00:00"/>
    <x v="2"/>
    <x v="2"/>
    <x v="5"/>
    <s v="London"/>
    <s v="OFF-BI-10003529"/>
    <s v="Office Supplies"/>
    <s v="Binders"/>
    <s v="Avery Round Ring Poly Binders"/>
    <n v="5.26"/>
    <n v="37"/>
    <s v="S770"/>
    <x v="4"/>
    <s v="W18"/>
    <x v="1"/>
    <s v="FedEx"/>
    <s v="Berlin-Toronto"/>
    <n v="4449"/>
    <n v="78"/>
    <n v="11"/>
    <n v="1410.36"/>
    <n v="319.13"/>
    <n v="1729.49"/>
    <x v="1"/>
    <n v="0"/>
    <n v="91.6"/>
    <n v="331"/>
    <n v="298"/>
  </r>
  <r>
    <s v="O1000287"/>
    <s v="C2259"/>
    <x v="262"/>
    <d v="2021-05-23T00:00:00"/>
    <x v="2"/>
    <x v="0"/>
    <x v="5"/>
    <s v="Cape Town"/>
    <s v="OFF-BI-10004390"/>
    <s v="Office Supplies"/>
    <s v="Binders"/>
    <s v="GBC DocuBind 200 Manual Binding Machine"/>
    <n v="90.94"/>
    <n v="66"/>
    <s v="S954"/>
    <x v="4"/>
    <s v="W31"/>
    <x v="1"/>
    <s v="UPS"/>
    <s v="New York-New York"/>
    <n v="2293"/>
    <n v="254"/>
    <n v="16"/>
    <n v="1546.22"/>
    <n v="104.3"/>
    <n v="1650.52"/>
    <x v="1"/>
    <n v="0"/>
    <n v="77.78"/>
    <n v="333"/>
    <n v="335"/>
  </r>
  <r>
    <s v="O1000288"/>
    <s v="C5024"/>
    <x v="263"/>
    <d v="2023-12-04T00:00:00"/>
    <x v="0"/>
    <x v="4"/>
    <x v="1"/>
    <s v="Toronto"/>
    <s v="TEC-AC-10004901"/>
    <s v="Technology"/>
    <s v="Accessories"/>
    <s v="Kensington SlimBlade Notebook Wireless Mouse with Nano Receiver"/>
    <n v="365.09"/>
    <n v="53"/>
    <s v="S511"/>
    <x v="0"/>
    <s v="W35"/>
    <x v="1"/>
    <s v="BlueDart"/>
    <s v="New York-Toronto"/>
    <n v="285"/>
    <n v="402"/>
    <n v="19"/>
    <n v="53.83"/>
    <n v="291.73"/>
    <n v="345.56"/>
    <x v="1"/>
    <n v="0"/>
    <n v="77.08"/>
    <n v="267"/>
    <n v="224"/>
  </r>
  <r>
    <s v="O1000289"/>
    <s v="C7303"/>
    <x v="264"/>
    <d v="2022-09-29T00:00:00"/>
    <x v="2"/>
    <x v="1"/>
    <x v="4"/>
    <s v="New York"/>
    <s v="OFF-BI-10000042"/>
    <s v="Office Supplies"/>
    <s v="Binders"/>
    <s v="Pressboard Data Binder, Crimson, 12&quot; X 8 1/2&quot;"/>
    <n v="21.97"/>
    <n v="57"/>
    <s v="S295"/>
    <x v="2"/>
    <s v="W42"/>
    <x v="1"/>
    <s v="BlueDart"/>
    <s v="New York-London"/>
    <n v="2866"/>
    <n v="162"/>
    <n v="27"/>
    <n v="1151.29"/>
    <n v="93.95"/>
    <n v="1245.24"/>
    <x v="1"/>
    <n v="0"/>
    <n v="96.48"/>
    <n v="59"/>
    <n v="23"/>
  </r>
  <r>
    <s v="O1000290"/>
    <s v="C1289"/>
    <x v="265"/>
    <d v="2024-07-07T00:00:00"/>
    <x v="2"/>
    <x v="2"/>
    <x v="4"/>
    <s v="New York"/>
    <s v="OFF-BI-10000145"/>
    <s v="Office Supplies"/>
    <s v="Binders"/>
    <s v="Zipper Ring Binder Pockets"/>
    <n v="110.03"/>
    <n v="65"/>
    <s v="S593"/>
    <x v="3"/>
    <s v="W26"/>
    <x v="2"/>
    <s v="Maersk"/>
    <s v="São Paulo-Cape Town"/>
    <n v="83"/>
    <n v="333"/>
    <n v="4"/>
    <n v="140.91999999999999"/>
    <n v="89.97"/>
    <n v="230.89"/>
    <x v="1"/>
    <n v="0"/>
    <n v="94.85"/>
    <n v="249"/>
    <n v="251"/>
  </r>
  <r>
    <s v="O1000291"/>
    <s v="C4025"/>
    <x v="266"/>
    <d v="2023-10-03T00:00:00"/>
    <x v="1"/>
    <x v="3"/>
    <x v="1"/>
    <s v="Mumbai"/>
    <s v="OFF-LA-10002312"/>
    <s v="Office Supplies"/>
    <s v="Labels"/>
    <s v="Avery 490"/>
    <n v="101.92"/>
    <n v="7"/>
    <s v="S258"/>
    <x v="0"/>
    <s v="W34"/>
    <x v="0"/>
    <s v="FedEx"/>
    <s v="Cape Town-São Paulo"/>
    <n v="2030"/>
    <n v="487"/>
    <n v="11"/>
    <n v="1122.43"/>
    <n v="216.32"/>
    <n v="1338.75"/>
    <x v="1"/>
    <n v="0"/>
    <n v="71.97"/>
    <n v="260"/>
    <n v="239"/>
  </r>
  <r>
    <s v="O1000292"/>
    <s v="C4479"/>
    <x v="267"/>
    <d v="2023-02-13T00:00:00"/>
    <x v="2"/>
    <x v="3"/>
    <x v="1"/>
    <s v="New York"/>
    <s v="OFF-ST-10000636"/>
    <s v="Office Supplies"/>
    <s v="Storage"/>
    <s v="Rogers Profile Extra Capacity Storage Tub"/>
    <n v="33.07"/>
    <n v="65"/>
    <s v="S262"/>
    <x v="3"/>
    <s v="W41"/>
    <x v="0"/>
    <s v="FedEx"/>
    <s v="Toronto-Mumbai"/>
    <n v="608"/>
    <n v="168"/>
    <n v="12"/>
    <n v="73.69"/>
    <n v="273.7"/>
    <n v="347.39"/>
    <x v="1"/>
    <n v="0"/>
    <n v="87.06"/>
    <n v="427"/>
    <n v="472"/>
  </r>
  <r>
    <s v="O1000293"/>
    <s v="C4099"/>
    <x v="268"/>
    <d v="2023-03-14T00:00:00"/>
    <x v="1"/>
    <x v="1"/>
    <x v="5"/>
    <s v="Toronto"/>
    <s v="FUR-FU-10003192"/>
    <s v="Furniture"/>
    <s v="Furnishings"/>
    <s v="Luxo Adjustable Task Clamp Lamp"/>
    <n v="144.46"/>
    <n v="56"/>
    <s v="S942"/>
    <x v="1"/>
    <s v="W44"/>
    <x v="1"/>
    <s v="BlueDart"/>
    <s v="Toronto-Mumbai"/>
    <n v="1851"/>
    <n v="172"/>
    <n v="1"/>
    <n v="1762.62"/>
    <n v="303.47000000000003"/>
    <n v="2066.09"/>
    <x v="1"/>
    <n v="0"/>
    <n v="84.33"/>
    <n v="378"/>
    <n v="328"/>
  </r>
  <r>
    <s v="O1000294"/>
    <s v="C1136"/>
    <x v="269"/>
    <d v="2024-05-31T00:00:00"/>
    <x v="2"/>
    <x v="2"/>
    <x v="7"/>
    <s v="São Paulo"/>
    <s v="OFF-AP-10003842"/>
    <s v="Office Supplies"/>
    <s v="Appliances"/>
    <s v="Euro-Pro Shark Turbo Vacuum"/>
    <n v="396.52"/>
    <n v="35"/>
    <s v="S425"/>
    <x v="2"/>
    <s v="W47"/>
    <x v="1"/>
    <s v="DHL"/>
    <s v="Berlin-New York"/>
    <n v="1721"/>
    <n v="73"/>
    <n v="8"/>
    <n v="1945.35"/>
    <n v="348.3"/>
    <n v="2293.65"/>
    <x v="1"/>
    <n v="0"/>
    <n v="71.03"/>
    <n v="369"/>
    <n v="403"/>
  </r>
  <r>
    <s v="O1000295"/>
    <s v="C3730"/>
    <x v="270"/>
    <d v="2020-03-03T00:00:00"/>
    <x v="1"/>
    <x v="3"/>
    <x v="6"/>
    <s v="Beijing"/>
    <s v="OFF-PA-10001593"/>
    <s v="Office Supplies"/>
    <s v="Paper"/>
    <s v="Xerox 1947"/>
    <n v="138.62"/>
    <n v="47"/>
    <s v="S256"/>
    <x v="2"/>
    <s v="W45"/>
    <x v="3"/>
    <s v="Maersk"/>
    <s v="Beijing-Berlin"/>
    <n v="992"/>
    <n v="349"/>
    <n v="16"/>
    <n v="904.79"/>
    <n v="473.67"/>
    <n v="1378.46"/>
    <x v="1"/>
    <n v="0"/>
    <n v="88.19"/>
    <n v="405"/>
    <n v="360"/>
  </r>
  <r>
    <s v="O1000296"/>
    <s v="C4953"/>
    <x v="271"/>
    <d v="2024-07-06T00:00:00"/>
    <x v="1"/>
    <x v="4"/>
    <x v="1"/>
    <s v="Berlin"/>
    <s v="OFF-PA-10002986"/>
    <s v="Office Supplies"/>
    <s v="Paper"/>
    <s v="Xerox 1898"/>
    <n v="305.33"/>
    <n v="12"/>
    <s v="S611"/>
    <x v="0"/>
    <s v="W4"/>
    <x v="3"/>
    <s v="Maersk"/>
    <s v="Cape Town-Cape Town"/>
    <n v="3362"/>
    <n v="430"/>
    <n v="21"/>
    <n v="405.48"/>
    <n v="206.84"/>
    <n v="612.32000000000005"/>
    <x v="1"/>
    <n v="0"/>
    <n v="85.83"/>
    <n v="111"/>
    <n v="115"/>
  </r>
  <r>
    <s v="O1000297"/>
    <s v="C3986"/>
    <x v="272"/>
    <d v="2022-07-24T00:00:00"/>
    <x v="2"/>
    <x v="4"/>
    <x v="3"/>
    <s v="Toronto"/>
    <s v="OFF-PA-10004248"/>
    <s v="Office Supplies"/>
    <s v="Paper"/>
    <s v="Xerox 1990"/>
    <n v="238.75"/>
    <n v="56"/>
    <s v="S815"/>
    <x v="4"/>
    <s v="W39"/>
    <x v="1"/>
    <s v="DHL"/>
    <s v="Beijing-London"/>
    <n v="4978"/>
    <n v="253"/>
    <n v="15"/>
    <n v="1984.19"/>
    <n v="49.04"/>
    <n v="2033.23"/>
    <x v="1"/>
    <n v="0"/>
    <n v="91.56"/>
    <n v="164"/>
    <n v="176"/>
  </r>
  <r>
    <s v="O1000298"/>
    <s v="C5328"/>
    <x v="273"/>
    <d v="2021-10-31T00:00:00"/>
    <x v="2"/>
    <x v="2"/>
    <x v="0"/>
    <s v="London"/>
    <s v="TEC-PH-10001128"/>
    <s v="Technology"/>
    <s v="Phones"/>
    <s v="Motorola Droid Maxx"/>
    <n v="309.58"/>
    <n v="9"/>
    <s v="S806"/>
    <x v="3"/>
    <s v="W17"/>
    <x v="1"/>
    <s v="FedEx"/>
    <s v="Berlin-London"/>
    <n v="4543"/>
    <n v="482"/>
    <n v="16"/>
    <n v="269"/>
    <n v="55.68"/>
    <n v="324.68"/>
    <x v="1"/>
    <n v="0"/>
    <n v="92.82"/>
    <n v="365"/>
    <n v="391"/>
  </r>
  <r>
    <s v="O1000299"/>
    <s v="C5041"/>
    <x v="210"/>
    <d v="2022-07-22T00:00:00"/>
    <x v="2"/>
    <x v="1"/>
    <x v="5"/>
    <s v="New York"/>
    <s v="OFF-EN-10001415"/>
    <s v="Office Supplies"/>
    <s v="Envelopes"/>
    <s v="Staple envelope"/>
    <n v="363.21"/>
    <n v="34"/>
    <s v="S939"/>
    <x v="3"/>
    <s v="W5"/>
    <x v="0"/>
    <s v="UPS"/>
    <s v="Mumbai-Mumbai"/>
    <n v="2032"/>
    <n v="95"/>
    <n v="25"/>
    <n v="1697.48"/>
    <n v="289.43"/>
    <n v="1986.91"/>
    <x v="1"/>
    <n v="0"/>
    <n v="78.680000000000007"/>
    <n v="381"/>
    <n v="399"/>
  </r>
  <r>
    <s v="O1000300"/>
    <s v="C6749"/>
    <x v="34"/>
    <d v="2023-01-14T00:00:00"/>
    <x v="2"/>
    <x v="3"/>
    <x v="4"/>
    <s v="Mumbai"/>
    <s v="TEC-AC-10000736"/>
    <s v="Technology"/>
    <s v="Accessories"/>
    <s v="Logitech G600 MMO Gaming Mouse"/>
    <n v="345.87"/>
    <n v="62"/>
    <s v="S914"/>
    <x v="1"/>
    <s v="W39"/>
    <x v="3"/>
    <s v="DHL"/>
    <s v="New York-São Paulo"/>
    <n v="3903"/>
    <n v="482"/>
    <n v="26"/>
    <n v="404.86"/>
    <n v="196.95"/>
    <n v="601.80999999999995"/>
    <x v="1"/>
    <n v="0"/>
    <n v="80.16"/>
    <n v="415"/>
    <n v="425"/>
  </r>
  <r>
    <s v="O1000301"/>
    <s v="C7019"/>
    <x v="184"/>
    <d v="2021-01-10T00:00:00"/>
    <x v="0"/>
    <x v="0"/>
    <x v="0"/>
    <s v="Beijing"/>
    <s v="TEC-AC-10001284"/>
    <s v="Technology"/>
    <s v="Accessories"/>
    <s v="Enermax Briskie RF Wireless Keyboard and Mouse Combo"/>
    <n v="177.83"/>
    <n v="50"/>
    <s v="S948"/>
    <x v="4"/>
    <s v="W41"/>
    <x v="3"/>
    <s v="FedEx"/>
    <s v="Berlin-London"/>
    <n v="4429"/>
    <n v="117"/>
    <n v="26"/>
    <n v="334.83"/>
    <n v="80.260000000000005"/>
    <n v="415.09"/>
    <x v="1"/>
    <n v="0"/>
    <n v="87.83"/>
    <n v="65"/>
    <n v="31"/>
  </r>
  <r>
    <s v="O1000302"/>
    <s v="C6162"/>
    <x v="274"/>
    <d v="2024-12-23T00:00:00"/>
    <x v="2"/>
    <x v="3"/>
    <x v="1"/>
    <s v="London"/>
    <s v="FUR-FU-10004020"/>
    <s v="Furniture"/>
    <s v="Furnishings"/>
    <s v="Advantus Panel Wall Acrylic Frame"/>
    <n v="184.33"/>
    <n v="82"/>
    <s v="S948"/>
    <x v="2"/>
    <s v="W4"/>
    <x v="1"/>
    <s v="BlueDart"/>
    <s v="London-New York"/>
    <n v="3932"/>
    <n v="319"/>
    <n v="9"/>
    <n v="1592.65"/>
    <n v="161.07"/>
    <n v="1753.72"/>
    <x v="1"/>
    <n v="0"/>
    <n v="77.31"/>
    <n v="123"/>
    <n v="142"/>
  </r>
  <r>
    <s v="O1000303"/>
    <s v="C4910"/>
    <x v="275"/>
    <d v="2023-01-05T00:00:00"/>
    <x v="2"/>
    <x v="3"/>
    <x v="2"/>
    <s v="New York"/>
    <s v="OFF-AR-10001955"/>
    <s v="Office Supplies"/>
    <s v="Art"/>
    <s v="Newell 319"/>
    <n v="340.66"/>
    <n v="84"/>
    <s v="S478"/>
    <x v="0"/>
    <s v="W13"/>
    <x v="3"/>
    <s v="Maersk"/>
    <s v="New York-Toronto"/>
    <n v="3647"/>
    <n v="454"/>
    <n v="19"/>
    <n v="50.33"/>
    <n v="82.03"/>
    <n v="132.36000000000001"/>
    <x v="0"/>
    <n v="4"/>
    <n v="95.52"/>
    <n v="399"/>
    <n v="368"/>
  </r>
  <r>
    <s v="O1000304"/>
    <s v="C8208"/>
    <x v="276"/>
    <d v="2020-11-18T00:00:00"/>
    <x v="2"/>
    <x v="2"/>
    <x v="2"/>
    <s v="New York"/>
    <s v="OFF-BI-10004140"/>
    <s v="Office Supplies"/>
    <s v="Binders"/>
    <s v="Avery Non-Stick Binders"/>
    <n v="433.4"/>
    <n v="76"/>
    <s v="S235"/>
    <x v="1"/>
    <s v="W35"/>
    <x v="2"/>
    <s v="DHL"/>
    <s v="Mumbai-Cape Town"/>
    <n v="2468"/>
    <n v="131"/>
    <n v="6"/>
    <n v="1819.76"/>
    <n v="145.19"/>
    <n v="1964.95"/>
    <x v="0"/>
    <n v="10"/>
    <n v="75.8"/>
    <n v="407"/>
    <n v="402"/>
  </r>
  <r>
    <s v="O1000305"/>
    <s v="C5106"/>
    <x v="277"/>
    <d v="2023-01-11T00:00:00"/>
    <x v="0"/>
    <x v="2"/>
    <x v="6"/>
    <s v="New York"/>
    <s v="OFF-LA-10001641"/>
    <s v="Office Supplies"/>
    <s v="Labels"/>
    <s v="Avery 518"/>
    <n v="375.69"/>
    <n v="41"/>
    <s v="S609"/>
    <x v="4"/>
    <s v="W27"/>
    <x v="3"/>
    <s v="Maersk"/>
    <s v="Beijing-São Paulo"/>
    <n v="129"/>
    <n v="128"/>
    <n v="9"/>
    <n v="1754.62"/>
    <n v="144.32"/>
    <n v="1898.94"/>
    <x v="1"/>
    <n v="0"/>
    <n v="72.11"/>
    <n v="232"/>
    <n v="188"/>
  </r>
  <r>
    <s v="O1000306"/>
    <s v="C2734"/>
    <x v="278"/>
    <d v="2021-09-01T00:00:00"/>
    <x v="1"/>
    <x v="3"/>
    <x v="0"/>
    <s v="Beijing"/>
    <s v="OFF-PA-10002195"/>
    <s v="Office Supplies"/>
    <s v="Paper"/>
    <s v="Xerox 1966"/>
    <n v="82.76"/>
    <n v="77"/>
    <s v="S214"/>
    <x v="3"/>
    <s v="W27"/>
    <x v="2"/>
    <s v="Maersk"/>
    <s v="Beijing-London"/>
    <n v="1851"/>
    <n v="112"/>
    <n v="28"/>
    <n v="1596.99"/>
    <n v="176.93"/>
    <n v="1773.92"/>
    <x v="0"/>
    <n v="14"/>
    <n v="83.36"/>
    <n v="158"/>
    <n v="130"/>
  </r>
  <r>
    <s v="O1000307"/>
    <s v="C5402"/>
    <x v="279"/>
    <d v="2024-12-10T00:00:00"/>
    <x v="2"/>
    <x v="1"/>
    <x v="0"/>
    <s v="São Paulo"/>
    <s v="OFF-PA-10003797"/>
    <s v="Office Supplies"/>
    <s v="Paper"/>
    <s v="Xerox 209"/>
    <n v="81.53"/>
    <n v="50"/>
    <s v="S240"/>
    <x v="0"/>
    <s v="W25"/>
    <x v="2"/>
    <s v="FedEx"/>
    <s v="São Paulo-London"/>
    <n v="4826"/>
    <n v="189"/>
    <n v="10"/>
    <n v="967.82"/>
    <n v="329.7"/>
    <n v="1297.52"/>
    <x v="1"/>
    <n v="0"/>
    <n v="83.75"/>
    <n v="448"/>
    <n v="465"/>
  </r>
  <r>
    <s v="O1000308"/>
    <s v="C3039"/>
    <x v="280"/>
    <d v="2022-04-23T00:00:00"/>
    <x v="2"/>
    <x v="0"/>
    <x v="0"/>
    <s v="New York"/>
    <s v="OFF-ST-10004180"/>
    <s v="Office Supplies"/>
    <s v="Storage"/>
    <s v="Safco Commercial Shelving"/>
    <n v="337.23"/>
    <n v="32"/>
    <s v="S780"/>
    <x v="3"/>
    <s v="W46"/>
    <x v="3"/>
    <s v="UPS"/>
    <s v="Toronto-São Paulo"/>
    <n v="3801"/>
    <n v="464"/>
    <n v="17"/>
    <n v="1538.88"/>
    <n v="440.06"/>
    <n v="1978.94"/>
    <x v="1"/>
    <n v="0"/>
    <n v="99.82"/>
    <n v="433"/>
    <n v="471"/>
  </r>
  <r>
    <s v="O1000309"/>
    <s v="C1880"/>
    <x v="281"/>
    <d v="2024-06-17T00:00:00"/>
    <x v="1"/>
    <x v="1"/>
    <x v="4"/>
    <s v="São Paulo"/>
    <s v="TEC-AC-10002926"/>
    <s v="Technology"/>
    <s v="Accessories"/>
    <s v="Logitech Wireless Marathon Mouse M705"/>
    <n v="162.47"/>
    <n v="12"/>
    <s v="S504"/>
    <x v="2"/>
    <s v="W13"/>
    <x v="3"/>
    <s v="DHL"/>
    <s v="New York-Mumbai"/>
    <n v="69"/>
    <n v="339"/>
    <n v="7"/>
    <n v="232.22"/>
    <n v="187.88"/>
    <n v="420.1"/>
    <x v="1"/>
    <n v="0"/>
    <n v="92.21"/>
    <n v="481"/>
    <n v="433"/>
  </r>
  <r>
    <s v="O1000310"/>
    <s v="C5408"/>
    <x v="282"/>
    <d v="2021-03-18T00:00:00"/>
    <x v="2"/>
    <x v="3"/>
    <x v="1"/>
    <s v="Cape Town"/>
    <s v="OFF-AR-10000127"/>
    <s v="Office Supplies"/>
    <s v="Art"/>
    <s v="Newell 321"/>
    <n v="381.67"/>
    <n v="87"/>
    <s v="S679"/>
    <x v="4"/>
    <s v="W45"/>
    <x v="0"/>
    <s v="Maersk"/>
    <s v="London-Mumbai"/>
    <n v="3637"/>
    <n v="387"/>
    <n v="2"/>
    <n v="1327.73"/>
    <n v="57.99"/>
    <n v="1385.72"/>
    <x v="1"/>
    <n v="0"/>
    <n v="92.12"/>
    <n v="190"/>
    <n v="225"/>
  </r>
  <r>
    <s v="O1000311"/>
    <s v="C1884"/>
    <x v="283"/>
    <d v="2024-07-05T00:00:00"/>
    <x v="2"/>
    <x v="0"/>
    <x v="6"/>
    <s v="São Paulo"/>
    <s v="OFF-AR-10002952"/>
    <s v="Office Supplies"/>
    <s v="Art"/>
    <s v="Stanley Contemporary Battery Pencil Sharpeners"/>
    <n v="34.590000000000003"/>
    <n v="83"/>
    <s v="S620"/>
    <x v="1"/>
    <s v="W31"/>
    <x v="2"/>
    <s v="DHL"/>
    <s v="Mumbai-Toronto"/>
    <n v="4274"/>
    <n v="386"/>
    <n v="22"/>
    <n v="105.9"/>
    <n v="114.25"/>
    <n v="220.15"/>
    <x v="1"/>
    <n v="0"/>
    <n v="77.599999999999994"/>
    <n v="120"/>
    <n v="139"/>
  </r>
  <r>
    <s v="O1000312"/>
    <s v="C2013"/>
    <x v="284"/>
    <d v="2024-02-11T00:00:00"/>
    <x v="1"/>
    <x v="0"/>
    <x v="6"/>
    <s v="São Paulo"/>
    <s v="OFF-AR-10004685"/>
    <s v="Office Supplies"/>
    <s v="Art"/>
    <s v="Binney &amp; Smith Crayola Metallic Colored Pencils, 8-Color Set"/>
    <n v="474.38"/>
    <n v="62"/>
    <s v="S467"/>
    <x v="4"/>
    <s v="W5"/>
    <x v="1"/>
    <s v="BlueDart"/>
    <s v="London-São Paulo"/>
    <n v="4372"/>
    <n v="308"/>
    <n v="22"/>
    <n v="1808.28"/>
    <n v="385.12"/>
    <n v="2193.4"/>
    <x v="1"/>
    <n v="0"/>
    <n v="97.24"/>
    <n v="74"/>
    <n v="113"/>
  </r>
  <r>
    <s v="O1000313"/>
    <s v="C4927"/>
    <x v="285"/>
    <d v="2021-03-13T00:00:00"/>
    <x v="1"/>
    <x v="4"/>
    <x v="7"/>
    <s v="Toronto"/>
    <s v="OFF-AR-10004757"/>
    <s v="Office Supplies"/>
    <s v="Art"/>
    <s v="Crayola Colored Pencils"/>
    <n v="81.760000000000005"/>
    <n v="60"/>
    <s v="S840"/>
    <x v="4"/>
    <s v="W39"/>
    <x v="1"/>
    <s v="BlueDart"/>
    <s v="Toronto-Berlin"/>
    <n v="3495"/>
    <n v="125"/>
    <n v="22"/>
    <n v="169.91"/>
    <n v="235.23"/>
    <n v="405.14"/>
    <x v="1"/>
    <n v="0"/>
    <n v="84.05"/>
    <n v="109"/>
    <n v="84"/>
  </r>
  <r>
    <s v="O1000314"/>
    <s v="C1464"/>
    <x v="286"/>
    <d v="2023-08-15T00:00:00"/>
    <x v="1"/>
    <x v="0"/>
    <x v="2"/>
    <s v="Cape Town"/>
    <s v="OFF-BI-10002852"/>
    <s v="Office Supplies"/>
    <s v="Binders"/>
    <s v="Ibico Standard Transparent Covers"/>
    <n v="115.69"/>
    <n v="69"/>
    <s v="S662"/>
    <x v="1"/>
    <s v="W16"/>
    <x v="0"/>
    <s v="DHL"/>
    <s v="Beijing-Berlin"/>
    <n v="2791"/>
    <n v="174"/>
    <n v="16"/>
    <n v="245.36"/>
    <n v="367.06"/>
    <n v="612.42000000000007"/>
    <x v="1"/>
    <n v="0"/>
    <n v="77.78"/>
    <n v="423"/>
    <n v="383"/>
  </r>
  <r>
    <s v="O1000315"/>
    <s v="C5755"/>
    <x v="287"/>
    <d v="2024-10-22T00:00:00"/>
    <x v="2"/>
    <x v="1"/>
    <x v="1"/>
    <s v="London"/>
    <s v="OFF-BI-10004209"/>
    <s v="Office Supplies"/>
    <s v="Binders"/>
    <s v="Fellowes Twister Kit, Gray/Clear, 3/pkg"/>
    <n v="260.05"/>
    <n v="59"/>
    <s v="S786"/>
    <x v="4"/>
    <s v="W39"/>
    <x v="0"/>
    <s v="Maersk"/>
    <s v="Berlin-São Paulo"/>
    <n v="1081"/>
    <n v="327"/>
    <n v="27"/>
    <n v="1818.91"/>
    <n v="372.44"/>
    <n v="2191.35"/>
    <x v="1"/>
    <n v="0"/>
    <n v="79.650000000000006"/>
    <n v="291"/>
    <n v="260"/>
  </r>
  <r>
    <s v="O1000316"/>
    <s v="C7376"/>
    <x v="288"/>
    <d v="2023-11-01T00:00:00"/>
    <x v="1"/>
    <x v="1"/>
    <x v="3"/>
    <s v="Cape Town"/>
    <s v="OFF-PA-10003349"/>
    <s v="Office Supplies"/>
    <s v="Paper"/>
    <s v="Xerox 1957"/>
    <n v="18.329999999999998"/>
    <n v="13"/>
    <s v="S723"/>
    <x v="2"/>
    <s v="W44"/>
    <x v="1"/>
    <s v="Maersk"/>
    <s v="London-Beijing"/>
    <n v="1012"/>
    <n v="357"/>
    <n v="28"/>
    <n v="1759.5"/>
    <n v="153.87"/>
    <n v="1913.37"/>
    <x v="1"/>
    <n v="0"/>
    <n v="83.64"/>
    <n v="244"/>
    <n v="236"/>
  </r>
  <r>
    <s v="O1000317"/>
    <s v="C5809"/>
    <x v="289"/>
    <d v="2022-06-30T00:00:00"/>
    <x v="2"/>
    <x v="4"/>
    <x v="0"/>
    <s v="São Paulo"/>
    <s v="OFF-PA-10004071"/>
    <s v="Office Supplies"/>
    <s v="Paper"/>
    <s v="Eaton Premium Continuous-Feed Paper, 25% Cotton, Letter Size, White, 1000 Shts/Box"/>
    <n v="161.59"/>
    <n v="49"/>
    <s v="S200"/>
    <x v="2"/>
    <s v="W36"/>
    <x v="1"/>
    <s v="BlueDart"/>
    <s v="Mumbai-Toronto"/>
    <n v="1119"/>
    <n v="430"/>
    <n v="22"/>
    <n v="390.29"/>
    <n v="21.3"/>
    <n v="411.59"/>
    <x v="1"/>
    <n v="0"/>
    <n v="96.28"/>
    <n v="266"/>
    <n v="226"/>
  </r>
  <r>
    <s v="O1000318"/>
    <s v="C1866"/>
    <x v="243"/>
    <d v="2020-11-05T00:00:00"/>
    <x v="2"/>
    <x v="0"/>
    <x v="2"/>
    <s v="Cape Town"/>
    <s v="OFF-ST-10000991"/>
    <s v="Office Supplies"/>
    <s v="Storage"/>
    <s v="Space Solutions HD Industrial Steel Shelving."/>
    <n v="434.8"/>
    <n v="98"/>
    <s v="S771"/>
    <x v="3"/>
    <s v="W49"/>
    <x v="1"/>
    <s v="UPS"/>
    <s v="Cape Town-Mumbai"/>
    <n v="3115"/>
    <n v="321"/>
    <n v="27"/>
    <n v="1285.57"/>
    <n v="395.25"/>
    <n v="1680.82"/>
    <x v="1"/>
    <n v="0"/>
    <n v="83.3"/>
    <n v="441"/>
    <n v="468"/>
  </r>
  <r>
    <s v="O1000319"/>
    <s v="C9816"/>
    <x v="290"/>
    <d v="2021-03-23T00:00:00"/>
    <x v="2"/>
    <x v="4"/>
    <x v="3"/>
    <s v="São Paulo"/>
    <s v="OFF-ST-10001031"/>
    <s v="Office Supplies"/>
    <s v="Storage"/>
    <s v="Adjustable Personal File Tote"/>
    <n v="148.68"/>
    <n v="12"/>
    <s v="S892"/>
    <x v="3"/>
    <s v="W14"/>
    <x v="1"/>
    <s v="DHL"/>
    <s v="Cape Town-Mumbai"/>
    <n v="2949"/>
    <n v="360"/>
    <n v="16"/>
    <n v="847.71"/>
    <n v="457.99"/>
    <n v="1305.7"/>
    <x v="1"/>
    <n v="0"/>
    <n v="81.19"/>
    <n v="81"/>
    <n v="74"/>
  </r>
  <r>
    <s v="O1000320"/>
    <s v="C8794"/>
    <x v="291"/>
    <d v="2022-12-04T00:00:00"/>
    <x v="1"/>
    <x v="0"/>
    <x v="7"/>
    <s v="New York"/>
    <s v="OFF-ST-10003455"/>
    <s v="Office Supplies"/>
    <s v="Storage"/>
    <s v="Tenex File Box, Personal Filing Tote with Lid, Black"/>
    <n v="444.98"/>
    <n v="31"/>
    <s v="S384"/>
    <x v="0"/>
    <s v="W37"/>
    <x v="0"/>
    <s v="FedEx"/>
    <s v="Beijing-London"/>
    <n v="1050"/>
    <n v="259"/>
    <n v="18"/>
    <n v="1375.21"/>
    <n v="166.39"/>
    <n v="1541.6"/>
    <x v="1"/>
    <n v="0"/>
    <n v="89.92"/>
    <n v="378"/>
    <n v="370"/>
  </r>
  <r>
    <s v="O1000321"/>
    <s v="C8452"/>
    <x v="292"/>
    <d v="2023-03-19T00:00:00"/>
    <x v="2"/>
    <x v="2"/>
    <x v="1"/>
    <s v="Berlin"/>
    <s v="OFF-SU-10002881"/>
    <s v="Office Supplies"/>
    <s v="Supplies"/>
    <s v="Martin Yale Chadless Opener Electric Letter Opener"/>
    <n v="67.19"/>
    <n v="33"/>
    <s v="S327"/>
    <x v="0"/>
    <s v="W16"/>
    <x v="1"/>
    <s v="UPS"/>
    <s v="London-Beijing"/>
    <n v="2248"/>
    <n v="74"/>
    <n v="17"/>
    <n v="1632.49"/>
    <n v="184.66"/>
    <n v="1817.15"/>
    <x v="1"/>
    <n v="0"/>
    <n v="91.71"/>
    <n v="172"/>
    <n v="197"/>
  </r>
  <r>
    <s v="O1000322"/>
    <s v="C7495"/>
    <x v="293"/>
    <d v="2020-11-22T00:00:00"/>
    <x v="1"/>
    <x v="0"/>
    <x v="1"/>
    <s v="São Paulo"/>
    <s v="TEC-PH-10001615"/>
    <s v="Technology"/>
    <s v="Phones"/>
    <s v="AT&amp;T CL82213"/>
    <n v="368.08"/>
    <n v="26"/>
    <s v="S139"/>
    <x v="0"/>
    <s v="W9"/>
    <x v="1"/>
    <s v="UPS"/>
    <s v="Cape Town-Berlin"/>
    <n v="990"/>
    <n v="223"/>
    <n v="1"/>
    <n v="602.34"/>
    <n v="68.13"/>
    <n v="670.47"/>
    <x v="1"/>
    <n v="0"/>
    <n v="77.27"/>
    <n v="114"/>
    <n v="115"/>
  </r>
  <r>
    <s v="O1000323"/>
    <s v="C5699"/>
    <x v="294"/>
    <d v="2024-06-12T00:00:00"/>
    <x v="2"/>
    <x v="1"/>
    <x v="2"/>
    <s v="New York"/>
    <s v="FUR-FU-10000747"/>
    <s v="Furniture"/>
    <s v="Furnishings"/>
    <s v="Tenex B1-RE Series Chair Mats for Low Pile Carpets"/>
    <n v="74.599999999999994"/>
    <n v="48"/>
    <s v="S374"/>
    <x v="4"/>
    <s v="W13"/>
    <x v="0"/>
    <s v="DHL"/>
    <s v="Toronto-São Paulo"/>
    <n v="3024"/>
    <n v="353"/>
    <n v="26"/>
    <n v="571.69000000000005"/>
    <n v="10.44"/>
    <n v="582.13000000000011"/>
    <x v="1"/>
    <n v="0"/>
    <n v="71.540000000000006"/>
    <n v="477"/>
    <n v="437"/>
  </r>
  <r>
    <s v="O1000324"/>
    <s v="C7723"/>
    <x v="295"/>
    <d v="2020-12-15T00:00:00"/>
    <x v="2"/>
    <x v="2"/>
    <x v="2"/>
    <s v="Beijing"/>
    <s v="FUR-FU-10001918"/>
    <s v="Furniture"/>
    <s v="Furnishings"/>
    <s v="C-Line Cubicle Keepers Polyproplyene Holder With Velcro Backings"/>
    <n v="488.27"/>
    <n v="31"/>
    <s v="S144"/>
    <x v="1"/>
    <s v="W4"/>
    <x v="0"/>
    <s v="FedEx"/>
    <s v="São Paulo-Berlin"/>
    <n v="1605"/>
    <n v="229"/>
    <n v="10"/>
    <n v="1398.28"/>
    <n v="12.55"/>
    <n v="1410.83"/>
    <x v="1"/>
    <n v="0"/>
    <n v="92.16"/>
    <n v="396"/>
    <n v="394"/>
  </r>
  <r>
    <s v="O1000325"/>
    <s v="C7872"/>
    <x v="296"/>
    <d v="2020-10-18T00:00:00"/>
    <x v="2"/>
    <x v="1"/>
    <x v="1"/>
    <s v="Berlin"/>
    <s v="FUR-TA-10000688"/>
    <s v="Furniture"/>
    <s v="Tables"/>
    <s v="Chromcraft Bull-Nose Wood Round Conference Table Top, Wood Base"/>
    <n v="412.38"/>
    <n v="71"/>
    <s v="S639"/>
    <x v="1"/>
    <s v="W16"/>
    <x v="0"/>
    <s v="UPS"/>
    <s v="São Paulo-London"/>
    <n v="4511"/>
    <n v="54"/>
    <n v="20"/>
    <n v="1633.48"/>
    <n v="53.47"/>
    <n v="1686.95"/>
    <x v="1"/>
    <n v="0"/>
    <n v="83.12"/>
    <n v="411"/>
    <n v="445"/>
  </r>
  <r>
    <s v="O1000326"/>
    <s v="C4343"/>
    <x v="297"/>
    <d v="2022-12-20T00:00:00"/>
    <x v="0"/>
    <x v="1"/>
    <x v="6"/>
    <s v="Mumbai"/>
    <s v="FUR-TA-10001039"/>
    <s v="Furniture"/>
    <s v="Tables"/>
    <s v="KI Adjustable-Height Table"/>
    <n v="288.37"/>
    <n v="82"/>
    <s v="S366"/>
    <x v="3"/>
    <s v="W15"/>
    <x v="1"/>
    <s v="FedEx"/>
    <s v="New York-São Paulo"/>
    <n v="3927"/>
    <n v="377"/>
    <n v="27"/>
    <n v="109.87"/>
    <n v="424.9"/>
    <n v="534.77"/>
    <x v="1"/>
    <n v="0"/>
    <n v="78.31"/>
    <n v="426"/>
    <n v="399"/>
  </r>
  <r>
    <s v="O1000327"/>
    <s v="C3241"/>
    <x v="241"/>
    <d v="2020-05-25T00:00:00"/>
    <x v="0"/>
    <x v="2"/>
    <x v="0"/>
    <s v="Cape Town"/>
    <s v="OFF-AR-10001725"/>
    <s v="Office Supplies"/>
    <s v="Art"/>
    <s v="Boston Home &amp; Office Model 2000 Electric Pencil Sharpeners"/>
    <n v="85.45"/>
    <n v="27"/>
    <s v="S361"/>
    <x v="0"/>
    <s v="W5"/>
    <x v="1"/>
    <s v="Maersk"/>
    <s v="Toronto-São Paulo"/>
    <n v="1917"/>
    <n v="355"/>
    <n v="7"/>
    <n v="167.97"/>
    <n v="319.38"/>
    <n v="487.35"/>
    <x v="1"/>
    <n v="0"/>
    <n v="97.17"/>
    <n v="166"/>
    <n v="165"/>
  </r>
  <r>
    <s v="O1000328"/>
    <s v="C1170"/>
    <x v="280"/>
    <d v="2020-03-01T00:00:00"/>
    <x v="1"/>
    <x v="2"/>
    <x v="3"/>
    <s v="New York"/>
    <s v="OFF-BI-10002794"/>
    <s v="Office Supplies"/>
    <s v="Binders"/>
    <s v="Avery Trapezoid Ring Binder, 3&quot; Capacity, Black, 1040 sheets"/>
    <n v="201.32"/>
    <n v="13"/>
    <s v="S996"/>
    <x v="2"/>
    <s v="W14"/>
    <x v="0"/>
    <s v="UPS"/>
    <s v="London-Beijing"/>
    <n v="71"/>
    <n v="400"/>
    <n v="24"/>
    <n v="140.58000000000001"/>
    <n v="113.57"/>
    <n v="254.15"/>
    <x v="1"/>
    <n v="0"/>
    <n v="82.27"/>
    <n v="255"/>
    <n v="208"/>
  </r>
  <r>
    <s v="O1000329"/>
    <s v="C6639"/>
    <x v="298"/>
    <d v="2023-07-11T00:00:00"/>
    <x v="1"/>
    <x v="3"/>
    <x v="4"/>
    <s v="New York"/>
    <s v="OFF-BI-10003719"/>
    <s v="Office Supplies"/>
    <s v="Binders"/>
    <s v="Large Capacity Hanging Post Binders"/>
    <n v="114.67"/>
    <n v="92"/>
    <s v="S747"/>
    <x v="4"/>
    <s v="W45"/>
    <x v="2"/>
    <s v="UPS"/>
    <s v="London-Beijing"/>
    <n v="864"/>
    <n v="419"/>
    <n v="4"/>
    <n v="1669.6"/>
    <n v="397.87"/>
    <n v="2067.4699999999998"/>
    <x v="1"/>
    <n v="0"/>
    <n v="78.87"/>
    <n v="456"/>
    <n v="471"/>
  </r>
  <r>
    <s v="O1000330"/>
    <s v="C7443"/>
    <x v="41"/>
    <d v="2021-05-07T00:00:00"/>
    <x v="1"/>
    <x v="3"/>
    <x v="6"/>
    <s v="Toronto"/>
    <s v="OFF-PA-10001977"/>
    <s v="Office Supplies"/>
    <s v="Paper"/>
    <s v="Xerox 194"/>
    <n v="20.45"/>
    <n v="5"/>
    <s v="S343"/>
    <x v="1"/>
    <s v="W9"/>
    <x v="2"/>
    <s v="DHL"/>
    <s v="New York-São Paulo"/>
    <n v="1259"/>
    <n v="275"/>
    <n v="5"/>
    <n v="1881.61"/>
    <n v="334.16"/>
    <n v="2215.77"/>
    <x v="1"/>
    <n v="0"/>
    <n v="74.05"/>
    <n v="289"/>
    <n v="273"/>
  </r>
  <r>
    <s v="O1000331"/>
    <s v="C9052"/>
    <x v="299"/>
    <d v="2023-05-31T00:00:00"/>
    <x v="2"/>
    <x v="3"/>
    <x v="5"/>
    <s v="Mumbai"/>
    <s v="OFF-PA-10003309"/>
    <s v="Office Supplies"/>
    <s v="Paper"/>
    <s v="Xerox 211"/>
    <n v="443.34"/>
    <n v="20"/>
    <s v="S942"/>
    <x v="2"/>
    <s v="W48"/>
    <x v="0"/>
    <s v="UPS"/>
    <s v="São Paulo-Berlin"/>
    <n v="3253"/>
    <n v="205"/>
    <n v="23"/>
    <n v="319.27"/>
    <n v="264.20999999999998"/>
    <n v="583.48"/>
    <x v="1"/>
    <n v="0"/>
    <n v="89.79"/>
    <n v="372"/>
    <n v="346"/>
  </r>
  <r>
    <s v="O1000332"/>
    <s v="C4690"/>
    <x v="300"/>
    <d v="2021-08-25T00:00:00"/>
    <x v="1"/>
    <x v="3"/>
    <x v="7"/>
    <s v="São Paulo"/>
    <s v="OFF-SU-10004498"/>
    <s v="Office Supplies"/>
    <s v="Supplies"/>
    <s v="Martin-Yale Premier Letter Opener"/>
    <n v="265.19"/>
    <n v="43"/>
    <s v="S167"/>
    <x v="4"/>
    <s v="W44"/>
    <x v="1"/>
    <s v="UPS"/>
    <s v="London-New York"/>
    <n v="1614"/>
    <n v="161"/>
    <n v="24"/>
    <n v="320.54000000000002"/>
    <n v="495.57"/>
    <n v="816.11"/>
    <x v="1"/>
    <n v="0"/>
    <n v="82.78"/>
    <n v="207"/>
    <n v="179"/>
  </r>
  <r>
    <s v="O1000333"/>
    <s v="C9252"/>
    <x v="301"/>
    <d v="2020-09-08T00:00:00"/>
    <x v="2"/>
    <x v="2"/>
    <x v="2"/>
    <s v="Mumbai"/>
    <s v="TEC-AC-10003441"/>
    <s v="Technology"/>
    <s v="Accessories"/>
    <s v="Kingston Digital DataTraveler 32GB USB 2.0"/>
    <n v="367.36"/>
    <n v="50"/>
    <s v="S414"/>
    <x v="2"/>
    <s v="W22"/>
    <x v="2"/>
    <s v="UPS"/>
    <s v="Mumbai-São Paulo"/>
    <n v="3373"/>
    <n v="107"/>
    <n v="21"/>
    <n v="1142.1099999999999"/>
    <n v="326.73"/>
    <n v="1468.84"/>
    <x v="1"/>
    <n v="0"/>
    <n v="79.959999999999994"/>
    <n v="476"/>
    <n v="436"/>
  </r>
  <r>
    <s v="O1000334"/>
    <s v="C8026"/>
    <x v="302"/>
    <d v="2022-08-05T00:00:00"/>
    <x v="2"/>
    <x v="4"/>
    <x v="3"/>
    <s v="Beijing"/>
    <s v="TEC-AC-10004171"/>
    <s v="Technology"/>
    <s v="Accessories"/>
    <s v="Razer Kraken 7.1 Surround Sound Over Ear USB Gaming Headset"/>
    <n v="62.8"/>
    <n v="75"/>
    <s v="S780"/>
    <x v="4"/>
    <s v="W41"/>
    <x v="1"/>
    <s v="FedEx"/>
    <s v="Toronto-London"/>
    <n v="2668"/>
    <n v="481"/>
    <n v="9"/>
    <n v="80.31"/>
    <n v="125.24"/>
    <n v="205.55"/>
    <x v="1"/>
    <n v="0"/>
    <n v="99.17"/>
    <n v="408"/>
    <n v="406"/>
  </r>
  <r>
    <s v="O1000335"/>
    <s v="C6482"/>
    <x v="303"/>
    <d v="2022-09-01T00:00:00"/>
    <x v="2"/>
    <x v="0"/>
    <x v="0"/>
    <s v="Berlin"/>
    <s v="TEC-AC-10004659"/>
    <s v="Technology"/>
    <s v="Accessories"/>
    <s v="Imation Secure+ Hardware Encrypted USB 2.0 Flash Drive; 16GB"/>
    <n v="121.68"/>
    <n v="59"/>
    <s v="S862"/>
    <x v="1"/>
    <s v="W15"/>
    <x v="2"/>
    <s v="DHL"/>
    <s v="New York-Mumbai"/>
    <n v="2504"/>
    <n v="97"/>
    <n v="5"/>
    <n v="141.19999999999999"/>
    <n v="171.69"/>
    <n v="312.89"/>
    <x v="0"/>
    <n v="5"/>
    <n v="88.32"/>
    <n v="418"/>
    <n v="421"/>
  </r>
  <r>
    <s v="O1000336"/>
    <s v="C1516"/>
    <x v="110"/>
    <d v="2022-01-06T00:00:00"/>
    <x v="2"/>
    <x v="3"/>
    <x v="2"/>
    <s v="São Paulo"/>
    <s v="FUR-FU-10004415"/>
    <s v="Furniture"/>
    <s v="Furnishings"/>
    <s v="Stacking Tray, Side-Loading, Legal, Smoke"/>
    <n v="462.78"/>
    <n v="59"/>
    <s v="S381"/>
    <x v="2"/>
    <s v="W37"/>
    <x v="1"/>
    <s v="DHL"/>
    <s v="Beijing-London"/>
    <n v="4228"/>
    <n v="401"/>
    <n v="17"/>
    <n v="777.06"/>
    <n v="330.13"/>
    <n v="1107.19"/>
    <x v="1"/>
    <n v="0"/>
    <n v="87.28"/>
    <n v="214"/>
    <n v="193"/>
  </r>
  <r>
    <s v="O1000337"/>
    <s v="C3978"/>
    <x v="185"/>
    <d v="2024-05-21T00:00:00"/>
    <x v="2"/>
    <x v="4"/>
    <x v="7"/>
    <s v="London"/>
    <s v="OFF-PA-10000100"/>
    <s v="Office Supplies"/>
    <s v="Paper"/>
    <s v="Xerox 1945"/>
    <n v="63.77"/>
    <n v="20"/>
    <s v="S323"/>
    <x v="3"/>
    <s v="W18"/>
    <x v="2"/>
    <s v="DHL"/>
    <s v="Berlin-London"/>
    <n v="3926"/>
    <n v="84"/>
    <n v="10"/>
    <n v="1378.05"/>
    <n v="33.08"/>
    <n v="1411.13"/>
    <x v="1"/>
    <n v="0"/>
    <n v="88.5"/>
    <n v="206"/>
    <n v="246"/>
  </r>
  <r>
    <s v="O1000338"/>
    <s v="C6008"/>
    <x v="222"/>
    <d v="2022-12-17T00:00:00"/>
    <x v="2"/>
    <x v="0"/>
    <x v="5"/>
    <s v="Cape Town"/>
    <s v="OFF-PA-10003441"/>
    <s v="Office Supplies"/>
    <s v="Paper"/>
    <s v="Xerox 226"/>
    <n v="144.91999999999999"/>
    <n v="97"/>
    <s v="S852"/>
    <x v="3"/>
    <s v="W26"/>
    <x v="3"/>
    <s v="UPS"/>
    <s v="Beijing-São Paulo"/>
    <n v="2514"/>
    <n v="280"/>
    <n v="25"/>
    <n v="157.4"/>
    <n v="22.03"/>
    <n v="179.43"/>
    <x v="1"/>
    <n v="0"/>
    <n v="73.319999999999993"/>
    <n v="484"/>
    <n v="530"/>
  </r>
  <r>
    <s v="O1000339"/>
    <s v="C1304"/>
    <x v="29"/>
    <d v="2020-04-09T00:00:00"/>
    <x v="2"/>
    <x v="2"/>
    <x v="3"/>
    <s v="New York"/>
    <s v="TEC-PH-10003273"/>
    <s v="Technology"/>
    <s v="Phones"/>
    <s v="AT&amp;T TR1909W"/>
    <n v="400.03"/>
    <n v="10"/>
    <s v="S256"/>
    <x v="3"/>
    <s v="W44"/>
    <x v="1"/>
    <s v="UPS"/>
    <s v="London-Cape Town"/>
    <n v="4892"/>
    <n v="246"/>
    <n v="26"/>
    <n v="530.94000000000005"/>
    <n v="290.38"/>
    <n v="821.32"/>
    <x v="1"/>
    <n v="0"/>
    <n v="99.65"/>
    <n v="284"/>
    <n v="254"/>
  </r>
  <r>
    <s v="O1000340"/>
    <s v="C7219"/>
    <x v="304"/>
    <d v="2024-07-24T00:00:00"/>
    <x v="2"/>
    <x v="3"/>
    <x v="5"/>
    <s v="New York"/>
    <s v="TEC-PH-10004922"/>
    <s v="Technology"/>
    <s v="Phones"/>
    <s v="RCA Visys Integrated PBX 8-Line Router"/>
    <n v="316.11"/>
    <n v="33"/>
    <s v="S948"/>
    <x v="4"/>
    <s v="W1"/>
    <x v="3"/>
    <s v="BlueDart"/>
    <s v="Cape Town-Berlin"/>
    <n v="132"/>
    <n v="165"/>
    <n v="4"/>
    <n v="198.14"/>
    <n v="321.39"/>
    <n v="519.53"/>
    <x v="1"/>
    <n v="0"/>
    <n v="89.11"/>
    <n v="58"/>
    <n v="68"/>
  </r>
  <r>
    <s v="O1000341"/>
    <s v="C7662"/>
    <x v="305"/>
    <d v="2024-01-11T00:00:00"/>
    <x v="2"/>
    <x v="1"/>
    <x v="7"/>
    <s v="Beijing"/>
    <s v="FUR-TA-10001086"/>
    <s v="Furniture"/>
    <s v="Tables"/>
    <s v="SAFCO PlanMaster Boards, 60w x 37-1/2d, White Melamine"/>
    <n v="191.27"/>
    <n v="67"/>
    <s v="S175"/>
    <x v="4"/>
    <s v="W32"/>
    <x v="3"/>
    <s v="UPS"/>
    <s v="Mumbai-Cape Town"/>
    <n v="3972"/>
    <n v="317"/>
    <n v="14"/>
    <n v="1525.9"/>
    <n v="465.54"/>
    <n v="1991.44"/>
    <x v="1"/>
    <n v="0"/>
    <n v="70.47"/>
    <n v="70"/>
    <n v="43"/>
  </r>
  <r>
    <s v="O1000342"/>
    <s v="C4507"/>
    <x v="306"/>
    <d v="2024-11-08T00:00:00"/>
    <x v="1"/>
    <x v="1"/>
    <x v="6"/>
    <s v="Berlin"/>
    <s v="FUR-TA-10003748"/>
    <s v="Furniture"/>
    <s v="Tables"/>
    <s v="Bevis 36 x 72 Conference Tables"/>
    <n v="186.61"/>
    <n v="75"/>
    <s v="S652"/>
    <x v="3"/>
    <s v="W31"/>
    <x v="2"/>
    <s v="UPS"/>
    <s v="São Paulo-London"/>
    <n v="808"/>
    <n v="460"/>
    <n v="12"/>
    <n v="79.27"/>
    <n v="128.79"/>
    <n v="208.06"/>
    <x v="1"/>
    <n v="0"/>
    <n v="74.25"/>
    <n v="358"/>
    <n v="363"/>
  </r>
  <r>
    <s v="O1000343"/>
    <s v="C4835"/>
    <x v="307"/>
    <d v="2023-09-07T00:00:00"/>
    <x v="1"/>
    <x v="1"/>
    <x v="5"/>
    <s v="Beijing"/>
    <s v="FUR-TA-10004442"/>
    <s v="Furniture"/>
    <s v="Tables"/>
    <s v="Riverside Furniture Stanwyck Manor Table Series"/>
    <n v="309.44"/>
    <n v="81"/>
    <s v="S219"/>
    <x v="4"/>
    <s v="W8"/>
    <x v="3"/>
    <s v="DHL"/>
    <s v="Cape Town-Cape Town"/>
    <n v="1093"/>
    <n v="364"/>
    <n v="17"/>
    <n v="1412.55"/>
    <n v="61.49"/>
    <n v="1474.04"/>
    <x v="1"/>
    <n v="0"/>
    <n v="81.3"/>
    <n v="106"/>
    <n v="122"/>
  </r>
  <r>
    <s v="O1000344"/>
    <s v="C8892"/>
    <x v="89"/>
    <d v="2023-06-22T00:00:00"/>
    <x v="1"/>
    <x v="3"/>
    <x v="5"/>
    <s v="São Paulo"/>
    <s v="OFF-FA-10000611"/>
    <s v="Office Supplies"/>
    <s v="Fasteners"/>
    <s v="Binder Clips by OIC"/>
    <n v="205.63"/>
    <n v="42"/>
    <s v="S187"/>
    <x v="0"/>
    <s v="W34"/>
    <x v="0"/>
    <s v="Maersk"/>
    <s v="São Paulo-Mumbai"/>
    <n v="4722"/>
    <n v="277"/>
    <n v="1"/>
    <n v="513.46"/>
    <n v="112.75"/>
    <n v="626.21"/>
    <x v="1"/>
    <n v="0"/>
    <n v="72.45"/>
    <n v="381"/>
    <n v="333"/>
  </r>
  <r>
    <s v="O1000345"/>
    <s v="C7942"/>
    <x v="308"/>
    <d v="2022-07-02T00:00:00"/>
    <x v="2"/>
    <x v="0"/>
    <x v="6"/>
    <s v="New York"/>
    <s v="OFF-FA-10001883"/>
    <s v="Office Supplies"/>
    <s v="Fasteners"/>
    <s v="Alliance Super-Size Bands, Assorted Sizes"/>
    <n v="278.58999999999997"/>
    <n v="50"/>
    <s v="S966"/>
    <x v="3"/>
    <s v="W21"/>
    <x v="0"/>
    <s v="BlueDart"/>
    <s v="São Paulo-Berlin"/>
    <n v="2455"/>
    <n v="416"/>
    <n v="5"/>
    <n v="1072.46"/>
    <n v="499.12"/>
    <n v="1571.58"/>
    <x v="1"/>
    <n v="0"/>
    <n v="86.57"/>
    <n v="301"/>
    <n v="329"/>
  </r>
  <r>
    <s v="O1000346"/>
    <s v="C6449"/>
    <x v="49"/>
    <d v="2024-04-06T00:00:00"/>
    <x v="2"/>
    <x v="2"/>
    <x v="7"/>
    <s v="Berlin"/>
    <s v="OFF-PA-10004733"/>
    <s v="Office Supplies"/>
    <s v="Paper"/>
    <s v="Things To Do Today Spiral Book"/>
    <n v="223.18"/>
    <n v="68"/>
    <s v="S890"/>
    <x v="3"/>
    <s v="W24"/>
    <x v="3"/>
    <s v="UPS"/>
    <s v="Berlin-Mumbai"/>
    <n v="1473"/>
    <n v="179"/>
    <n v="15"/>
    <n v="1734.08"/>
    <n v="284.95"/>
    <n v="2019.03"/>
    <x v="1"/>
    <n v="0"/>
    <n v="71.88"/>
    <n v="460"/>
    <n v="419"/>
  </r>
  <r>
    <s v="O1000347"/>
    <s v="C4093"/>
    <x v="309"/>
    <d v="2021-01-12T00:00:00"/>
    <x v="1"/>
    <x v="2"/>
    <x v="6"/>
    <s v="Beijing"/>
    <s v="TEC-AC-10001908"/>
    <s v="Technology"/>
    <s v="Accessories"/>
    <s v="Logitech Wireless Headset h800"/>
    <n v="86.81"/>
    <n v="19"/>
    <s v="S519"/>
    <x v="3"/>
    <s v="W31"/>
    <x v="3"/>
    <s v="DHL"/>
    <s v="London-New York"/>
    <n v="2914"/>
    <n v="113"/>
    <n v="12"/>
    <n v="1427.11"/>
    <n v="362.56"/>
    <n v="1789.67"/>
    <x v="0"/>
    <n v="4"/>
    <n v="80.069999999999993"/>
    <n v="451"/>
    <n v="439"/>
  </r>
  <r>
    <s v="O1000348"/>
    <s v="C3748"/>
    <x v="310"/>
    <d v="2020-06-12T00:00:00"/>
    <x v="2"/>
    <x v="0"/>
    <x v="7"/>
    <s v="Cape Town"/>
    <s v="OFF-BI-10004817"/>
    <s v="Office Supplies"/>
    <s v="Binders"/>
    <s v="GBC Personal VeloBind Strips"/>
    <n v="498.44"/>
    <n v="74"/>
    <s v="S369"/>
    <x v="3"/>
    <s v="W11"/>
    <x v="1"/>
    <s v="UPS"/>
    <s v="New York-Cape Town"/>
    <n v="4767"/>
    <n v="359"/>
    <n v="16"/>
    <n v="1248.83"/>
    <n v="468.69"/>
    <n v="1717.52"/>
    <x v="1"/>
    <n v="0"/>
    <n v="84.74"/>
    <n v="387"/>
    <n v="436"/>
  </r>
  <r>
    <s v="O1000349"/>
    <s v="C5771"/>
    <x v="311"/>
    <d v="2021-11-28T00:00:00"/>
    <x v="2"/>
    <x v="4"/>
    <x v="3"/>
    <s v="Beijing"/>
    <s v="OFF-FA-10001332"/>
    <s v="Office Supplies"/>
    <s v="Fasteners"/>
    <s v="Acco Banker's Clasps, 5 3/4&quot;-Long"/>
    <n v="371.52"/>
    <n v="55"/>
    <s v="S157"/>
    <x v="1"/>
    <s v="W10"/>
    <x v="2"/>
    <s v="Maersk"/>
    <s v="São Paulo-Cape Town"/>
    <n v="2923"/>
    <n v="126"/>
    <n v="1"/>
    <n v="1166.24"/>
    <n v="105.64"/>
    <n v="1271.8800000000001"/>
    <x v="1"/>
    <n v="0"/>
    <n v="98.16"/>
    <n v="98"/>
    <n v="118"/>
  </r>
  <r>
    <s v="O1000350"/>
    <s v="C1492"/>
    <x v="312"/>
    <d v="2023-11-27T00:00:00"/>
    <x v="2"/>
    <x v="4"/>
    <x v="7"/>
    <s v="São Paulo"/>
    <s v="OFF-PA-10000029"/>
    <s v="Office Supplies"/>
    <s v="Paper"/>
    <s v="Xerox 224"/>
    <n v="104.87"/>
    <n v="70"/>
    <s v="S426"/>
    <x v="3"/>
    <s v="W2"/>
    <x v="2"/>
    <s v="FedEx"/>
    <s v="Beijing-Cape Town"/>
    <n v="183"/>
    <n v="469"/>
    <n v="3"/>
    <n v="1379.4"/>
    <n v="54.44"/>
    <n v="1433.84"/>
    <x v="1"/>
    <n v="0"/>
    <n v="81.92"/>
    <n v="411"/>
    <n v="429"/>
  </r>
  <r>
    <s v="O1000351"/>
    <s v="C9070"/>
    <x v="313"/>
    <d v="2023-03-05T00:00:00"/>
    <x v="2"/>
    <x v="2"/>
    <x v="7"/>
    <s v="São Paulo"/>
    <s v="OFF-ST-10000876"/>
    <s v="Office Supplies"/>
    <s v="Storage"/>
    <s v="Eldon Simplefile Box Office"/>
    <n v="191.2"/>
    <n v="3"/>
    <s v="S528"/>
    <x v="1"/>
    <s v="W40"/>
    <x v="1"/>
    <s v="BlueDart"/>
    <s v="Toronto-Beijing"/>
    <n v="146"/>
    <n v="494"/>
    <n v="11"/>
    <n v="1530.76"/>
    <n v="381.05"/>
    <n v="1911.81"/>
    <x v="1"/>
    <n v="0"/>
    <n v="86.62"/>
    <n v="137"/>
    <n v="186"/>
  </r>
  <r>
    <s v="O1000352"/>
    <s v="C1656"/>
    <x v="312"/>
    <d v="2024-05-21T00:00:00"/>
    <x v="2"/>
    <x v="1"/>
    <x v="4"/>
    <s v="Toronto"/>
    <s v="TEC-AC-10001874"/>
    <s v="Technology"/>
    <s v="Accessories"/>
    <s v="Logitech Wireless Anywhere Mouse MX for PC and Mac"/>
    <n v="402.36"/>
    <n v="7"/>
    <s v="S329"/>
    <x v="2"/>
    <s v="W16"/>
    <x v="0"/>
    <s v="BlueDart"/>
    <s v="Cape Town-London"/>
    <n v="2215"/>
    <n v="268"/>
    <n v="27"/>
    <n v="830.28"/>
    <n v="311.27"/>
    <n v="1141.55"/>
    <x v="1"/>
    <n v="0"/>
    <n v="87.84"/>
    <n v="65"/>
    <n v="84"/>
  </r>
  <r>
    <s v="O1000353"/>
    <s v="C4596"/>
    <x v="314"/>
    <d v="2022-02-09T00:00:00"/>
    <x v="2"/>
    <x v="0"/>
    <x v="1"/>
    <s v="Cape Town"/>
    <s v="TEC-AC-10002001"/>
    <s v="Technology"/>
    <s v="Accessories"/>
    <s v="Logitech Wireless Gaming Headset G930"/>
    <n v="48.83"/>
    <n v="66"/>
    <s v="S399"/>
    <x v="3"/>
    <s v="W14"/>
    <x v="3"/>
    <s v="BlueDart"/>
    <s v="Mumbai-Toronto"/>
    <n v="2438"/>
    <n v="328"/>
    <n v="26"/>
    <n v="221.8"/>
    <n v="311.77999999999997"/>
    <n v="533.57999999999993"/>
    <x v="1"/>
    <n v="0"/>
    <n v="75.98"/>
    <n v="110"/>
    <n v="69"/>
  </r>
  <r>
    <s v="O1000354"/>
    <s v="C3227"/>
    <x v="315"/>
    <d v="2020-09-03T00:00:00"/>
    <x v="1"/>
    <x v="2"/>
    <x v="7"/>
    <s v="London"/>
    <s v="TEC-AC-10003399"/>
    <s v="Technology"/>
    <s v="Accessories"/>
    <s v="Memorex Mini Travel Drive 64 GB USB 2.0 Flash Drive"/>
    <n v="106.09"/>
    <n v="74"/>
    <s v="S998"/>
    <x v="4"/>
    <s v="W13"/>
    <x v="1"/>
    <s v="Maersk"/>
    <s v="São Paulo-New York"/>
    <n v="3171"/>
    <n v="71"/>
    <n v="11"/>
    <n v="1975.47"/>
    <n v="265.37"/>
    <n v="2240.84"/>
    <x v="1"/>
    <n v="0"/>
    <n v="86.6"/>
    <n v="388"/>
    <n v="363"/>
  </r>
  <r>
    <s v="O1000355"/>
    <s v="C8534"/>
    <x v="316"/>
    <d v="2022-08-02T00:00:00"/>
    <x v="2"/>
    <x v="3"/>
    <x v="4"/>
    <s v="Berlin"/>
    <s v="TEC-PH-10000586"/>
    <s v="Technology"/>
    <s v="Phones"/>
    <s v="AT&amp;T SB67148 SynJ"/>
    <n v="258.41000000000003"/>
    <n v="76"/>
    <s v="S878"/>
    <x v="2"/>
    <s v="W20"/>
    <x v="1"/>
    <s v="BlueDart"/>
    <s v="Cape Town-São Paulo"/>
    <n v="1113"/>
    <n v="284"/>
    <n v="2"/>
    <n v="1828.76"/>
    <n v="60.18"/>
    <n v="1888.94"/>
    <x v="0"/>
    <n v="1"/>
    <n v="81.41"/>
    <n v="181"/>
    <n v="166"/>
  </r>
  <r>
    <s v="O1000356"/>
    <s v="C9707"/>
    <x v="317"/>
    <d v="2022-06-03T00:00:00"/>
    <x v="2"/>
    <x v="3"/>
    <x v="6"/>
    <s v="Berlin"/>
    <s v="TEC-PH-10001835"/>
    <s v="Technology"/>
    <s v="Phones"/>
    <s v="Jawbone JAMBOX Wireless Bluetooth Speaker"/>
    <n v="360.32"/>
    <n v="5"/>
    <s v="S470"/>
    <x v="2"/>
    <s v="W48"/>
    <x v="3"/>
    <s v="FedEx"/>
    <s v="Beijing-Beijing"/>
    <n v="4861"/>
    <n v="67"/>
    <n v="2"/>
    <n v="985.14"/>
    <n v="113.09"/>
    <n v="1098.23"/>
    <x v="1"/>
    <n v="0"/>
    <n v="78.25"/>
    <n v="386"/>
    <n v="424"/>
  </r>
  <r>
    <s v="O1000357"/>
    <s v="C7403"/>
    <x v="318"/>
    <d v="2021-10-31T00:00:00"/>
    <x v="2"/>
    <x v="0"/>
    <x v="1"/>
    <s v="São Paulo"/>
    <s v="FUR-BO-10001337"/>
    <s v="Furniture"/>
    <s v="Bookcases"/>
    <s v="O'Sullivan Living Dimensions 2-Shelf Bookcases"/>
    <n v="30.84"/>
    <n v="68"/>
    <s v="S948"/>
    <x v="2"/>
    <s v="W26"/>
    <x v="3"/>
    <s v="FedEx"/>
    <s v="Cape Town-Berlin"/>
    <n v="2793"/>
    <n v="253"/>
    <n v="5"/>
    <n v="206.88"/>
    <n v="462.69"/>
    <n v="669.56999999999994"/>
    <x v="1"/>
    <n v="0"/>
    <n v="93.75"/>
    <n v="286"/>
    <n v="262"/>
  </r>
  <r>
    <s v="O1000358"/>
    <s v="C6021"/>
    <x v="319"/>
    <d v="2022-08-01T00:00:00"/>
    <x v="1"/>
    <x v="1"/>
    <x v="4"/>
    <s v="Beijing"/>
    <s v="OFF-AR-10002987"/>
    <s v="Office Supplies"/>
    <s v="Art"/>
    <s v="Prismacolor Color Pencil Set"/>
    <n v="242.6"/>
    <n v="86"/>
    <s v="S381"/>
    <x v="1"/>
    <s v="W32"/>
    <x v="1"/>
    <s v="BlueDart"/>
    <s v="Beijing-Beijing"/>
    <n v="2937"/>
    <n v="216"/>
    <n v="23"/>
    <n v="526.51"/>
    <n v="176.92"/>
    <n v="703.43"/>
    <x v="1"/>
    <n v="0"/>
    <n v="81.239999999999995"/>
    <n v="74"/>
    <n v="76"/>
  </r>
  <r>
    <s v="O1000359"/>
    <s v="C4312"/>
    <x v="71"/>
    <d v="2021-07-03T00:00:00"/>
    <x v="2"/>
    <x v="3"/>
    <x v="6"/>
    <s v="New York"/>
    <s v="OFF-BI-10002764"/>
    <s v="Office Supplies"/>
    <s v="Binders"/>
    <s v="Recycled Pressboard Report Cover with Reinforced Top Hinge"/>
    <n v="27.11"/>
    <n v="98"/>
    <s v="S320"/>
    <x v="1"/>
    <s v="W9"/>
    <x v="2"/>
    <s v="Maersk"/>
    <s v="Cape Town-Beijing"/>
    <n v="4323"/>
    <n v="430"/>
    <n v="25"/>
    <n v="470.01"/>
    <n v="74.89"/>
    <n v="544.9"/>
    <x v="1"/>
    <n v="0"/>
    <n v="92.17"/>
    <n v="139"/>
    <n v="149"/>
  </r>
  <r>
    <s v="O1000360"/>
    <s v="C2551"/>
    <x v="320"/>
    <d v="2020-06-24T00:00:00"/>
    <x v="2"/>
    <x v="3"/>
    <x v="0"/>
    <s v="London"/>
    <s v="OFF-PA-10000289"/>
    <s v="Office Supplies"/>
    <s v="Paper"/>
    <s v="Xerox 213"/>
    <n v="32.19"/>
    <n v="89"/>
    <s v="S339"/>
    <x v="2"/>
    <s v="W12"/>
    <x v="2"/>
    <s v="DHL"/>
    <s v="New York-São Paulo"/>
    <n v="4336"/>
    <n v="235"/>
    <n v="25"/>
    <n v="950.02"/>
    <n v="146.97"/>
    <n v="1096.99"/>
    <x v="1"/>
    <n v="0"/>
    <n v="75.56"/>
    <n v="468"/>
    <n v="497"/>
  </r>
  <r>
    <s v="O1000361"/>
    <s v="C8790"/>
    <x v="321"/>
    <d v="2021-10-23T00:00:00"/>
    <x v="2"/>
    <x v="2"/>
    <x v="6"/>
    <s v="New York"/>
    <s v="TEC-PH-10000576"/>
    <s v="Technology"/>
    <s v="Phones"/>
    <s v="AT&amp;T 1080 Corded phone"/>
    <n v="331.21"/>
    <n v="51"/>
    <s v="S860"/>
    <x v="1"/>
    <s v="W26"/>
    <x v="2"/>
    <s v="DHL"/>
    <s v="London-London"/>
    <n v="1762"/>
    <n v="425"/>
    <n v="19"/>
    <n v="659.16"/>
    <n v="39.67"/>
    <n v="698.82999999999993"/>
    <x v="1"/>
    <n v="0"/>
    <n v="89.12"/>
    <n v="201"/>
    <n v="174"/>
  </r>
  <r>
    <s v="O1000362"/>
    <s v="C6564"/>
    <x v="322"/>
    <d v="2020-11-22T00:00:00"/>
    <x v="1"/>
    <x v="2"/>
    <x v="0"/>
    <s v="Mumbai"/>
    <s v="TEC-PH-10001557"/>
    <s v="Technology"/>
    <s v="Phones"/>
    <s v="Pyle PMP37LED"/>
    <n v="341.44"/>
    <n v="85"/>
    <s v="S458"/>
    <x v="2"/>
    <s v="W21"/>
    <x v="1"/>
    <s v="Maersk"/>
    <s v="New York-London"/>
    <n v="2378"/>
    <n v="381"/>
    <n v="2"/>
    <n v="721.77"/>
    <n v="104.74"/>
    <n v="826.51"/>
    <x v="1"/>
    <n v="0"/>
    <n v="75.06"/>
    <n v="314"/>
    <n v="281"/>
  </r>
  <r>
    <s v="O1000363"/>
    <s v="C4910"/>
    <x v="323"/>
    <d v="2022-09-22T00:00:00"/>
    <x v="1"/>
    <x v="2"/>
    <x v="0"/>
    <s v="London"/>
    <s v="OFF-AR-10000122"/>
    <s v="Office Supplies"/>
    <s v="Art"/>
    <s v="Newell 314"/>
    <n v="28.32"/>
    <n v="85"/>
    <s v="S138"/>
    <x v="3"/>
    <s v="W20"/>
    <x v="2"/>
    <s v="DHL"/>
    <s v="Toronto-São Paulo"/>
    <n v="3614"/>
    <n v="280"/>
    <n v="18"/>
    <n v="1563.99"/>
    <n v="434.44"/>
    <n v="1998.43"/>
    <x v="1"/>
    <n v="0"/>
    <n v="88.47"/>
    <n v="141"/>
    <n v="111"/>
  </r>
  <r>
    <s v="O1000364"/>
    <s v="C1247"/>
    <x v="324"/>
    <d v="2024-06-18T00:00:00"/>
    <x v="2"/>
    <x v="3"/>
    <x v="7"/>
    <s v="Beijing"/>
    <s v="OFF-BI-10003656"/>
    <s v="Office Supplies"/>
    <s v="Binders"/>
    <s v="Fellowes PB200 Plastic Comb Binding Machine"/>
    <n v="144.21"/>
    <n v="29"/>
    <s v="S468"/>
    <x v="2"/>
    <s v="W48"/>
    <x v="2"/>
    <s v="Maersk"/>
    <s v="New York-Cape Town"/>
    <n v="3801"/>
    <n v="120"/>
    <n v="11"/>
    <n v="848.56"/>
    <n v="237.86"/>
    <n v="1086.42"/>
    <x v="1"/>
    <n v="0"/>
    <n v="80.150000000000006"/>
    <n v="287"/>
    <n v="304"/>
  </r>
  <r>
    <s v="O1000365"/>
    <s v="C5516"/>
    <x v="325"/>
    <d v="2024-06-09T00:00:00"/>
    <x v="2"/>
    <x v="0"/>
    <x v="5"/>
    <s v="Berlin"/>
    <s v="OFF-FA-10002780"/>
    <s v="Office Supplies"/>
    <s v="Fasteners"/>
    <s v="Staples"/>
    <n v="112.22"/>
    <n v="40"/>
    <s v="S672"/>
    <x v="2"/>
    <s v="W49"/>
    <x v="0"/>
    <s v="DHL"/>
    <s v="Cape Town-New York"/>
    <n v="2660"/>
    <n v="162"/>
    <n v="10"/>
    <n v="1977.08"/>
    <n v="344.52"/>
    <n v="2321.6"/>
    <x v="1"/>
    <n v="0"/>
    <n v="79.59"/>
    <n v="59"/>
    <n v="107"/>
  </r>
  <r>
    <s v="O1000366"/>
    <s v="C3199"/>
    <x v="326"/>
    <d v="2022-05-03T00:00:00"/>
    <x v="2"/>
    <x v="2"/>
    <x v="6"/>
    <s v="Berlin"/>
    <s v="OFF-LA-10002368"/>
    <s v="Office Supplies"/>
    <s v="Labels"/>
    <s v="Avery 479"/>
    <n v="463.92"/>
    <n v="49"/>
    <s v="S441"/>
    <x v="4"/>
    <s v="W32"/>
    <x v="0"/>
    <s v="FedEx"/>
    <s v="Beijing-Beijing"/>
    <n v="1593"/>
    <n v="289"/>
    <n v="19"/>
    <n v="1354.2"/>
    <n v="137.9"/>
    <n v="1492.1"/>
    <x v="1"/>
    <n v="0"/>
    <n v="96.08"/>
    <n v="188"/>
    <n v="223"/>
  </r>
  <r>
    <s v="O1000367"/>
    <s v="C5149"/>
    <x v="327"/>
    <d v="2023-05-09T00:00:00"/>
    <x v="1"/>
    <x v="4"/>
    <x v="2"/>
    <s v="Toronto"/>
    <s v="TEC-PH-10000702"/>
    <s v="Technology"/>
    <s v="Phones"/>
    <s v="Square Credit Card Reader, 4 1/2&quot; x 4 1/2&quot; x 1&quot;, White"/>
    <n v="443.86"/>
    <n v="64"/>
    <s v="S620"/>
    <x v="3"/>
    <s v="W22"/>
    <x v="1"/>
    <s v="Maersk"/>
    <s v="Mumbai-Berlin"/>
    <n v="3467"/>
    <n v="331"/>
    <n v="5"/>
    <n v="391.01"/>
    <n v="225.14"/>
    <n v="616.15"/>
    <x v="1"/>
    <n v="0"/>
    <n v="75.83"/>
    <n v="266"/>
    <n v="283"/>
  </r>
  <r>
    <s v="O1000368"/>
    <s v="C9783"/>
    <x v="328"/>
    <d v="2020-11-18T00:00:00"/>
    <x v="2"/>
    <x v="3"/>
    <x v="0"/>
    <s v="São Paulo"/>
    <s v="FUR-FU-10004091"/>
    <s v="Furniture"/>
    <s v="Furnishings"/>
    <s v="Howard Miller 13&quot; Diameter Goldtone Round Wall Clock"/>
    <n v="293.23"/>
    <n v="2"/>
    <s v="S857"/>
    <x v="4"/>
    <s v="W29"/>
    <x v="1"/>
    <s v="DHL"/>
    <s v="Beijing-Beijing"/>
    <n v="2393"/>
    <n v="460"/>
    <n v="10"/>
    <n v="274.01"/>
    <n v="174.73"/>
    <n v="448.74"/>
    <x v="1"/>
    <n v="0"/>
    <n v="82.81"/>
    <n v="344"/>
    <n v="310"/>
  </r>
  <r>
    <s v="O1000369"/>
    <s v="C7887"/>
    <x v="329"/>
    <d v="2024-04-17T00:00:00"/>
    <x v="1"/>
    <x v="0"/>
    <x v="1"/>
    <s v="London"/>
    <s v="OFF-AP-10000240"/>
    <s v="Office Supplies"/>
    <s v="Appliances"/>
    <s v="Belkin F9G930V10-GRY 9 Outlet Surge"/>
    <n v="94.35"/>
    <n v="92"/>
    <s v="S652"/>
    <x v="1"/>
    <s v="W47"/>
    <x v="1"/>
    <s v="Maersk"/>
    <s v="Berlin-São Paulo"/>
    <n v="858"/>
    <n v="121"/>
    <n v="6"/>
    <n v="1472.42"/>
    <n v="311.47000000000003"/>
    <n v="1783.89"/>
    <x v="1"/>
    <n v="0"/>
    <n v="72.52"/>
    <n v="354"/>
    <n v="354"/>
  </r>
  <r>
    <s v="O1000370"/>
    <s v="C1401"/>
    <x v="134"/>
    <d v="2023-10-16T00:00:00"/>
    <x v="1"/>
    <x v="1"/>
    <x v="7"/>
    <s v="New York"/>
    <s v="OFF-AR-10003478"/>
    <s v="Office Supplies"/>
    <s v="Art"/>
    <s v="Avery Hi-Liter EverBold Pen Style Fluorescent Highlighters, 4/Pack"/>
    <n v="41.98"/>
    <n v="40"/>
    <s v="S392"/>
    <x v="4"/>
    <s v="W24"/>
    <x v="3"/>
    <s v="BlueDart"/>
    <s v="Mumbai-Toronto"/>
    <n v="4676"/>
    <n v="131"/>
    <n v="26"/>
    <n v="497.87"/>
    <n v="15.92"/>
    <n v="513.79"/>
    <x v="1"/>
    <n v="0"/>
    <n v="85.3"/>
    <n v="262"/>
    <n v="295"/>
  </r>
  <r>
    <s v="O1000371"/>
    <s v="C2694"/>
    <x v="330"/>
    <d v="2021-09-11T00:00:00"/>
    <x v="2"/>
    <x v="2"/>
    <x v="6"/>
    <s v="Mumbai"/>
    <s v="FUR-CH-10002602"/>
    <s v="Furniture"/>
    <s v="Chairs"/>
    <s v="DMI Arturo Collection Mission-style Design Wood Chair"/>
    <n v="360.43"/>
    <n v="56"/>
    <s v="S695"/>
    <x v="3"/>
    <s v="W26"/>
    <x v="0"/>
    <s v="UPS"/>
    <s v="Mumbai-São Paulo"/>
    <n v="4179"/>
    <n v="174"/>
    <n v="14"/>
    <n v="1829.78"/>
    <n v="81.69"/>
    <n v="1911.47"/>
    <x v="0"/>
    <n v="5"/>
    <n v="91.73"/>
    <n v="228"/>
    <n v="191"/>
  </r>
  <r>
    <s v="O1000372"/>
    <s v="C5585"/>
    <x v="304"/>
    <d v="2024-07-28T00:00:00"/>
    <x v="2"/>
    <x v="0"/>
    <x v="5"/>
    <s v="Berlin"/>
    <s v="OFF-AR-10000657"/>
    <s v="Office Supplies"/>
    <s v="Art"/>
    <s v="Binney &amp; Smith inkTank Desk Highlighter, Chisel Tip, Yellow, 12/Box"/>
    <n v="357.7"/>
    <n v="10"/>
    <s v="S468"/>
    <x v="3"/>
    <s v="W16"/>
    <x v="0"/>
    <s v="DHL"/>
    <s v="Beijing-São Paulo"/>
    <n v="1610"/>
    <n v="372"/>
    <n v="2"/>
    <n v="1345.21"/>
    <n v="18.16"/>
    <n v="1363.37"/>
    <x v="1"/>
    <n v="0"/>
    <n v="73.349999999999994"/>
    <n v="339"/>
    <n v="363"/>
  </r>
  <r>
    <s v="O1000373"/>
    <s v="C6553"/>
    <x v="76"/>
    <d v="2024-06-28T00:00:00"/>
    <x v="1"/>
    <x v="1"/>
    <x v="1"/>
    <s v="Mumbai"/>
    <s v="OFF-AR-10001868"/>
    <s v="Office Supplies"/>
    <s v="Art"/>
    <s v="Prang Dustless Chalk Sticks"/>
    <n v="305.52999999999997"/>
    <n v="59"/>
    <s v="S567"/>
    <x v="0"/>
    <s v="W2"/>
    <x v="2"/>
    <s v="UPS"/>
    <s v="Cape Town-Mumbai"/>
    <n v="2110"/>
    <n v="215"/>
    <n v="9"/>
    <n v="1341.13"/>
    <n v="460.44"/>
    <n v="1801.57"/>
    <x v="1"/>
    <n v="0"/>
    <n v="97.05"/>
    <n v="95"/>
    <n v="136"/>
  </r>
  <r>
    <s v="O1000374"/>
    <s v="C6375"/>
    <x v="310"/>
    <d v="2022-01-08T00:00:00"/>
    <x v="2"/>
    <x v="3"/>
    <x v="4"/>
    <s v="São Paulo"/>
    <s v="OFF-AR-10002375"/>
    <s v="Office Supplies"/>
    <s v="Art"/>
    <s v="Newell 351"/>
    <n v="372"/>
    <n v="44"/>
    <s v="S740"/>
    <x v="1"/>
    <s v="W9"/>
    <x v="0"/>
    <s v="UPS"/>
    <s v="Beijing-New York"/>
    <n v="94"/>
    <n v="71"/>
    <n v="7"/>
    <n v="1934.59"/>
    <n v="211.21"/>
    <n v="2145.8000000000002"/>
    <x v="0"/>
    <n v="1"/>
    <n v="75.06"/>
    <n v="74"/>
    <n v="120"/>
  </r>
  <r>
    <s v="O1000375"/>
    <s v="C2677"/>
    <x v="331"/>
    <d v="2024-10-18T00:00:00"/>
    <x v="1"/>
    <x v="1"/>
    <x v="2"/>
    <s v="New York"/>
    <s v="OFF-EN-10000056"/>
    <s v="Office Supplies"/>
    <s v="Envelopes"/>
    <s v="Cameo Buff Policy Envelopes"/>
    <n v="115.44"/>
    <n v="71"/>
    <s v="S804"/>
    <x v="4"/>
    <s v="W9"/>
    <x v="1"/>
    <s v="Maersk"/>
    <s v="São Paulo-New York"/>
    <n v="1059"/>
    <n v="390"/>
    <n v="3"/>
    <n v="942.64"/>
    <n v="218.7"/>
    <n v="1161.3399999999999"/>
    <x v="1"/>
    <n v="0"/>
    <n v="87.53"/>
    <n v="227"/>
    <n v="263"/>
  </r>
  <r>
    <s v="O1000376"/>
    <s v="C3760"/>
    <x v="332"/>
    <d v="2022-05-08T00:00:00"/>
    <x v="2"/>
    <x v="3"/>
    <x v="7"/>
    <s v="New York"/>
    <s v="OFF-FA-10000134"/>
    <s v="Office Supplies"/>
    <s v="Fasteners"/>
    <s v="Advantus Push Pins, Aluminum Head"/>
    <n v="422.22"/>
    <n v="37"/>
    <s v="S297"/>
    <x v="4"/>
    <s v="W1"/>
    <x v="2"/>
    <s v="FedEx"/>
    <s v="Toronto-Mumbai"/>
    <n v="3462"/>
    <n v="236"/>
    <n v="8"/>
    <n v="1315.39"/>
    <n v="105.6"/>
    <n v="1420.99"/>
    <x v="1"/>
    <n v="0"/>
    <n v="79.31"/>
    <n v="113"/>
    <n v="99"/>
  </r>
  <r>
    <s v="O1000377"/>
    <s v="C3869"/>
    <x v="333"/>
    <d v="2020-07-19T00:00:00"/>
    <x v="2"/>
    <x v="0"/>
    <x v="3"/>
    <s v="Mumbai"/>
    <s v="TEC-AC-10000474"/>
    <s v="Technology"/>
    <s v="Accessories"/>
    <s v="Kensington Expert Mouse Optical USB Trackball for PC or Mac"/>
    <n v="400.41"/>
    <n v="84"/>
    <s v="S897"/>
    <x v="0"/>
    <s v="W2"/>
    <x v="2"/>
    <s v="BlueDart"/>
    <s v="Toronto-Cape Town"/>
    <n v="537"/>
    <n v="409"/>
    <n v="25"/>
    <n v="525.48"/>
    <n v="352.82"/>
    <n v="878.3"/>
    <x v="1"/>
    <n v="0"/>
    <n v="83.23"/>
    <n v="109"/>
    <n v="101"/>
  </r>
  <r>
    <s v="O1000378"/>
    <s v="C2973"/>
    <x v="228"/>
    <d v="2022-02-20T00:00:00"/>
    <x v="1"/>
    <x v="4"/>
    <x v="6"/>
    <s v="São Paulo"/>
    <s v="TEC-MA-10002859"/>
    <s v="Technology"/>
    <s v="Machines"/>
    <s v="Ativa MDM8000 8-Sheet Micro-Cut Shredder"/>
    <n v="215.08"/>
    <n v="93"/>
    <s v="S777"/>
    <x v="4"/>
    <s v="W26"/>
    <x v="2"/>
    <s v="DHL"/>
    <s v="Toronto-São Paulo"/>
    <n v="17"/>
    <n v="119"/>
    <n v="19"/>
    <n v="1877.46"/>
    <n v="322.63"/>
    <n v="2200.09"/>
    <x v="1"/>
    <n v="0"/>
    <n v="73.81"/>
    <n v="151"/>
    <n v="159"/>
  </r>
  <r>
    <s v="O1000379"/>
    <s v="C8727"/>
    <x v="334"/>
    <d v="2024-10-18T00:00:00"/>
    <x v="2"/>
    <x v="4"/>
    <x v="6"/>
    <s v="São Paulo"/>
    <s v="FUR-FU-10004017"/>
    <s v="Furniture"/>
    <s v="Furnishings"/>
    <s v="Executive Impressions 13&quot; Chairman Wall Clock"/>
    <n v="175.96"/>
    <n v="83"/>
    <s v="S394"/>
    <x v="1"/>
    <s v="W17"/>
    <x v="2"/>
    <s v="Maersk"/>
    <s v="New York-London"/>
    <n v="3980"/>
    <n v="237"/>
    <n v="27"/>
    <n v="89.56"/>
    <n v="350.76"/>
    <n v="440.32"/>
    <x v="1"/>
    <n v="0"/>
    <n v="74.19"/>
    <n v="61"/>
    <n v="44"/>
  </r>
  <r>
    <s v="O1000380"/>
    <s v="C7570"/>
    <x v="80"/>
    <d v="2022-12-08T00:00:00"/>
    <x v="2"/>
    <x v="0"/>
    <x v="0"/>
    <s v="Berlin"/>
    <s v="OFF-BI-10003638"/>
    <s v="Office Supplies"/>
    <s v="Binders"/>
    <s v="GBC Durable Plastic Covers"/>
    <n v="205.67"/>
    <n v="58"/>
    <s v="S751"/>
    <x v="4"/>
    <s v="W20"/>
    <x v="3"/>
    <s v="DHL"/>
    <s v="Toronto-London"/>
    <n v="3480"/>
    <n v="163"/>
    <n v="18"/>
    <n v="810.79"/>
    <n v="445.4"/>
    <n v="1256.19"/>
    <x v="1"/>
    <n v="0"/>
    <n v="85.54"/>
    <n v="320"/>
    <n v="365"/>
  </r>
  <r>
    <s v="O1000381"/>
    <s v="C6714"/>
    <x v="335"/>
    <d v="2022-03-09T00:00:00"/>
    <x v="0"/>
    <x v="2"/>
    <x v="7"/>
    <s v="London"/>
    <s v="OFF-PA-10001569"/>
    <s v="Office Supplies"/>
    <s v="Paper"/>
    <s v="Xerox 232"/>
    <n v="403.76"/>
    <n v="66"/>
    <s v="S189"/>
    <x v="3"/>
    <s v="W18"/>
    <x v="0"/>
    <s v="Maersk"/>
    <s v="Mumbai-Berlin"/>
    <n v="4581"/>
    <n v="469"/>
    <n v="4"/>
    <n v="1630.77"/>
    <n v="102.36"/>
    <n v="1733.13"/>
    <x v="1"/>
    <n v="0"/>
    <n v="72.81"/>
    <n v="125"/>
    <n v="90"/>
  </r>
  <r>
    <s v="O1000382"/>
    <s v="C5663"/>
    <x v="336"/>
    <d v="2024-04-24T00:00:00"/>
    <x v="0"/>
    <x v="0"/>
    <x v="6"/>
    <s v="Mumbai"/>
    <s v="FUR-FU-10000409"/>
    <s v="Furniture"/>
    <s v="Furnishings"/>
    <s v="GE 4 Foot Flourescent Tube, 40 Watt"/>
    <n v="255.68"/>
    <n v="72"/>
    <s v="S273"/>
    <x v="2"/>
    <s v="W40"/>
    <x v="2"/>
    <s v="Maersk"/>
    <s v="Berlin-New York"/>
    <n v="1394"/>
    <n v="417"/>
    <n v="25"/>
    <n v="561.62"/>
    <n v="12.49"/>
    <n v="574.11"/>
    <x v="1"/>
    <n v="0"/>
    <n v="80.92"/>
    <n v="438"/>
    <n v="396"/>
  </r>
  <r>
    <s v="O1000383"/>
    <s v="C8597"/>
    <x v="337"/>
    <d v="2020-04-01T00:00:00"/>
    <x v="1"/>
    <x v="1"/>
    <x v="4"/>
    <s v="Toronto"/>
    <s v="FUR-TA-10001705"/>
    <s v="Furniture"/>
    <s v="Tables"/>
    <s v="Bush Advantage Collection Round Conference Table"/>
    <n v="24.56"/>
    <n v="30"/>
    <s v="S513"/>
    <x v="3"/>
    <s v="W48"/>
    <x v="0"/>
    <s v="FedEx"/>
    <s v="Berlin-São Paulo"/>
    <n v="3695"/>
    <n v="257"/>
    <n v="10"/>
    <n v="1418.31"/>
    <n v="82.6"/>
    <n v="1500.91"/>
    <x v="1"/>
    <n v="0"/>
    <n v="74.2"/>
    <n v="326"/>
    <n v="304"/>
  </r>
  <r>
    <s v="O1000384"/>
    <s v="C7939"/>
    <x v="338"/>
    <d v="2023-12-03T00:00:00"/>
    <x v="2"/>
    <x v="4"/>
    <x v="3"/>
    <s v="São Paulo"/>
    <s v="FUR-TA-10004442"/>
    <s v="Furniture"/>
    <s v="Tables"/>
    <s v="Riverside Furniture Stanwyck Manor Table Series"/>
    <n v="464.3"/>
    <n v="79"/>
    <s v="S661"/>
    <x v="0"/>
    <s v="W1"/>
    <x v="0"/>
    <s v="FedEx"/>
    <s v="London-London"/>
    <n v="136"/>
    <n v="444"/>
    <n v="14"/>
    <n v="826.12"/>
    <n v="348.32"/>
    <n v="1174.44"/>
    <x v="1"/>
    <n v="0"/>
    <n v="88.97"/>
    <n v="156"/>
    <n v="185"/>
  </r>
  <r>
    <s v="O1000385"/>
    <s v="C8056"/>
    <x v="339"/>
    <d v="2024-11-10T00:00:00"/>
    <x v="2"/>
    <x v="1"/>
    <x v="6"/>
    <s v="Toronto"/>
    <s v="OFF-ST-10004634"/>
    <s v="Office Supplies"/>
    <s v="Storage"/>
    <s v="Personal Folder Holder, Ebony"/>
    <n v="316.83"/>
    <n v="7"/>
    <s v="S548"/>
    <x v="3"/>
    <s v="W22"/>
    <x v="0"/>
    <s v="FedEx"/>
    <s v="Mumbai-Toronto"/>
    <n v="1869"/>
    <n v="62"/>
    <n v="3"/>
    <n v="1286.95"/>
    <n v="335.69"/>
    <n v="1622.64"/>
    <x v="1"/>
    <n v="0"/>
    <n v="70.34"/>
    <n v="378"/>
    <n v="363"/>
  </r>
  <r>
    <s v="O1000386"/>
    <s v="C2380"/>
    <x v="340"/>
    <d v="2025-01-07T00:00:00"/>
    <x v="1"/>
    <x v="2"/>
    <x v="0"/>
    <s v="Cape Town"/>
    <s v="OFF-BI-10002976"/>
    <s v="Office Supplies"/>
    <s v="Binders"/>
    <s v="ACCOHIDE Binder by Acco"/>
    <n v="93.91"/>
    <n v="37"/>
    <s v="S971"/>
    <x v="3"/>
    <s v="W41"/>
    <x v="0"/>
    <s v="Maersk"/>
    <s v="Berlin-New York"/>
    <n v="2136"/>
    <n v="74"/>
    <n v="7"/>
    <n v="1151.6600000000001"/>
    <n v="467.98"/>
    <n v="1619.64"/>
    <x v="1"/>
    <n v="0"/>
    <n v="82.39"/>
    <n v="233"/>
    <n v="266"/>
  </r>
  <r>
    <s v="O1000387"/>
    <s v="C9907"/>
    <x v="341"/>
    <d v="2023-04-21T00:00:00"/>
    <x v="2"/>
    <x v="1"/>
    <x v="7"/>
    <s v="Cape Town"/>
    <s v="OFF-ST-10002574"/>
    <s v="Office Supplies"/>
    <s v="Storage"/>
    <s v="SAFCO Commercial Wire Shelving, Black"/>
    <n v="262.88"/>
    <n v="80"/>
    <s v="S775"/>
    <x v="0"/>
    <s v="W22"/>
    <x v="3"/>
    <s v="FedEx"/>
    <s v="Berlin-London"/>
    <n v="697"/>
    <n v="134"/>
    <n v="22"/>
    <n v="1368.62"/>
    <n v="77.27"/>
    <n v="1445.89"/>
    <x v="1"/>
    <n v="0"/>
    <n v="88.81"/>
    <n v="247"/>
    <n v="247"/>
  </r>
  <r>
    <s v="O1000388"/>
    <s v="C2155"/>
    <x v="342"/>
    <d v="2020-02-10T00:00:00"/>
    <x v="0"/>
    <x v="0"/>
    <x v="0"/>
    <s v="Berlin"/>
    <s v="OFF-BI-10004970"/>
    <s v="Office Supplies"/>
    <s v="Binders"/>
    <s v="ACCOHIDE 3-Ring Binder, Blue, 1&quot;"/>
    <n v="312.11"/>
    <n v="34"/>
    <s v="S565"/>
    <x v="2"/>
    <s v="W39"/>
    <x v="1"/>
    <s v="BlueDart"/>
    <s v="London-New York"/>
    <n v="3990"/>
    <n v="473"/>
    <n v="11"/>
    <n v="1875.33"/>
    <n v="401.93"/>
    <n v="2277.2600000000002"/>
    <x v="1"/>
    <n v="0"/>
    <n v="96.24"/>
    <n v="402"/>
    <n v="418"/>
  </r>
  <r>
    <s v="O1000389"/>
    <s v="C8969"/>
    <x v="343"/>
    <d v="2021-05-20T00:00:00"/>
    <x v="2"/>
    <x v="1"/>
    <x v="3"/>
    <s v="Berlin"/>
    <s v="OFF-EN-10004773"/>
    <s v="Office Supplies"/>
    <s v="Envelopes"/>
    <s v="Staple envelope"/>
    <n v="391.95"/>
    <n v="46"/>
    <s v="S975"/>
    <x v="0"/>
    <s v="W7"/>
    <x v="1"/>
    <s v="FedEx"/>
    <s v="Berlin-London"/>
    <n v="1302"/>
    <n v="164"/>
    <n v="17"/>
    <n v="106.4"/>
    <n v="455.07"/>
    <n v="561.47"/>
    <x v="0"/>
    <n v="10"/>
    <n v="90"/>
    <n v="485"/>
    <n v="526"/>
  </r>
  <r>
    <s v="O1000390"/>
    <s v="C8045"/>
    <x v="344"/>
    <d v="2020-05-14T00:00:00"/>
    <x v="2"/>
    <x v="4"/>
    <x v="1"/>
    <s v="Toronto"/>
    <s v="FUR-CH-10002965"/>
    <s v="Furniture"/>
    <s v="Chairs"/>
    <s v="Global Leather Highback Executive Chair with Pneumatic Height Adjustment, Black"/>
    <n v="11.44"/>
    <n v="74"/>
    <s v="S387"/>
    <x v="1"/>
    <s v="W42"/>
    <x v="2"/>
    <s v="FedEx"/>
    <s v="New York-Cape Town"/>
    <n v="594"/>
    <n v="232"/>
    <n v="21"/>
    <n v="1529.63"/>
    <n v="431.87"/>
    <n v="1961.5"/>
    <x v="1"/>
    <n v="0"/>
    <n v="86.38"/>
    <n v="117"/>
    <n v="139"/>
  </r>
  <r>
    <s v="O1000391"/>
    <s v="C5359"/>
    <x v="345"/>
    <d v="2024-08-15T00:00:00"/>
    <x v="1"/>
    <x v="1"/>
    <x v="3"/>
    <s v="Cape Town"/>
    <s v="FUR-CH-10002965"/>
    <s v="Furniture"/>
    <s v="Chairs"/>
    <s v="Global Leather Highback Executive Chair with Pneumatic Height Adjustment, Black"/>
    <n v="167.06"/>
    <n v="89"/>
    <s v="S910"/>
    <x v="0"/>
    <s v="W21"/>
    <x v="3"/>
    <s v="BlueDart"/>
    <s v="Berlin-Toronto"/>
    <n v="4407"/>
    <n v="191"/>
    <n v="10"/>
    <n v="1568.28"/>
    <n v="432.12"/>
    <n v="2000.4"/>
    <x v="1"/>
    <n v="0"/>
    <n v="93.03"/>
    <n v="452"/>
    <n v="411"/>
  </r>
  <r>
    <s v="O1000392"/>
    <s v="C8293"/>
    <x v="346"/>
    <d v="2023-08-21T00:00:00"/>
    <x v="2"/>
    <x v="4"/>
    <x v="7"/>
    <s v="Toronto"/>
    <s v="FUR-FU-10002191"/>
    <s v="Furniture"/>
    <s v="Furnishings"/>
    <s v="G.E. Halogen Desk Lamp Bulbs"/>
    <n v="392.17"/>
    <n v="51"/>
    <s v="S209"/>
    <x v="3"/>
    <s v="W28"/>
    <x v="3"/>
    <s v="BlueDart"/>
    <s v="New York-Mumbai"/>
    <n v="65"/>
    <n v="373"/>
    <n v="1"/>
    <n v="1164.58"/>
    <n v="319.69"/>
    <n v="1484.27"/>
    <x v="1"/>
    <n v="0"/>
    <n v="91.91"/>
    <n v="263"/>
    <n v="222"/>
  </r>
  <r>
    <s v="O1000393"/>
    <s v="C9716"/>
    <x v="347"/>
    <d v="2020-08-22T00:00:00"/>
    <x v="2"/>
    <x v="4"/>
    <x v="3"/>
    <s v="Mumbai"/>
    <s v="OFF-BI-10000145"/>
    <s v="Office Supplies"/>
    <s v="Binders"/>
    <s v="Zipper Ring Binder Pockets"/>
    <n v="344.2"/>
    <n v="43"/>
    <s v="S832"/>
    <x v="0"/>
    <s v="W14"/>
    <x v="3"/>
    <s v="DHL"/>
    <s v="Berlin-New York"/>
    <n v="3883"/>
    <n v="68"/>
    <n v="17"/>
    <n v="1465.92"/>
    <n v="34.4"/>
    <n v="1500.32"/>
    <x v="1"/>
    <n v="0"/>
    <n v="76.569999999999993"/>
    <n v="486"/>
    <n v="492"/>
  </r>
  <r>
    <s v="O1000394"/>
    <s v="C4084"/>
    <x v="348"/>
    <d v="2021-07-16T00:00:00"/>
    <x v="2"/>
    <x v="0"/>
    <x v="5"/>
    <s v="Berlin"/>
    <s v="OFF-BI-10004876"/>
    <s v="Office Supplies"/>
    <s v="Binders"/>
    <s v="Wilson Jones Suede Grain Vinyl Binders"/>
    <n v="207.24"/>
    <n v="97"/>
    <s v="S222"/>
    <x v="2"/>
    <s v="W43"/>
    <x v="0"/>
    <s v="FedEx"/>
    <s v="Beijing-São Paulo"/>
    <n v="2375"/>
    <n v="420"/>
    <n v="19"/>
    <n v="1241.01"/>
    <n v="277.16000000000003"/>
    <n v="1518.17"/>
    <x v="1"/>
    <n v="0"/>
    <n v="98.5"/>
    <n v="133"/>
    <n v="116"/>
  </r>
  <r>
    <s v="O1000395"/>
    <s v="C9132"/>
    <x v="349"/>
    <d v="2022-10-11T00:00:00"/>
    <x v="2"/>
    <x v="0"/>
    <x v="7"/>
    <s v="Cape Town"/>
    <s v="OFF-PA-10001878"/>
    <s v="Office Supplies"/>
    <s v="Paper"/>
    <s v="Xerox 1891"/>
    <n v="303.32"/>
    <n v="35"/>
    <s v="S644"/>
    <x v="0"/>
    <s v="W44"/>
    <x v="3"/>
    <s v="UPS"/>
    <s v="Mumbai-Berlin"/>
    <n v="3671"/>
    <n v="490"/>
    <n v="2"/>
    <n v="832.16"/>
    <n v="417.15"/>
    <n v="1249.31"/>
    <x v="1"/>
    <n v="0"/>
    <n v="82.32"/>
    <n v="441"/>
    <n v="426"/>
  </r>
  <r>
    <s v="O1000396"/>
    <s v="C4450"/>
    <x v="350"/>
    <d v="2022-09-19T00:00:00"/>
    <x v="2"/>
    <x v="2"/>
    <x v="7"/>
    <s v="London"/>
    <s v="FUR-CH-10003973"/>
    <s v="Furniture"/>
    <s v="Chairs"/>
    <s v="GuestStacker Chair with Chrome Finish Legs"/>
    <n v="427.3"/>
    <n v="3"/>
    <s v="S219"/>
    <x v="4"/>
    <s v="W27"/>
    <x v="3"/>
    <s v="BlueDart"/>
    <s v="São Paulo-Toronto"/>
    <n v="1933"/>
    <n v="176"/>
    <n v="3"/>
    <n v="1504.9"/>
    <n v="198.57"/>
    <n v="1703.47"/>
    <x v="1"/>
    <n v="0"/>
    <n v="82.99"/>
    <n v="473"/>
    <n v="497"/>
  </r>
  <r>
    <s v="O1000397"/>
    <s v="C9509"/>
    <x v="351"/>
    <d v="2021-01-25T00:00:00"/>
    <x v="2"/>
    <x v="0"/>
    <x v="1"/>
    <s v="London"/>
    <s v="FUR-FU-10003708"/>
    <s v="Furniture"/>
    <s v="Furnishings"/>
    <s v="Tenex Traditional Chairmats for Medium Pile Carpet, Standard Lip, 36&quot; x 48&quot;"/>
    <n v="94.06"/>
    <n v="37"/>
    <s v="S623"/>
    <x v="0"/>
    <s v="W6"/>
    <x v="3"/>
    <s v="UPS"/>
    <s v="São Paulo-Beijing"/>
    <n v="1647"/>
    <n v="91"/>
    <n v="2"/>
    <n v="618.78"/>
    <n v="295.8"/>
    <n v="914.57999999999993"/>
    <x v="1"/>
    <n v="0"/>
    <n v="74.91"/>
    <n v="68"/>
    <n v="73"/>
  </r>
  <r>
    <s v="O1000398"/>
    <s v="C1609"/>
    <x v="352"/>
    <d v="2023-03-08T00:00:00"/>
    <x v="1"/>
    <x v="2"/>
    <x v="6"/>
    <s v="London"/>
    <s v="OFF-AP-10001391"/>
    <s v="Office Supplies"/>
    <s v="Appliances"/>
    <s v="Kensington 6 Outlet MasterPiece HOMEOFFICE Power Control Center"/>
    <n v="119.52"/>
    <n v="41"/>
    <s v="S900"/>
    <x v="2"/>
    <s v="W12"/>
    <x v="2"/>
    <s v="BlueDart"/>
    <s v="São Paulo-Toronto"/>
    <n v="1966"/>
    <n v="409"/>
    <n v="19"/>
    <n v="1409.39"/>
    <n v="23.83"/>
    <n v="1433.22"/>
    <x v="1"/>
    <n v="0"/>
    <n v="79.400000000000006"/>
    <n v="480"/>
    <n v="465"/>
  </r>
  <r>
    <s v="O1000399"/>
    <s v="C7277"/>
    <x v="353"/>
    <d v="2020-03-21T00:00:00"/>
    <x v="2"/>
    <x v="1"/>
    <x v="0"/>
    <s v="Berlin"/>
    <s v="OFF-AR-10002221"/>
    <s v="Office Supplies"/>
    <s v="Art"/>
    <s v="12 Colored Short Pencils"/>
    <n v="280"/>
    <n v="44"/>
    <s v="S681"/>
    <x v="1"/>
    <s v="W17"/>
    <x v="1"/>
    <s v="Maersk"/>
    <s v="Beijing-Beijing"/>
    <n v="1314"/>
    <n v="327"/>
    <n v="17"/>
    <n v="1260.53"/>
    <n v="42.88"/>
    <n v="1303.4100000000001"/>
    <x v="0"/>
    <n v="7"/>
    <n v="78.36"/>
    <n v="480"/>
    <n v="489"/>
  </r>
  <r>
    <s v="O1000400"/>
    <s v="C2865"/>
    <x v="354"/>
    <d v="2022-11-12T00:00:00"/>
    <x v="2"/>
    <x v="3"/>
    <x v="1"/>
    <s v="Cape Town"/>
    <s v="OFF-PA-10003543"/>
    <s v="Office Supplies"/>
    <s v="Paper"/>
    <s v="Xerox 1985"/>
    <n v="344.96"/>
    <n v="10"/>
    <s v="S855"/>
    <x v="3"/>
    <s v="W11"/>
    <x v="2"/>
    <s v="FedEx"/>
    <s v="New York-Toronto"/>
    <n v="4508"/>
    <n v="190"/>
    <n v="28"/>
    <n v="798"/>
    <n v="423.51"/>
    <n v="1221.51"/>
    <x v="1"/>
    <n v="0"/>
    <n v="99.96"/>
    <n v="180"/>
    <n v="192"/>
  </r>
  <r>
    <s v="O1000401"/>
    <s v="C5839"/>
    <x v="355"/>
    <d v="2022-02-07T00:00:00"/>
    <x v="1"/>
    <x v="0"/>
    <x v="6"/>
    <s v="London"/>
    <s v="TEC-PH-10004531"/>
    <s v="Technology"/>
    <s v="Phones"/>
    <s v="AT&amp;T CL2909"/>
    <n v="499.5"/>
    <n v="48"/>
    <s v="S327"/>
    <x v="2"/>
    <s v="W33"/>
    <x v="3"/>
    <s v="UPS"/>
    <s v="São Paulo-Toronto"/>
    <n v="4381"/>
    <n v="440"/>
    <n v="17"/>
    <n v="1197.43"/>
    <n v="454.86"/>
    <n v="1652.29"/>
    <x v="1"/>
    <n v="0"/>
    <n v="81.88"/>
    <n v="268"/>
    <n v="252"/>
  </r>
  <r>
    <s v="O1000402"/>
    <s v="C1940"/>
    <x v="356"/>
    <d v="2022-08-18T00:00:00"/>
    <x v="2"/>
    <x v="1"/>
    <x v="6"/>
    <s v="Beijing"/>
    <s v="FUR-CH-10004886"/>
    <s v="Furniture"/>
    <s v="Chairs"/>
    <s v="Bevis Steel Folding Chairs"/>
    <n v="273.02999999999997"/>
    <n v="71"/>
    <s v="S430"/>
    <x v="1"/>
    <s v="W14"/>
    <x v="0"/>
    <s v="DHL"/>
    <s v="Mumbai-London"/>
    <n v="2445"/>
    <n v="478"/>
    <n v="6"/>
    <n v="1152.27"/>
    <n v="67.63"/>
    <n v="1219.9000000000001"/>
    <x v="1"/>
    <n v="0"/>
    <n v="92.26"/>
    <n v="459"/>
    <n v="492"/>
  </r>
  <r>
    <s v="O1000403"/>
    <s v="C7562"/>
    <x v="357"/>
    <d v="2024-06-04T00:00:00"/>
    <x v="1"/>
    <x v="1"/>
    <x v="5"/>
    <s v="New York"/>
    <s v="OFF-AR-10003504"/>
    <s v="Office Supplies"/>
    <s v="Art"/>
    <s v="Newell 347"/>
    <n v="353.47"/>
    <n v="2"/>
    <s v="S549"/>
    <x v="2"/>
    <s v="W32"/>
    <x v="2"/>
    <s v="FedEx"/>
    <s v="London-São Paulo"/>
    <n v="3525"/>
    <n v="365"/>
    <n v="5"/>
    <n v="1878.21"/>
    <n v="454.12"/>
    <n v="2332.33"/>
    <x v="1"/>
    <n v="0"/>
    <n v="72.55"/>
    <n v="465"/>
    <n v="465"/>
  </r>
  <r>
    <s v="O1000404"/>
    <s v="C2794"/>
    <x v="358"/>
    <d v="2023-07-20T00:00:00"/>
    <x v="2"/>
    <x v="0"/>
    <x v="3"/>
    <s v="Berlin"/>
    <s v="OFF-BI-10001525"/>
    <s v="Office Supplies"/>
    <s v="Binders"/>
    <s v="Acco Pressboard Covers with Storage Hooks, 14 7/8&quot; x 11&quot;, Executive Red"/>
    <n v="86.56"/>
    <n v="32"/>
    <s v="S780"/>
    <x v="0"/>
    <s v="W32"/>
    <x v="0"/>
    <s v="DHL"/>
    <s v="São Paulo-Berlin"/>
    <n v="1646"/>
    <n v="492"/>
    <n v="6"/>
    <n v="1265.8699999999999"/>
    <n v="226.68"/>
    <n v="1492.55"/>
    <x v="1"/>
    <n v="0"/>
    <n v="89.79"/>
    <n v="260"/>
    <n v="269"/>
  </r>
  <r>
    <s v="O1000405"/>
    <s v="C3781"/>
    <x v="359"/>
    <d v="2022-12-09T00:00:00"/>
    <x v="2"/>
    <x v="3"/>
    <x v="6"/>
    <s v="New York"/>
    <s v="OFF-LA-10000305"/>
    <s v="Office Supplies"/>
    <s v="Labels"/>
    <s v="Avery 495"/>
    <n v="171.87"/>
    <n v="42"/>
    <s v="S100"/>
    <x v="0"/>
    <s v="W26"/>
    <x v="1"/>
    <s v="FedEx"/>
    <s v="Mumbai-Beijing"/>
    <n v="3144"/>
    <n v="214"/>
    <n v="15"/>
    <n v="328.32"/>
    <n v="75.06"/>
    <n v="403.38"/>
    <x v="1"/>
    <n v="0"/>
    <n v="88.87"/>
    <n v="204"/>
    <n v="184"/>
  </r>
  <r>
    <s v="O1000406"/>
    <s v="C8990"/>
    <x v="360"/>
    <d v="2023-01-30T00:00:00"/>
    <x v="2"/>
    <x v="3"/>
    <x v="3"/>
    <s v="Cape Town"/>
    <s v="OFF-AR-10004752"/>
    <s v="Office Supplies"/>
    <s v="Art"/>
    <s v="Blackstonian Pencils"/>
    <n v="99.45"/>
    <n v="62"/>
    <s v="S483"/>
    <x v="0"/>
    <s v="W29"/>
    <x v="2"/>
    <s v="DHL"/>
    <s v="Mumbai-New York"/>
    <n v="2890"/>
    <n v="84"/>
    <n v="9"/>
    <n v="95.52"/>
    <n v="414.73"/>
    <n v="510.25"/>
    <x v="1"/>
    <n v="0"/>
    <n v="76.42"/>
    <n v="373"/>
    <n v="393"/>
  </r>
  <r>
    <s v="O1000407"/>
    <s v="C5788"/>
    <x v="361"/>
    <d v="2022-03-07T00:00:00"/>
    <x v="1"/>
    <x v="1"/>
    <x v="3"/>
    <s v="New York"/>
    <s v="OFF-BI-10001628"/>
    <s v="Office Supplies"/>
    <s v="Binders"/>
    <s v="Acco Data Flex Cable Posts For Top &amp; Bottom Load Binders, 6&quot; Capacity"/>
    <n v="428.73"/>
    <n v="46"/>
    <s v="S758"/>
    <x v="1"/>
    <s v="W9"/>
    <x v="0"/>
    <s v="Maersk"/>
    <s v="Berlin-Toronto"/>
    <n v="3341"/>
    <n v="371"/>
    <n v="12"/>
    <n v="79.22"/>
    <n v="451.68"/>
    <n v="530.9"/>
    <x v="1"/>
    <n v="0"/>
    <n v="72.459999999999994"/>
    <n v="80"/>
    <n v="40"/>
  </r>
  <r>
    <s v="O1000408"/>
    <s v="C8353"/>
    <x v="362"/>
    <d v="2021-12-04T00:00:00"/>
    <x v="2"/>
    <x v="4"/>
    <x v="0"/>
    <s v="Cape Town"/>
    <s v="OFF-LA-10000452"/>
    <s v="Office Supplies"/>
    <s v="Labels"/>
    <s v="Avery 488"/>
    <n v="357.82"/>
    <n v="93"/>
    <s v="S894"/>
    <x v="1"/>
    <s v="W23"/>
    <x v="1"/>
    <s v="UPS"/>
    <s v="Cape Town-São Paulo"/>
    <n v="2609"/>
    <n v="170"/>
    <n v="24"/>
    <n v="1177.8900000000001"/>
    <n v="377.22"/>
    <n v="1555.11"/>
    <x v="1"/>
    <n v="0"/>
    <n v="89.67"/>
    <n v="489"/>
    <n v="512"/>
  </r>
  <r>
    <s v="O1000409"/>
    <s v="C9768"/>
    <x v="363"/>
    <d v="2021-05-22T00:00:00"/>
    <x v="2"/>
    <x v="1"/>
    <x v="1"/>
    <s v="Mumbai"/>
    <s v="OFF-LA-10001613"/>
    <s v="Office Supplies"/>
    <s v="Labels"/>
    <s v="Avery File Folder Labels"/>
    <n v="399.17"/>
    <n v="32"/>
    <s v="S260"/>
    <x v="0"/>
    <s v="W4"/>
    <x v="2"/>
    <s v="FedEx"/>
    <s v="Cape Town-São Paulo"/>
    <n v="978"/>
    <n v="191"/>
    <n v="23"/>
    <n v="115.65"/>
    <n v="358.35"/>
    <n v="474"/>
    <x v="1"/>
    <n v="0"/>
    <n v="77.47"/>
    <n v="412"/>
    <n v="422"/>
  </r>
  <r>
    <s v="O1000410"/>
    <s v="C6081"/>
    <x v="364"/>
    <d v="2023-10-21T00:00:00"/>
    <x v="1"/>
    <x v="3"/>
    <x v="5"/>
    <s v="London"/>
    <s v="OFF-ST-10000877"/>
    <s v="Office Supplies"/>
    <s v="Storage"/>
    <s v="Recycled Steel Personal File for Standard File Folders"/>
    <n v="375.92"/>
    <n v="52"/>
    <s v="S634"/>
    <x v="2"/>
    <s v="W17"/>
    <x v="3"/>
    <s v="Maersk"/>
    <s v="Cape Town-London"/>
    <n v="4734"/>
    <n v="435"/>
    <n v="22"/>
    <n v="1593.21"/>
    <n v="151.78"/>
    <n v="1744.99"/>
    <x v="1"/>
    <n v="0"/>
    <n v="73.3"/>
    <n v="286"/>
    <n v="239"/>
  </r>
  <r>
    <s v="O1000411"/>
    <s v="C2432"/>
    <x v="365"/>
    <d v="2024-06-30T00:00:00"/>
    <x v="1"/>
    <x v="1"/>
    <x v="4"/>
    <s v="Toronto"/>
    <s v="OFF-ST-10001128"/>
    <s v="Office Supplies"/>
    <s v="Storage"/>
    <s v="Carina Mini System Audio Rack, Model AR050B"/>
    <n v="93.54"/>
    <n v="52"/>
    <s v="S265"/>
    <x v="3"/>
    <s v="W2"/>
    <x v="0"/>
    <s v="BlueDart"/>
    <s v="Cape Town-Cape Town"/>
    <n v="3566"/>
    <n v="279"/>
    <n v="21"/>
    <n v="1105.25"/>
    <n v="470.02"/>
    <n v="1575.27"/>
    <x v="1"/>
    <n v="0"/>
    <n v="98.11"/>
    <n v="359"/>
    <n v="326"/>
  </r>
  <r>
    <s v="O1000412"/>
    <s v="C5097"/>
    <x v="136"/>
    <d v="2024-03-06T00:00:00"/>
    <x v="2"/>
    <x v="3"/>
    <x v="2"/>
    <s v="Cape Town"/>
    <s v="OFF-ST-10002214"/>
    <s v="Office Supplies"/>
    <s v="Storage"/>
    <s v="X-Rack File for Hanging Folders"/>
    <n v="170.23"/>
    <n v="55"/>
    <s v="S208"/>
    <x v="3"/>
    <s v="W20"/>
    <x v="0"/>
    <s v="Maersk"/>
    <s v="Berlin-Beijing"/>
    <n v="2404"/>
    <n v="277"/>
    <n v="25"/>
    <n v="1872.62"/>
    <n v="388.32"/>
    <n v="2260.94"/>
    <x v="1"/>
    <n v="0"/>
    <n v="74.83"/>
    <n v="488"/>
    <n v="499"/>
  </r>
  <r>
    <s v="O1000413"/>
    <s v="C2191"/>
    <x v="366"/>
    <d v="2023-03-19T00:00:00"/>
    <x v="1"/>
    <x v="2"/>
    <x v="2"/>
    <s v="São Paulo"/>
    <s v="TEC-AC-10000736"/>
    <s v="Technology"/>
    <s v="Accessories"/>
    <s v="Logitech G600 MMO Gaming Mouse"/>
    <n v="244.19"/>
    <n v="46"/>
    <s v="S773"/>
    <x v="1"/>
    <s v="W10"/>
    <x v="0"/>
    <s v="DHL"/>
    <s v="Cape Town-Cape Town"/>
    <n v="3684"/>
    <n v="142"/>
    <n v="4"/>
    <n v="518.75"/>
    <n v="79.36"/>
    <n v="598.11"/>
    <x v="1"/>
    <n v="0"/>
    <n v="73.81"/>
    <n v="262"/>
    <n v="286"/>
  </r>
  <r>
    <s v="O1000414"/>
    <s v="C8074"/>
    <x v="367"/>
    <d v="2021-06-07T00:00:00"/>
    <x v="2"/>
    <x v="0"/>
    <x v="1"/>
    <s v="London"/>
    <s v="TEC-PH-10001459"/>
    <s v="Technology"/>
    <s v="Phones"/>
    <s v="Samsung Galaxy Mega 6.3"/>
    <n v="235.76"/>
    <n v="46"/>
    <s v="S259"/>
    <x v="3"/>
    <s v="W21"/>
    <x v="0"/>
    <s v="UPS"/>
    <s v="São Paulo-Toronto"/>
    <n v="2177"/>
    <n v="450"/>
    <n v="15"/>
    <n v="1932.03"/>
    <n v="65.16"/>
    <n v="1997.19"/>
    <x v="1"/>
    <n v="0"/>
    <n v="96.79"/>
    <n v="392"/>
    <n v="394"/>
  </r>
  <r>
    <s v="O1000415"/>
    <s v="C2882"/>
    <x v="368"/>
    <d v="2023-11-30T00:00:00"/>
    <x v="2"/>
    <x v="2"/>
    <x v="4"/>
    <s v="Cape Town"/>
    <s v="FUR-CH-10001394"/>
    <s v="Furniture"/>
    <s v="Chairs"/>
    <s v="Global Leather Executive Chair"/>
    <n v="121.84"/>
    <n v="32"/>
    <s v="S590"/>
    <x v="2"/>
    <s v="W21"/>
    <x v="3"/>
    <s v="DHL"/>
    <s v="Toronto-New York"/>
    <n v="4734"/>
    <n v="266"/>
    <n v="16"/>
    <n v="1096.0899999999999"/>
    <n v="361.77"/>
    <n v="1457.86"/>
    <x v="1"/>
    <n v="0"/>
    <n v="89.65"/>
    <n v="129"/>
    <n v="106"/>
  </r>
  <r>
    <s v="O1000416"/>
    <s v="C8131"/>
    <x v="369"/>
    <d v="2022-06-27T00:00:00"/>
    <x v="1"/>
    <x v="1"/>
    <x v="3"/>
    <s v="Berlin"/>
    <s v="FUR-CH-10002304"/>
    <s v="Furniture"/>
    <s v="Chairs"/>
    <s v="Global Stack Chair without Arms, Black"/>
    <n v="467.44"/>
    <n v="48"/>
    <s v="S416"/>
    <x v="2"/>
    <s v="W4"/>
    <x v="1"/>
    <s v="UPS"/>
    <s v="Cape Town-Berlin"/>
    <n v="3751"/>
    <n v="396"/>
    <n v="17"/>
    <n v="1442.31"/>
    <n v="260.5"/>
    <n v="1702.81"/>
    <x v="1"/>
    <n v="0"/>
    <n v="70.16"/>
    <n v="301"/>
    <n v="323"/>
  </r>
  <r>
    <s v="O1000417"/>
    <s v="C5972"/>
    <x v="370"/>
    <d v="2023-01-21T00:00:00"/>
    <x v="2"/>
    <x v="1"/>
    <x v="2"/>
    <s v="New York"/>
    <s v="FUR-FU-10001424"/>
    <s v="Furniture"/>
    <s v="Furnishings"/>
    <s v="Dax Clear Box Frame"/>
    <n v="225.1"/>
    <n v="24"/>
    <s v="S223"/>
    <x v="4"/>
    <s v="W10"/>
    <x v="0"/>
    <s v="DHL"/>
    <s v="Toronto-Berlin"/>
    <n v="2822"/>
    <n v="366"/>
    <n v="26"/>
    <n v="1672.73"/>
    <n v="189.02"/>
    <n v="1861.75"/>
    <x v="1"/>
    <n v="0"/>
    <n v="72.099999999999994"/>
    <n v="363"/>
    <n v="376"/>
  </r>
  <r>
    <s v="O1000418"/>
    <s v="C4410"/>
    <x v="371"/>
    <d v="2020-11-10T00:00:00"/>
    <x v="0"/>
    <x v="1"/>
    <x v="0"/>
    <s v="Berlin"/>
    <s v="OFF-BI-10000136"/>
    <s v="Office Supplies"/>
    <s v="Binders"/>
    <s v="Avery Non-Stick Heavy Duty View Round Locking Ring Binders"/>
    <n v="73.22"/>
    <n v="82"/>
    <s v="S298"/>
    <x v="3"/>
    <s v="W8"/>
    <x v="0"/>
    <s v="Maersk"/>
    <s v="Beijing-São Paulo"/>
    <n v="3872"/>
    <n v="366"/>
    <n v="26"/>
    <n v="880.39"/>
    <n v="152.74"/>
    <n v="1033.1300000000001"/>
    <x v="1"/>
    <n v="0"/>
    <n v="96.23"/>
    <n v="219"/>
    <n v="262"/>
  </r>
  <r>
    <s v="O1000419"/>
    <s v="C2118"/>
    <x v="335"/>
    <d v="2020-03-27T00:00:00"/>
    <x v="0"/>
    <x v="3"/>
    <x v="3"/>
    <s v="Mumbai"/>
    <s v="OFF-ST-10000798"/>
    <s v="Office Supplies"/>
    <s v="Storage"/>
    <s v="2300 Heavy-Duty Transfer File Systems by Perma"/>
    <n v="111.5"/>
    <n v="47"/>
    <s v="S495"/>
    <x v="0"/>
    <s v="W37"/>
    <x v="0"/>
    <s v="DHL"/>
    <s v="São Paulo-New York"/>
    <n v="541"/>
    <n v="60"/>
    <n v="4"/>
    <n v="777.49"/>
    <n v="472.54"/>
    <n v="1250.03"/>
    <x v="1"/>
    <n v="0"/>
    <n v="87.57"/>
    <n v="352"/>
    <n v="391"/>
  </r>
  <r>
    <s v="O1000420"/>
    <s v="C4441"/>
    <x v="372"/>
    <d v="2020-12-23T00:00:00"/>
    <x v="2"/>
    <x v="4"/>
    <x v="6"/>
    <s v="Beijing"/>
    <s v="TEC-PH-10000376"/>
    <s v="Technology"/>
    <s v="Phones"/>
    <s v="Square Credit Card Reader"/>
    <n v="420.07"/>
    <n v="47"/>
    <s v="S482"/>
    <x v="1"/>
    <s v="W15"/>
    <x v="3"/>
    <s v="Maersk"/>
    <s v="New York-São Paulo"/>
    <n v="431"/>
    <n v="425"/>
    <n v="3"/>
    <n v="502.41"/>
    <n v="218.44"/>
    <n v="720.85"/>
    <x v="1"/>
    <n v="0"/>
    <n v="81.88"/>
    <n v="484"/>
    <n v="480"/>
  </r>
  <r>
    <s v="O1000421"/>
    <s v="C8983"/>
    <x v="373"/>
    <d v="2024-08-08T00:00:00"/>
    <x v="2"/>
    <x v="4"/>
    <x v="1"/>
    <s v="São Paulo"/>
    <s v="OFF-AR-10004010"/>
    <s v="Office Supplies"/>
    <s v="Art"/>
    <s v="Hunt Boston Vacuum Mount KS Pencil Sharpener"/>
    <n v="263.07"/>
    <n v="42"/>
    <s v="S994"/>
    <x v="1"/>
    <s v="W21"/>
    <x v="2"/>
    <s v="Maersk"/>
    <s v="Berlin-New York"/>
    <n v="1210"/>
    <n v="80"/>
    <n v="8"/>
    <n v="1176.8599999999999"/>
    <n v="104.9"/>
    <n v="1281.76"/>
    <x v="1"/>
    <n v="0"/>
    <n v="87.59"/>
    <n v="74"/>
    <n v="39"/>
  </r>
  <r>
    <s v="O1000422"/>
    <s v="C5261"/>
    <x v="374"/>
    <d v="2021-10-23T00:00:00"/>
    <x v="2"/>
    <x v="3"/>
    <x v="1"/>
    <s v="New York"/>
    <s v="OFF-ST-10000585"/>
    <s v="Office Supplies"/>
    <s v="Storage"/>
    <s v="Economy Rollaway Files"/>
    <n v="419.46"/>
    <n v="32"/>
    <s v="S162"/>
    <x v="2"/>
    <s v="W41"/>
    <x v="3"/>
    <s v="FedEx"/>
    <s v="Beijing-São Paulo"/>
    <n v="3928"/>
    <n v="346"/>
    <n v="6"/>
    <n v="1008.07"/>
    <n v="485.23"/>
    <n v="1493.3"/>
    <x v="1"/>
    <n v="0"/>
    <n v="82.74"/>
    <n v="57"/>
    <n v="42"/>
  </r>
  <r>
    <s v="O1000423"/>
    <s v="C5524"/>
    <x v="95"/>
    <d v="2022-12-19T00:00:00"/>
    <x v="2"/>
    <x v="1"/>
    <x v="0"/>
    <s v="São Paulo"/>
    <s v="TEC-AC-10002550"/>
    <s v="Technology"/>
    <s v="Accessories"/>
    <s v="Maxell 4.7GB DVD-RW 3/Pack"/>
    <n v="436.9"/>
    <n v="42"/>
    <s v="S867"/>
    <x v="1"/>
    <s v="W11"/>
    <x v="2"/>
    <s v="FedEx"/>
    <s v="Mumbai-New York"/>
    <n v="4428"/>
    <n v="263"/>
    <n v="6"/>
    <n v="1902.19"/>
    <n v="25.22"/>
    <n v="1927.41"/>
    <x v="0"/>
    <n v="12"/>
    <n v="75.67"/>
    <n v="227"/>
    <n v="228"/>
  </r>
  <r>
    <s v="O1000424"/>
    <s v="C8424"/>
    <x v="107"/>
    <d v="2020-12-04T00:00:00"/>
    <x v="2"/>
    <x v="3"/>
    <x v="5"/>
    <s v="Beijing"/>
    <s v="OFF-AP-10003971"/>
    <s v="Office Supplies"/>
    <s v="Appliances"/>
    <s v="Belkin 6 Outlet Metallic Surge Strip"/>
    <n v="118.48"/>
    <n v="55"/>
    <s v="S582"/>
    <x v="3"/>
    <s v="W15"/>
    <x v="0"/>
    <s v="FedEx"/>
    <s v="Mumbai-São Paulo"/>
    <n v="1412"/>
    <n v="71"/>
    <n v="25"/>
    <n v="1464.43"/>
    <n v="94.84"/>
    <n v="1559.27"/>
    <x v="1"/>
    <n v="0"/>
    <n v="87.44"/>
    <n v="177"/>
    <n v="147"/>
  </r>
  <r>
    <s v="O1000425"/>
    <s v="C9407"/>
    <x v="375"/>
    <d v="2021-10-13T00:00:00"/>
    <x v="1"/>
    <x v="3"/>
    <x v="0"/>
    <s v="New York"/>
    <s v="TEC-CO-10004202"/>
    <s v="Technology"/>
    <s v="Copiers"/>
    <s v="Brother DCP1000 Digital 3 in 1 Multifunction Machine"/>
    <n v="448.8"/>
    <n v="13"/>
    <s v="S468"/>
    <x v="0"/>
    <s v="W29"/>
    <x v="0"/>
    <s v="FedEx"/>
    <s v="New York-Beijing"/>
    <n v="3838"/>
    <n v="246"/>
    <n v="12"/>
    <n v="1301.31"/>
    <n v="131.15"/>
    <n v="1432.46"/>
    <x v="1"/>
    <n v="0"/>
    <n v="79.39"/>
    <n v="475"/>
    <n v="519"/>
  </r>
  <r>
    <s v="O1000426"/>
    <s v="C9223"/>
    <x v="376"/>
    <d v="2021-09-26T00:00:00"/>
    <x v="1"/>
    <x v="1"/>
    <x v="4"/>
    <s v="Toronto"/>
    <s v="OFF-BI-10003981"/>
    <s v="Office Supplies"/>
    <s v="Binders"/>
    <s v="Avery Durable Plastic 1&quot; Binders"/>
    <n v="425.94"/>
    <n v="20"/>
    <s v="S964"/>
    <x v="2"/>
    <s v="W42"/>
    <x v="2"/>
    <s v="Maersk"/>
    <s v="London-São Paulo"/>
    <n v="2649"/>
    <n v="282"/>
    <n v="23"/>
    <n v="1890.62"/>
    <n v="207.33"/>
    <n v="2097.9499999999998"/>
    <x v="1"/>
    <n v="0"/>
    <n v="84.3"/>
    <n v="290"/>
    <n v="293"/>
  </r>
  <r>
    <s v="O1000427"/>
    <s v="C5419"/>
    <x v="72"/>
    <d v="2024-06-26T00:00:00"/>
    <x v="0"/>
    <x v="2"/>
    <x v="3"/>
    <s v="Berlin"/>
    <s v="OFF-BI-10004828"/>
    <s v="Office Supplies"/>
    <s v="Binders"/>
    <s v="GBC Poly Designer Binding Covers"/>
    <n v="330.41"/>
    <n v="35"/>
    <s v="S685"/>
    <x v="2"/>
    <s v="W28"/>
    <x v="3"/>
    <s v="Maersk"/>
    <s v="London-New York"/>
    <n v="4703"/>
    <n v="341"/>
    <n v="4"/>
    <n v="1976.52"/>
    <n v="257.74"/>
    <n v="2234.2600000000002"/>
    <x v="1"/>
    <n v="0"/>
    <n v="83.17"/>
    <n v="464"/>
    <n v="430"/>
  </r>
  <r>
    <s v="O1000428"/>
    <s v="C6781"/>
    <x v="377"/>
    <d v="2024-11-04T00:00:00"/>
    <x v="1"/>
    <x v="3"/>
    <x v="1"/>
    <s v="São Paulo"/>
    <s v="OFF-LA-10002195"/>
    <s v="Office Supplies"/>
    <s v="Labels"/>
    <s v="Avery 481"/>
    <n v="437.15"/>
    <n v="90"/>
    <s v="S131"/>
    <x v="3"/>
    <s v="W9"/>
    <x v="3"/>
    <s v="BlueDart"/>
    <s v="Beijing-São Paulo"/>
    <n v="1683"/>
    <n v="494"/>
    <n v="18"/>
    <n v="1527.95"/>
    <n v="291.18"/>
    <n v="1819.13"/>
    <x v="1"/>
    <n v="0"/>
    <n v="79.2"/>
    <n v="67"/>
    <n v="26"/>
  </r>
  <r>
    <s v="O1000429"/>
    <s v="C2954"/>
    <x v="316"/>
    <d v="2020-06-05T00:00:00"/>
    <x v="2"/>
    <x v="3"/>
    <x v="2"/>
    <s v="Berlin"/>
    <s v="FUR-FU-10001473"/>
    <s v="Furniture"/>
    <s v="Furnishings"/>
    <s v="DAX Wood Document Frame"/>
    <n v="292.02999999999997"/>
    <n v="33"/>
    <s v="S407"/>
    <x v="4"/>
    <s v="W14"/>
    <x v="0"/>
    <s v="UPS"/>
    <s v="São Paulo-London"/>
    <n v="105"/>
    <n v="302"/>
    <n v="2"/>
    <n v="409.88"/>
    <n v="301.25"/>
    <n v="711.13"/>
    <x v="1"/>
    <n v="0"/>
    <n v="82.4"/>
    <n v="497"/>
    <n v="487"/>
  </r>
  <r>
    <s v="O1000430"/>
    <s v="C4119"/>
    <x v="378"/>
    <d v="2020-05-12T00:00:00"/>
    <x v="2"/>
    <x v="0"/>
    <x v="6"/>
    <s v="Berlin"/>
    <s v="FUR-FU-10001852"/>
    <s v="Furniture"/>
    <s v="Furnishings"/>
    <s v="Eldon Regeneration Recycled Desk Accessories, Smoke"/>
    <n v="63.88"/>
    <n v="75"/>
    <s v="S180"/>
    <x v="1"/>
    <s v="W12"/>
    <x v="2"/>
    <s v="FedEx"/>
    <s v="Mumbai-Berlin"/>
    <n v="4181"/>
    <n v="498"/>
    <n v="2"/>
    <n v="445.87"/>
    <n v="397.57"/>
    <n v="843.44"/>
    <x v="1"/>
    <n v="0"/>
    <n v="89.04"/>
    <n v="393"/>
    <n v="407"/>
  </r>
  <r>
    <s v="O1000431"/>
    <s v="C6570"/>
    <x v="379"/>
    <d v="2022-07-20T00:00:00"/>
    <x v="0"/>
    <x v="4"/>
    <x v="2"/>
    <s v="Berlin"/>
    <s v="OFF-AP-10000696"/>
    <s v="Office Supplies"/>
    <s v="Appliances"/>
    <s v="Holmes Odor Grabber"/>
    <n v="393.57"/>
    <n v="10"/>
    <s v="S255"/>
    <x v="0"/>
    <s v="W48"/>
    <x v="3"/>
    <s v="FedEx"/>
    <s v="São Paulo-Toronto"/>
    <n v="2905"/>
    <n v="357"/>
    <n v="22"/>
    <n v="1113.22"/>
    <n v="32.85"/>
    <n v="1146.07"/>
    <x v="1"/>
    <n v="0"/>
    <n v="99.16"/>
    <n v="55"/>
    <n v="27"/>
  </r>
  <r>
    <s v="O1000432"/>
    <s v="C9285"/>
    <x v="380"/>
    <d v="2024-10-13T00:00:00"/>
    <x v="2"/>
    <x v="3"/>
    <x v="1"/>
    <s v="Toronto"/>
    <s v="OFF-AR-10001725"/>
    <s v="Office Supplies"/>
    <s v="Art"/>
    <s v="Boston Home &amp; Office Model 2000 Electric Pencil Sharpeners"/>
    <n v="75.930000000000007"/>
    <n v="91"/>
    <s v="S593"/>
    <x v="3"/>
    <s v="W7"/>
    <x v="2"/>
    <s v="Maersk"/>
    <s v="São Paulo-London"/>
    <n v="3770"/>
    <n v="98"/>
    <n v="18"/>
    <n v="1560.83"/>
    <n v="74.430000000000007"/>
    <n v="1635.26"/>
    <x v="1"/>
    <n v="0"/>
    <n v="93.56"/>
    <n v="134"/>
    <n v="124"/>
  </r>
  <r>
    <s v="O1000433"/>
    <s v="C6970"/>
    <x v="381"/>
    <d v="2024-11-07T00:00:00"/>
    <x v="0"/>
    <x v="4"/>
    <x v="5"/>
    <s v="London"/>
    <s v="OFF-BI-10001294"/>
    <s v="Office Supplies"/>
    <s v="Binders"/>
    <s v="Fellowes Binding Cases"/>
    <n v="376.99"/>
    <n v="10"/>
    <s v="S784"/>
    <x v="3"/>
    <s v="W23"/>
    <x v="3"/>
    <s v="BlueDart"/>
    <s v="New York-London"/>
    <n v="2883"/>
    <n v="114"/>
    <n v="17"/>
    <n v="1074.1300000000001"/>
    <n v="247.77"/>
    <n v="1321.9"/>
    <x v="1"/>
    <n v="0"/>
    <n v="81.709999999999994"/>
    <n v="187"/>
    <n v="167"/>
  </r>
  <r>
    <s v="O1000434"/>
    <s v="C2798"/>
    <x v="94"/>
    <d v="2021-06-16T00:00:00"/>
    <x v="2"/>
    <x v="1"/>
    <x v="0"/>
    <s v="São Paulo"/>
    <s v="OFF-FA-10000840"/>
    <s v="Office Supplies"/>
    <s v="Fasteners"/>
    <s v="OIC Thumb-Tacks"/>
    <n v="301.43"/>
    <n v="88"/>
    <s v="S319"/>
    <x v="1"/>
    <s v="W39"/>
    <x v="3"/>
    <s v="FedEx"/>
    <s v="Berlin-London"/>
    <n v="3021"/>
    <n v="219"/>
    <n v="8"/>
    <n v="1102.74"/>
    <n v="447.34"/>
    <n v="1550.08"/>
    <x v="1"/>
    <n v="0"/>
    <n v="89.83"/>
    <n v="229"/>
    <n v="267"/>
  </r>
  <r>
    <s v="O1000435"/>
    <s v="C8189"/>
    <x v="282"/>
    <d v="2022-02-26T00:00:00"/>
    <x v="2"/>
    <x v="0"/>
    <x v="6"/>
    <s v="New York"/>
    <s v="FUR-CH-10001146"/>
    <s v="Furniture"/>
    <s v="Chairs"/>
    <s v="Global Value Mid-Back Manager's Chair, Gray"/>
    <n v="85.75"/>
    <n v="50"/>
    <s v="S145"/>
    <x v="4"/>
    <s v="W17"/>
    <x v="2"/>
    <s v="FedEx"/>
    <s v="New York-London"/>
    <n v="687"/>
    <n v="97"/>
    <n v="28"/>
    <n v="1111.3599999999999"/>
    <n v="355.8"/>
    <n v="1467.16"/>
    <x v="1"/>
    <n v="0"/>
    <n v="93.07"/>
    <n v="325"/>
    <n v="289"/>
  </r>
  <r>
    <s v="O1000436"/>
    <s v="C7621"/>
    <x v="382"/>
    <d v="2024-08-21T00:00:00"/>
    <x v="2"/>
    <x v="3"/>
    <x v="3"/>
    <s v="Mumbai"/>
    <s v="OFF-AR-10003651"/>
    <s v="Office Supplies"/>
    <s v="Art"/>
    <s v="Newell 350"/>
    <n v="437.27"/>
    <n v="72"/>
    <s v="S186"/>
    <x v="0"/>
    <s v="W49"/>
    <x v="0"/>
    <s v="BlueDart"/>
    <s v="New York-Cape Town"/>
    <n v="917"/>
    <n v="278"/>
    <n v="2"/>
    <n v="859.47"/>
    <n v="348.95"/>
    <n v="1208.42"/>
    <x v="1"/>
    <n v="0"/>
    <n v="84.73"/>
    <n v="164"/>
    <n v="154"/>
  </r>
  <r>
    <s v="O1000437"/>
    <s v="C4133"/>
    <x v="195"/>
    <d v="2023-02-16T00:00:00"/>
    <x v="1"/>
    <x v="3"/>
    <x v="6"/>
    <s v="London"/>
    <s v="OFF-BI-10004364"/>
    <s v="Office Supplies"/>
    <s v="Binders"/>
    <s v="Storex Dura Pro Binders"/>
    <n v="210.48"/>
    <n v="11"/>
    <s v="S409"/>
    <x v="4"/>
    <s v="W8"/>
    <x v="2"/>
    <s v="FedEx"/>
    <s v="Cape Town-Mumbai"/>
    <n v="2089"/>
    <n v="185"/>
    <n v="8"/>
    <n v="861.96"/>
    <n v="20.96"/>
    <n v="882.92000000000007"/>
    <x v="1"/>
    <n v="0"/>
    <n v="98.07"/>
    <n v="417"/>
    <n v="392"/>
  </r>
  <r>
    <s v="O1000438"/>
    <s v="C5348"/>
    <x v="185"/>
    <d v="2024-05-27T00:00:00"/>
    <x v="2"/>
    <x v="1"/>
    <x v="0"/>
    <s v="Beijing"/>
    <s v="OFF-PA-10000474"/>
    <s v="Office Supplies"/>
    <s v="Paper"/>
    <s v="Easy-staple paper"/>
    <n v="72.8"/>
    <n v="31"/>
    <s v="S417"/>
    <x v="0"/>
    <s v="W25"/>
    <x v="3"/>
    <s v="DHL"/>
    <s v="New York-New York"/>
    <n v="405"/>
    <n v="170"/>
    <n v="8"/>
    <n v="901.66"/>
    <n v="278.93"/>
    <n v="1180.5899999999999"/>
    <x v="1"/>
    <n v="0"/>
    <n v="71.89"/>
    <n v="359"/>
    <n v="382"/>
  </r>
  <r>
    <s v="O1000439"/>
    <s v="C4529"/>
    <x v="383"/>
    <d v="2024-05-02T00:00:00"/>
    <x v="0"/>
    <x v="4"/>
    <x v="3"/>
    <s v="Beijing"/>
    <s v="OFF-PA-10001363"/>
    <s v="Office Supplies"/>
    <s v="Paper"/>
    <s v="Xerox 1933"/>
    <n v="205.97"/>
    <n v="89"/>
    <s v="S833"/>
    <x v="2"/>
    <s v="W11"/>
    <x v="0"/>
    <s v="BlueDart"/>
    <s v="Beijing-Cape Town"/>
    <n v="134"/>
    <n v="403"/>
    <n v="21"/>
    <n v="1272.9100000000001"/>
    <n v="497.42"/>
    <n v="1770.33"/>
    <x v="0"/>
    <n v="2"/>
    <n v="75.849999999999994"/>
    <n v="113"/>
    <n v="122"/>
  </r>
  <r>
    <s v="O1000440"/>
    <s v="C7057"/>
    <x v="384"/>
    <d v="2020-07-04T00:00:00"/>
    <x v="2"/>
    <x v="1"/>
    <x v="7"/>
    <s v="Toronto"/>
    <s v="OFF-PA-10003016"/>
    <s v="Office Supplies"/>
    <s v="Paper"/>
    <s v="Adams &quot;While You Were Out&quot; Message Pads"/>
    <n v="342.16"/>
    <n v="39"/>
    <s v="S968"/>
    <x v="1"/>
    <s v="W16"/>
    <x v="1"/>
    <s v="FedEx"/>
    <s v="New York-Berlin"/>
    <n v="4138"/>
    <n v="433"/>
    <n v="4"/>
    <n v="1402.6"/>
    <n v="482.82"/>
    <n v="1885.42"/>
    <x v="1"/>
    <n v="0"/>
    <n v="71.75"/>
    <n v="319"/>
    <n v="278"/>
  </r>
  <r>
    <s v="O1000441"/>
    <s v="C7230"/>
    <x v="385"/>
    <d v="2025-01-06T00:00:00"/>
    <x v="1"/>
    <x v="0"/>
    <x v="1"/>
    <s v="São Paulo"/>
    <s v="OFF-ST-10003442"/>
    <s v="Office Supplies"/>
    <s v="Storage"/>
    <s v="Eldon Portable Mobile Manager"/>
    <n v="403.2"/>
    <n v="97"/>
    <s v="S527"/>
    <x v="1"/>
    <s v="W7"/>
    <x v="1"/>
    <s v="DHL"/>
    <s v="Mumbai-Beijing"/>
    <n v="924"/>
    <n v="491"/>
    <n v="7"/>
    <n v="515.21"/>
    <n v="238.27"/>
    <n v="753.48"/>
    <x v="0"/>
    <n v="5"/>
    <n v="77.45"/>
    <n v="173"/>
    <n v="164"/>
  </r>
  <r>
    <s v="O1000442"/>
    <s v="C5286"/>
    <x v="386"/>
    <d v="2021-06-01T00:00:00"/>
    <x v="1"/>
    <x v="3"/>
    <x v="2"/>
    <s v="New York"/>
    <s v="OFF-AR-10001897"/>
    <s v="Office Supplies"/>
    <s v="Art"/>
    <s v="Model L Table or Wall-Mount Pencil Sharpener"/>
    <n v="489.64"/>
    <n v="35"/>
    <s v="S570"/>
    <x v="1"/>
    <s v="W45"/>
    <x v="2"/>
    <s v="FedEx"/>
    <s v="Beijing-Mumbai"/>
    <n v="2616"/>
    <n v="373"/>
    <n v="19"/>
    <n v="1313.88"/>
    <n v="472.56"/>
    <n v="1786.44"/>
    <x v="1"/>
    <n v="0"/>
    <n v="83.99"/>
    <n v="191"/>
    <n v="148"/>
  </r>
  <r>
    <s v="O1000443"/>
    <s v="C2634"/>
    <x v="387"/>
    <d v="2024-08-09T00:00:00"/>
    <x v="2"/>
    <x v="0"/>
    <x v="6"/>
    <s v="São Paulo"/>
    <s v="OFF-BI-10003684"/>
    <s v="Office Supplies"/>
    <s v="Binders"/>
    <s v="Wilson Jones Legal Size Ring Binders"/>
    <n v="142"/>
    <n v="23"/>
    <s v="S800"/>
    <x v="3"/>
    <s v="W8"/>
    <x v="2"/>
    <s v="FedEx"/>
    <s v="Toronto-New York"/>
    <n v="4407"/>
    <n v="436"/>
    <n v="23"/>
    <n v="565.16999999999996"/>
    <n v="281.35000000000002"/>
    <n v="846.52"/>
    <x v="1"/>
    <n v="0"/>
    <n v="72.17"/>
    <n v="220"/>
    <n v="227"/>
  </r>
  <r>
    <s v="O1000444"/>
    <s v="C5885"/>
    <x v="388"/>
    <d v="2020-06-13T00:00:00"/>
    <x v="1"/>
    <x v="0"/>
    <x v="2"/>
    <s v="Cape Town"/>
    <s v="OFF-LA-10004425"/>
    <s v="Office Supplies"/>
    <s v="Labels"/>
    <s v="Staple-on labels"/>
    <n v="447.34"/>
    <n v="75"/>
    <s v="S330"/>
    <x v="3"/>
    <s v="W29"/>
    <x v="1"/>
    <s v="DHL"/>
    <s v="New York-São Paulo"/>
    <n v="117"/>
    <n v="269"/>
    <n v="10"/>
    <n v="550.32000000000005"/>
    <n v="483.03"/>
    <n v="1033.3499999999999"/>
    <x v="1"/>
    <n v="0"/>
    <n v="71.680000000000007"/>
    <n v="194"/>
    <n v="211"/>
  </r>
  <r>
    <s v="O1000445"/>
    <s v="C3480"/>
    <x v="389"/>
    <d v="2020-11-04T00:00:00"/>
    <x v="2"/>
    <x v="3"/>
    <x v="5"/>
    <s v="Cape Town"/>
    <s v="FUR-CH-10004675"/>
    <s v="Furniture"/>
    <s v="Chairs"/>
    <s v="Lifetime Advantage Folding Chairs, 4/Carton"/>
    <n v="90.87"/>
    <n v="76"/>
    <s v="S116"/>
    <x v="1"/>
    <s v="W40"/>
    <x v="3"/>
    <s v="UPS"/>
    <s v="New York-São Paulo"/>
    <n v="4217"/>
    <n v="203"/>
    <n v="22"/>
    <n v="1764.59"/>
    <n v="219.37"/>
    <n v="1983.96"/>
    <x v="1"/>
    <n v="0"/>
    <n v="80.78"/>
    <n v="212"/>
    <n v="196"/>
  </r>
  <r>
    <s v="O1000446"/>
    <s v="C6942"/>
    <x v="390"/>
    <d v="2020-04-29T00:00:00"/>
    <x v="1"/>
    <x v="3"/>
    <x v="6"/>
    <s v="Beijing"/>
    <s v="FUR-TA-10003469"/>
    <s v="Furniture"/>
    <s v="Tables"/>
    <s v="Balt Split Level Computer Training Table"/>
    <n v="356.1"/>
    <n v="86"/>
    <s v="S846"/>
    <x v="4"/>
    <s v="W8"/>
    <x v="3"/>
    <s v="UPS"/>
    <s v="São Paulo-Berlin"/>
    <n v="1863"/>
    <n v="334"/>
    <n v="4"/>
    <n v="391.86"/>
    <n v="293.14999999999998"/>
    <n v="685.01"/>
    <x v="1"/>
    <n v="0"/>
    <n v="96.05"/>
    <n v="325"/>
    <n v="351"/>
  </r>
  <r>
    <s v="O1000447"/>
    <s v="C6161"/>
    <x v="391"/>
    <d v="2020-08-21T00:00:00"/>
    <x v="2"/>
    <x v="1"/>
    <x v="4"/>
    <s v="Mumbai"/>
    <s v="OFF-AR-10002578"/>
    <s v="Office Supplies"/>
    <s v="Art"/>
    <s v="Newell 335"/>
    <n v="88.98"/>
    <n v="4"/>
    <s v="S184"/>
    <x v="0"/>
    <s v="W25"/>
    <x v="1"/>
    <s v="DHL"/>
    <s v="Toronto-Cape Town"/>
    <n v="2205"/>
    <n v="417"/>
    <n v="2"/>
    <n v="1767.47"/>
    <n v="442.56"/>
    <n v="2210.0300000000002"/>
    <x v="1"/>
    <n v="0"/>
    <n v="73.16"/>
    <n v="154"/>
    <n v="174"/>
  </r>
  <r>
    <s v="O1000448"/>
    <s v="C4104"/>
    <x v="392"/>
    <d v="2024-03-22T00:00:00"/>
    <x v="1"/>
    <x v="1"/>
    <x v="3"/>
    <s v="Cape Town"/>
    <s v="OFF-BI-10001078"/>
    <s v="Office Supplies"/>
    <s v="Binders"/>
    <s v="Acco PRESSTEX Data Binder with Storage Hooks, Dark Blue, 14 7/8&quot; X 11&quot;"/>
    <n v="382.27"/>
    <n v="13"/>
    <s v="S251"/>
    <x v="4"/>
    <s v="W18"/>
    <x v="3"/>
    <s v="FedEx"/>
    <s v="Cape Town-New York"/>
    <n v="2698"/>
    <n v="179"/>
    <n v="25"/>
    <n v="1123.8699999999999"/>
    <n v="236.73"/>
    <n v="1360.6"/>
    <x v="1"/>
    <n v="0"/>
    <n v="87.6"/>
    <n v="306"/>
    <n v="344"/>
  </r>
  <r>
    <s v="O1000449"/>
    <s v="C9716"/>
    <x v="161"/>
    <d v="2021-06-01T00:00:00"/>
    <x v="2"/>
    <x v="0"/>
    <x v="0"/>
    <s v="Beijing"/>
    <s v="FUR-CH-10004675"/>
    <s v="Furniture"/>
    <s v="Chairs"/>
    <s v="Lifetime Advantage Folding Chairs, 4/Carton"/>
    <n v="379.41"/>
    <n v="25"/>
    <s v="S778"/>
    <x v="3"/>
    <s v="W8"/>
    <x v="0"/>
    <s v="DHL"/>
    <s v="São Paulo-São Paulo"/>
    <n v="3470"/>
    <n v="255"/>
    <n v="13"/>
    <n v="475.97"/>
    <n v="50.48"/>
    <n v="526.45000000000005"/>
    <x v="1"/>
    <n v="0"/>
    <n v="88.84"/>
    <n v="123"/>
    <n v="172"/>
  </r>
  <r>
    <s v="O1000450"/>
    <s v="C5430"/>
    <x v="393"/>
    <d v="2022-11-17T00:00:00"/>
    <x v="2"/>
    <x v="1"/>
    <x v="0"/>
    <s v="Beijing"/>
    <s v="FUR-TA-10003469"/>
    <s v="Furniture"/>
    <s v="Tables"/>
    <s v="Balt Split Level Computer Training Table"/>
    <n v="165.68"/>
    <n v="40"/>
    <s v="S657"/>
    <x v="4"/>
    <s v="W47"/>
    <x v="1"/>
    <s v="UPS"/>
    <s v="Cape Town-London"/>
    <n v="1200"/>
    <n v="300"/>
    <n v="10"/>
    <n v="147.66999999999999"/>
    <n v="184.84"/>
    <n v="332.51"/>
    <x v="1"/>
    <n v="0"/>
    <n v="79.95"/>
    <n v="136"/>
    <n v="123"/>
  </r>
  <r>
    <s v="O1000451"/>
    <s v="C6265"/>
    <x v="394"/>
    <d v="2021-05-24T00:00:00"/>
    <x v="2"/>
    <x v="0"/>
    <x v="5"/>
    <s v="Beijing"/>
    <s v="OFF-AR-10002578"/>
    <s v="Office Supplies"/>
    <s v="Art"/>
    <s v="Newell 335"/>
    <n v="274.97000000000003"/>
    <n v="54"/>
    <s v="S969"/>
    <x v="1"/>
    <s v="W1"/>
    <x v="0"/>
    <s v="BlueDart"/>
    <s v="Berlin-Beijing"/>
    <n v="2363"/>
    <n v="223"/>
    <n v="6"/>
    <n v="1583.42"/>
    <n v="75.45"/>
    <n v="1658.87"/>
    <x v="1"/>
    <n v="0"/>
    <n v="90.75"/>
    <n v="90"/>
    <n v="105"/>
  </r>
  <r>
    <s v="O1000452"/>
    <s v="C1172"/>
    <x v="284"/>
    <d v="2022-03-06T00:00:00"/>
    <x v="1"/>
    <x v="0"/>
    <x v="1"/>
    <s v="London"/>
    <s v="OFF-BI-10001078"/>
    <s v="Office Supplies"/>
    <s v="Binders"/>
    <s v="Acco PRESSTEX Data Binder with Storage Hooks, Dark Blue, 14 7/8&quot; X 11&quot;"/>
    <n v="364.98"/>
    <n v="71"/>
    <s v="S138"/>
    <x v="1"/>
    <s v="W11"/>
    <x v="3"/>
    <s v="Maersk"/>
    <s v="São Paulo-Mumbai"/>
    <n v="4791"/>
    <n v="222"/>
    <n v="14"/>
    <n v="1539.59"/>
    <n v="247.08"/>
    <n v="1786.67"/>
    <x v="1"/>
    <n v="0"/>
    <n v="73.290000000000006"/>
    <n v="465"/>
    <n v="482"/>
  </r>
  <r>
    <s v="O1000453"/>
    <s v="C1271"/>
    <x v="395"/>
    <d v="2021-01-23T00:00:00"/>
    <x v="2"/>
    <x v="0"/>
    <x v="7"/>
    <s v="Mumbai"/>
    <s v="TEC-CO-10001449"/>
    <s v="Technology"/>
    <s v="Copiers"/>
    <s v="Hewlett Packard LaserJet 3310 Copier"/>
    <n v="468.9"/>
    <n v="33"/>
    <s v="S467"/>
    <x v="2"/>
    <s v="W10"/>
    <x v="0"/>
    <s v="BlueDart"/>
    <s v="Cape Town-New York"/>
    <n v="3365"/>
    <n v="187"/>
    <n v="11"/>
    <n v="200"/>
    <n v="364.64"/>
    <n v="564.64"/>
    <x v="1"/>
    <n v="0"/>
    <n v="89.54"/>
    <n v="318"/>
    <n v="311"/>
  </r>
  <r>
    <s v="O1000454"/>
    <s v="C3183"/>
    <x v="396"/>
    <d v="2022-08-27T00:00:00"/>
    <x v="2"/>
    <x v="0"/>
    <x v="4"/>
    <s v="New York"/>
    <s v="OFF-LA-10001641"/>
    <s v="Office Supplies"/>
    <s v="Labels"/>
    <s v="Avery 518"/>
    <n v="22.99"/>
    <n v="39"/>
    <s v="S949"/>
    <x v="0"/>
    <s v="W43"/>
    <x v="1"/>
    <s v="Maersk"/>
    <s v="Cape Town-Mumbai"/>
    <n v="1154"/>
    <n v="210"/>
    <n v="17"/>
    <n v="163.24"/>
    <n v="63.71"/>
    <n v="226.95"/>
    <x v="1"/>
    <n v="0"/>
    <n v="85.86"/>
    <n v="198"/>
    <n v="183"/>
  </r>
  <r>
    <s v="O1000455"/>
    <s v="C4254"/>
    <x v="29"/>
    <d v="2020-01-22T00:00:00"/>
    <x v="2"/>
    <x v="3"/>
    <x v="1"/>
    <s v="Beijing"/>
    <s v="OFF-LA-10003121"/>
    <s v="Office Supplies"/>
    <s v="Labels"/>
    <s v="Avery 506"/>
    <n v="356.3"/>
    <n v="22"/>
    <s v="S885"/>
    <x v="2"/>
    <s v="W18"/>
    <x v="1"/>
    <s v="Maersk"/>
    <s v="Beijing-Berlin"/>
    <n v="1829"/>
    <n v="211"/>
    <n v="26"/>
    <n v="1418.21"/>
    <n v="447.3"/>
    <n v="1865.51"/>
    <x v="1"/>
    <n v="0"/>
    <n v="89.62"/>
    <n v="444"/>
    <n v="472"/>
  </r>
  <r>
    <s v="O1000456"/>
    <s v="C2172"/>
    <x v="397"/>
    <d v="2023-05-25T00:00:00"/>
    <x v="2"/>
    <x v="2"/>
    <x v="1"/>
    <s v="London"/>
    <s v="OFF-PA-10002689"/>
    <s v="Office Supplies"/>
    <s v="Paper"/>
    <s v="Weyerhaeuser First Choice Laser/Copy Paper (20Lb. and 88 Bright)"/>
    <n v="385.67"/>
    <n v="53"/>
    <s v="S581"/>
    <x v="1"/>
    <s v="W3"/>
    <x v="3"/>
    <s v="BlueDart"/>
    <s v="Berlin-Beijing"/>
    <n v="3164"/>
    <n v="455"/>
    <n v="7"/>
    <n v="1033.48"/>
    <n v="33.21"/>
    <n v="1066.69"/>
    <x v="1"/>
    <n v="0"/>
    <n v="93.13"/>
    <n v="240"/>
    <n v="242"/>
  </r>
  <r>
    <s v="O1000457"/>
    <s v="C3908"/>
    <x v="398"/>
    <d v="2020-03-15T00:00:00"/>
    <x v="2"/>
    <x v="3"/>
    <x v="3"/>
    <s v="Berlin"/>
    <s v="OFF-ST-10000107"/>
    <s v="Office Supplies"/>
    <s v="Storage"/>
    <s v="Fellowes Super Stor/Drawer"/>
    <n v="352.88"/>
    <n v="92"/>
    <s v="S486"/>
    <x v="2"/>
    <s v="W28"/>
    <x v="1"/>
    <s v="Maersk"/>
    <s v="Cape Town-Cape Town"/>
    <n v="3445"/>
    <n v="245"/>
    <n v="22"/>
    <n v="1524.73"/>
    <n v="27.47"/>
    <n v="1552.2"/>
    <x v="1"/>
    <n v="0"/>
    <n v="86.44"/>
    <n v="233"/>
    <n v="262"/>
  </r>
  <r>
    <s v="O1000458"/>
    <s v="C4013"/>
    <x v="248"/>
    <d v="2022-01-27T00:00:00"/>
    <x v="2"/>
    <x v="3"/>
    <x v="1"/>
    <s v="London"/>
    <s v="TEC-AC-10000109"/>
    <s v="Technology"/>
    <s v="Accessories"/>
    <s v="Sony Micro Vault Click 16 GB USB 2.0 Flash Drive"/>
    <n v="28.87"/>
    <n v="45"/>
    <s v="S808"/>
    <x v="1"/>
    <s v="W18"/>
    <x v="2"/>
    <s v="FedEx"/>
    <s v="São Paulo-Berlin"/>
    <n v="1804"/>
    <n v="420"/>
    <n v="12"/>
    <n v="131.74"/>
    <n v="499.23"/>
    <n v="630.97"/>
    <x v="1"/>
    <n v="0"/>
    <n v="85.88"/>
    <n v="185"/>
    <n v="166"/>
  </r>
  <r>
    <s v="O1000459"/>
    <s v="C3752"/>
    <x v="399"/>
    <d v="2024-01-05T00:00:00"/>
    <x v="1"/>
    <x v="0"/>
    <x v="6"/>
    <s v="Berlin"/>
    <s v="TEC-AC-10003441"/>
    <s v="Technology"/>
    <s v="Accessories"/>
    <s v="Kingston Digital DataTraveler 32GB USB 2.0"/>
    <n v="365.85"/>
    <n v="16"/>
    <s v="S292"/>
    <x v="2"/>
    <s v="W32"/>
    <x v="2"/>
    <s v="FedEx"/>
    <s v="Mumbai-São Paulo"/>
    <n v="2743"/>
    <n v="257"/>
    <n v="2"/>
    <n v="1019.36"/>
    <n v="302.61"/>
    <n v="1321.97"/>
    <x v="1"/>
    <n v="0"/>
    <n v="83"/>
    <n v="475"/>
    <n v="494"/>
  </r>
  <r>
    <s v="O1000460"/>
    <s v="C1874"/>
    <x v="400"/>
    <d v="2021-08-14T00:00:00"/>
    <x v="1"/>
    <x v="0"/>
    <x v="7"/>
    <s v="New York"/>
    <s v="FUR-BO-10004467"/>
    <s v="Furniture"/>
    <s v="Bookcases"/>
    <s v="Bestar Classic Bookcase"/>
    <n v="164.81"/>
    <n v="87"/>
    <s v="S828"/>
    <x v="2"/>
    <s v="W39"/>
    <x v="3"/>
    <s v="UPS"/>
    <s v="São Paulo-São Paulo"/>
    <n v="1779"/>
    <n v="247"/>
    <n v="27"/>
    <n v="758.97"/>
    <n v="92.51"/>
    <n v="851.48"/>
    <x v="1"/>
    <n v="0"/>
    <n v="77.430000000000007"/>
    <n v="170"/>
    <n v="205"/>
  </r>
  <r>
    <s v="O1000461"/>
    <s v="C7451"/>
    <x v="401"/>
    <d v="2020-06-17T00:00:00"/>
    <x v="0"/>
    <x v="2"/>
    <x v="3"/>
    <s v="Cape Town"/>
    <s v="FUR-CH-10002320"/>
    <s v="Furniture"/>
    <s v="Chairs"/>
    <s v="Hon Pagoda Stacking Chairs"/>
    <n v="126.16"/>
    <n v="16"/>
    <s v="S417"/>
    <x v="4"/>
    <s v="W28"/>
    <x v="2"/>
    <s v="UPS"/>
    <s v="Berlin-Toronto"/>
    <n v="188"/>
    <n v="143"/>
    <n v="29"/>
    <n v="266.73"/>
    <n v="109.13"/>
    <n v="375.86"/>
    <x v="1"/>
    <n v="0"/>
    <n v="95.62"/>
    <n v="133"/>
    <n v="131"/>
  </r>
  <r>
    <s v="O1000462"/>
    <s v="C5467"/>
    <x v="402"/>
    <d v="2020-11-20T00:00:00"/>
    <x v="2"/>
    <x v="3"/>
    <x v="2"/>
    <s v="São Paulo"/>
    <s v="OFF-AR-10000716"/>
    <s v="Office Supplies"/>
    <s v="Art"/>
    <s v="DIXON Ticonderoga Erasable Checking Pencils"/>
    <n v="315.12"/>
    <n v="83"/>
    <s v="S142"/>
    <x v="3"/>
    <s v="W38"/>
    <x v="1"/>
    <s v="DHL"/>
    <s v="New York-Beijing"/>
    <n v="4320"/>
    <n v="470"/>
    <n v="28"/>
    <n v="642.91999999999996"/>
    <n v="393.76"/>
    <n v="1036.68"/>
    <x v="1"/>
    <n v="0"/>
    <n v="82.4"/>
    <n v="318"/>
    <n v="324"/>
  </r>
  <r>
    <s v="O1000463"/>
    <s v="C4256"/>
    <x v="21"/>
    <d v="2023-06-21T00:00:00"/>
    <x v="2"/>
    <x v="0"/>
    <x v="4"/>
    <s v="Toronto"/>
    <s v="OFF-EN-10001434"/>
    <s v="Office Supplies"/>
    <s v="Envelopes"/>
    <s v="Strathmore #10 Envelopes, Ultimate White"/>
    <n v="286.8"/>
    <n v="8"/>
    <s v="S342"/>
    <x v="3"/>
    <s v="W13"/>
    <x v="3"/>
    <s v="DHL"/>
    <s v="London-Mumbai"/>
    <n v="3510"/>
    <n v="68"/>
    <n v="2"/>
    <n v="1195.74"/>
    <n v="226.59"/>
    <n v="1422.33"/>
    <x v="1"/>
    <n v="0"/>
    <n v="91.35"/>
    <n v="477"/>
    <n v="466"/>
  </r>
  <r>
    <s v="O1000464"/>
    <s v="C8514"/>
    <x v="66"/>
    <d v="2024-10-10T00:00:00"/>
    <x v="0"/>
    <x v="3"/>
    <x v="6"/>
    <s v="London"/>
    <s v="OFF-PA-10004353"/>
    <s v="Office Supplies"/>
    <s v="Paper"/>
    <s v="Southworth 25% Cotton Premium Laser Paper and Envelopes"/>
    <n v="179.15"/>
    <n v="99"/>
    <s v="S594"/>
    <x v="3"/>
    <s v="W48"/>
    <x v="2"/>
    <s v="FedEx"/>
    <s v="New York-Beijing"/>
    <n v="4548"/>
    <n v="404"/>
    <n v="5"/>
    <n v="1875.03"/>
    <n v="476.77"/>
    <n v="2351.8000000000002"/>
    <x v="1"/>
    <n v="0"/>
    <n v="85.82"/>
    <n v="408"/>
    <n v="407"/>
  </r>
  <r>
    <s v="O1000465"/>
    <s v="C9055"/>
    <x v="403"/>
    <d v="2023-05-17T00:00:00"/>
    <x v="1"/>
    <x v="3"/>
    <x v="0"/>
    <s v="Berlin"/>
    <s v="OFF-SU-10004737"/>
    <s v="Office Supplies"/>
    <s v="Supplies"/>
    <s v="Acme Design Stainless Steel Bent Scissors"/>
    <n v="331.51"/>
    <n v="57"/>
    <s v="S735"/>
    <x v="1"/>
    <s v="W36"/>
    <x v="0"/>
    <s v="BlueDart"/>
    <s v="São Paulo-São Paulo"/>
    <n v="949"/>
    <n v="436"/>
    <n v="14"/>
    <n v="1670.01"/>
    <n v="192.58"/>
    <n v="1862.59"/>
    <x v="1"/>
    <n v="0"/>
    <n v="81.709999999999994"/>
    <n v="220"/>
    <n v="229"/>
  </r>
  <r>
    <s v="O1000466"/>
    <s v="C8183"/>
    <x v="404"/>
    <d v="2023-08-18T00:00:00"/>
    <x v="2"/>
    <x v="2"/>
    <x v="1"/>
    <s v="Berlin"/>
    <s v="TEC-PH-10001817"/>
    <s v="Technology"/>
    <s v="Phones"/>
    <s v="Wilson Electronics DB Pro Signal Booster"/>
    <n v="282.26"/>
    <n v="40"/>
    <s v="S659"/>
    <x v="4"/>
    <s v="W28"/>
    <x v="2"/>
    <s v="BlueDart"/>
    <s v="New York-Cape Town"/>
    <n v="2737"/>
    <n v="387"/>
    <n v="1"/>
    <n v="1610.79"/>
    <n v="422.92"/>
    <n v="2033.71"/>
    <x v="1"/>
    <n v="0"/>
    <n v="70.37"/>
    <n v="189"/>
    <n v="219"/>
  </r>
  <r>
    <s v="O1000467"/>
    <s v="C9742"/>
    <x v="405"/>
    <d v="2022-05-01T00:00:00"/>
    <x v="2"/>
    <x v="4"/>
    <x v="0"/>
    <s v="London"/>
    <s v="TEC-PH-10003988"/>
    <s v="Technology"/>
    <s v="Phones"/>
    <s v="LF Elite 3D Dazzle Designer Hard Case Cover, Lf Stylus Pen and Wiper For Apple Iphone 5c Mini Lite"/>
    <n v="199.45"/>
    <n v="25"/>
    <s v="S203"/>
    <x v="1"/>
    <s v="W33"/>
    <x v="2"/>
    <s v="DHL"/>
    <s v="Mumbai-Mumbai"/>
    <n v="1816"/>
    <n v="169"/>
    <n v="27"/>
    <n v="1208.9100000000001"/>
    <n v="389.94"/>
    <n v="1598.85"/>
    <x v="1"/>
    <n v="0"/>
    <n v="72.680000000000007"/>
    <n v="243"/>
    <n v="196"/>
  </r>
  <r>
    <s v="O1000468"/>
    <s v="C9709"/>
    <x v="406"/>
    <d v="2022-11-12T00:00:00"/>
    <x v="2"/>
    <x v="2"/>
    <x v="0"/>
    <s v="São Paulo"/>
    <s v="FUR-CH-10000015"/>
    <s v="Furniture"/>
    <s v="Chairs"/>
    <s v="Hon Multipurpose Stacking Arm Chairs"/>
    <n v="90.32"/>
    <n v="49"/>
    <s v="S681"/>
    <x v="0"/>
    <s v="W14"/>
    <x v="2"/>
    <s v="FedEx"/>
    <s v="London-Cape Town"/>
    <n v="2203"/>
    <n v="365"/>
    <n v="7"/>
    <n v="1815.82"/>
    <n v="474.61"/>
    <n v="2290.4299999999998"/>
    <x v="1"/>
    <n v="0"/>
    <n v="92.87"/>
    <n v="422"/>
    <n v="469"/>
  </r>
  <r>
    <s v="O1000469"/>
    <s v="C4798"/>
    <x v="407"/>
    <d v="2022-07-10T00:00:00"/>
    <x v="2"/>
    <x v="0"/>
    <x v="5"/>
    <s v="Berlin"/>
    <s v="FUR-FU-10000723"/>
    <s v="Furniture"/>
    <s v="Furnishings"/>
    <s v="Deflect-o EconoMat Studded, No Bevel Mat for Low Pile Carpeting"/>
    <n v="42.44"/>
    <n v="88"/>
    <s v="S890"/>
    <x v="4"/>
    <s v="W4"/>
    <x v="1"/>
    <s v="DHL"/>
    <s v="São Paulo-New York"/>
    <n v="1724"/>
    <n v="380"/>
    <n v="11"/>
    <n v="170.86"/>
    <n v="297.38"/>
    <n v="468.24"/>
    <x v="1"/>
    <n v="0"/>
    <n v="98.46"/>
    <n v="155"/>
    <n v="125"/>
  </r>
  <r>
    <s v="O1000470"/>
    <s v="C8740"/>
    <x v="408"/>
    <d v="2024-10-11T00:00:00"/>
    <x v="2"/>
    <x v="0"/>
    <x v="3"/>
    <s v="Toronto"/>
    <s v="OFF-AP-10004249"/>
    <s v="Office Supplies"/>
    <s v="Appliances"/>
    <s v="Staple holder"/>
    <n v="119"/>
    <n v="62"/>
    <s v="S822"/>
    <x v="0"/>
    <s v="W19"/>
    <x v="1"/>
    <s v="UPS"/>
    <s v="Berlin-Cape Town"/>
    <n v="133"/>
    <n v="58"/>
    <n v="13"/>
    <n v="1466.69"/>
    <n v="214.32"/>
    <n v="1681.01"/>
    <x v="1"/>
    <n v="0"/>
    <n v="92.52"/>
    <n v="97"/>
    <n v="61"/>
  </r>
  <r>
    <s v="O1000471"/>
    <s v="C8744"/>
    <x v="409"/>
    <d v="2023-12-30T00:00:00"/>
    <x v="2"/>
    <x v="2"/>
    <x v="7"/>
    <s v="London"/>
    <s v="OFF-BI-10002026"/>
    <s v="Office Supplies"/>
    <s v="Binders"/>
    <s v="Avery Arch Ring Binders"/>
    <n v="16.850000000000001"/>
    <n v="73"/>
    <s v="S185"/>
    <x v="3"/>
    <s v="W38"/>
    <x v="3"/>
    <s v="DHL"/>
    <s v="São Paulo-Berlin"/>
    <n v="2259"/>
    <n v="336"/>
    <n v="24"/>
    <n v="1138.67"/>
    <n v="345.16"/>
    <n v="1483.83"/>
    <x v="1"/>
    <n v="0"/>
    <n v="89.55"/>
    <n v="489"/>
    <n v="526"/>
  </r>
  <r>
    <s v="O1000472"/>
    <s v="C6367"/>
    <x v="410"/>
    <d v="2022-08-08T00:00:00"/>
    <x v="2"/>
    <x v="3"/>
    <x v="2"/>
    <s v="Mumbai"/>
    <s v="OFF-PA-10003036"/>
    <s v="Office Supplies"/>
    <s v="Paper"/>
    <s v="Black Print Carbonless 8 1/2&quot; x 8 1/4&quot; Rapid Memo Book"/>
    <n v="189.09"/>
    <n v="27"/>
    <s v="S597"/>
    <x v="1"/>
    <s v="W25"/>
    <x v="0"/>
    <s v="FedEx"/>
    <s v="Mumbai-Toronto"/>
    <n v="1333"/>
    <n v="267"/>
    <n v="9"/>
    <n v="193.72"/>
    <n v="444.36"/>
    <n v="638.08000000000004"/>
    <x v="1"/>
    <n v="0"/>
    <n v="76.08"/>
    <n v="316"/>
    <n v="273"/>
  </r>
  <r>
    <s v="O1000473"/>
    <s v="C9364"/>
    <x v="411"/>
    <d v="2023-05-21T00:00:00"/>
    <x v="0"/>
    <x v="1"/>
    <x v="3"/>
    <s v="Berlin"/>
    <s v="TEC-AC-10001013"/>
    <s v="Technology"/>
    <s v="Accessories"/>
    <s v="Logitech ClearChat Comfort/USB Headset H390"/>
    <n v="84.29"/>
    <n v="28"/>
    <s v="S674"/>
    <x v="2"/>
    <s v="W44"/>
    <x v="2"/>
    <s v="BlueDart"/>
    <s v="Beijing-London"/>
    <n v="3734"/>
    <n v="460"/>
    <n v="2"/>
    <n v="1368.88"/>
    <n v="137.86000000000001"/>
    <n v="1506.74"/>
    <x v="0"/>
    <n v="5"/>
    <n v="84.16"/>
    <n v="493"/>
    <n v="542"/>
  </r>
  <r>
    <s v="O1000474"/>
    <s v="C8152"/>
    <x v="394"/>
    <d v="2023-11-24T00:00:00"/>
    <x v="1"/>
    <x v="1"/>
    <x v="1"/>
    <s v="Beijing"/>
    <s v="TEC-AC-10001465"/>
    <s v="Technology"/>
    <s v="Accessories"/>
    <s v="SanDisk Cruzer 64 GB USB Flash Drive"/>
    <n v="188.82"/>
    <n v="25"/>
    <s v="S313"/>
    <x v="1"/>
    <s v="W48"/>
    <x v="2"/>
    <s v="UPS"/>
    <s v="Beijing-Cape Town"/>
    <n v="314"/>
    <n v="271"/>
    <n v="26"/>
    <n v="1527.75"/>
    <n v="197.17"/>
    <n v="1724.92"/>
    <x v="1"/>
    <n v="0"/>
    <n v="93.04"/>
    <n v="228"/>
    <n v="197"/>
  </r>
  <r>
    <s v="O1000475"/>
    <s v="C7793"/>
    <x v="412"/>
    <d v="2020-05-10T00:00:00"/>
    <x v="1"/>
    <x v="4"/>
    <x v="0"/>
    <s v="Beijing"/>
    <s v="TEC-PH-10002597"/>
    <s v="Technology"/>
    <s v="Phones"/>
    <s v="Xblue XB-1670-86 X16 Small Office Telephone - Titanium"/>
    <n v="150.4"/>
    <n v="86"/>
    <s v="S290"/>
    <x v="0"/>
    <s v="W31"/>
    <x v="2"/>
    <s v="DHL"/>
    <s v="Cape Town-London"/>
    <n v="4766"/>
    <n v="153"/>
    <n v="25"/>
    <n v="1327.16"/>
    <n v="267.2"/>
    <n v="1594.36"/>
    <x v="1"/>
    <n v="0"/>
    <n v="96.04"/>
    <n v="179"/>
    <n v="188"/>
  </r>
  <r>
    <s v="O1000476"/>
    <s v="C1615"/>
    <x v="413"/>
    <d v="2021-07-21T00:00:00"/>
    <x v="2"/>
    <x v="0"/>
    <x v="0"/>
    <s v="São Paulo"/>
    <s v="FUR-FU-10000010"/>
    <s v="Furniture"/>
    <s v="Furnishings"/>
    <s v="DAX Value U-Channel Document Frames, Easel Back"/>
    <n v="315.18"/>
    <n v="13"/>
    <s v="S930"/>
    <x v="3"/>
    <s v="W24"/>
    <x v="1"/>
    <s v="UPS"/>
    <s v="Mumbai-São Paulo"/>
    <n v="1623"/>
    <n v="221"/>
    <n v="16"/>
    <n v="1797.74"/>
    <n v="90.27"/>
    <n v="1888.01"/>
    <x v="1"/>
    <n v="0"/>
    <n v="90.12"/>
    <n v="116"/>
    <n v="110"/>
  </r>
  <r>
    <s v="O1000477"/>
    <s v="C2677"/>
    <x v="414"/>
    <d v="2020-08-12T00:00:00"/>
    <x v="0"/>
    <x v="1"/>
    <x v="2"/>
    <s v="New York"/>
    <s v="FUR-TA-10002228"/>
    <s v="Furniture"/>
    <s v="Tables"/>
    <s v="Bevis Traditional Conference Table Top, Plinth Base"/>
    <n v="319.33"/>
    <n v="14"/>
    <s v="S730"/>
    <x v="2"/>
    <s v="W24"/>
    <x v="3"/>
    <s v="DHL"/>
    <s v="Beijing-London"/>
    <n v="2196"/>
    <n v="108"/>
    <n v="27"/>
    <n v="1277.3800000000001"/>
    <n v="480.67"/>
    <n v="1758.05"/>
    <x v="1"/>
    <n v="0"/>
    <n v="87.37"/>
    <n v="229"/>
    <n v="242"/>
  </r>
  <r>
    <s v="O1000478"/>
    <s v="C9931"/>
    <x v="415"/>
    <d v="2021-01-06T00:00:00"/>
    <x v="2"/>
    <x v="0"/>
    <x v="6"/>
    <s v="Mumbai"/>
    <s v="FUR-CH-10002439"/>
    <s v="Furniture"/>
    <s v="Chairs"/>
    <s v="Iceberg Nesting Folding Chair, 19w x 6d x 43h"/>
    <n v="123.71"/>
    <n v="20"/>
    <s v="S396"/>
    <x v="4"/>
    <s v="W10"/>
    <x v="0"/>
    <s v="Maersk"/>
    <s v="Toronto-New York"/>
    <n v="4151"/>
    <n v="94"/>
    <n v="23"/>
    <n v="336.65"/>
    <n v="399.02"/>
    <n v="735.67"/>
    <x v="1"/>
    <n v="0"/>
    <n v="93.03"/>
    <n v="371"/>
    <n v="390"/>
  </r>
  <r>
    <s v="O1000479"/>
    <s v="C3137"/>
    <x v="416"/>
    <d v="2024-09-02T00:00:00"/>
    <x v="2"/>
    <x v="1"/>
    <x v="4"/>
    <s v="Cape Town"/>
    <s v="OFF-BI-10004519"/>
    <s v="Office Supplies"/>
    <s v="Binders"/>
    <s v="GBC DocuBind P100 Manual Binding Machine"/>
    <n v="428.82"/>
    <n v="77"/>
    <s v="S273"/>
    <x v="4"/>
    <s v="W20"/>
    <x v="1"/>
    <s v="FedEx"/>
    <s v="Beijing-London"/>
    <n v="4746"/>
    <n v="219"/>
    <n v="1"/>
    <n v="1851.85"/>
    <n v="447.23"/>
    <n v="2299.08"/>
    <x v="1"/>
    <n v="0"/>
    <n v="88.52"/>
    <n v="308"/>
    <n v="299"/>
  </r>
  <r>
    <s v="O1000480"/>
    <s v="C2661"/>
    <x v="388"/>
    <d v="2021-11-05T00:00:00"/>
    <x v="2"/>
    <x v="2"/>
    <x v="3"/>
    <s v="Beijing"/>
    <s v="OFF-FA-10002815"/>
    <s v="Office Supplies"/>
    <s v="Fasteners"/>
    <s v="Staples"/>
    <n v="435.82"/>
    <n v="41"/>
    <s v="S594"/>
    <x v="4"/>
    <s v="W23"/>
    <x v="2"/>
    <s v="Maersk"/>
    <s v="São Paulo-Beijing"/>
    <n v="4306"/>
    <n v="100"/>
    <n v="15"/>
    <n v="705.18"/>
    <n v="489.78"/>
    <n v="1194.96"/>
    <x v="1"/>
    <n v="0"/>
    <n v="73.2"/>
    <n v="413"/>
    <n v="440"/>
  </r>
  <r>
    <s v="O1000481"/>
    <s v="C5043"/>
    <x v="417"/>
    <d v="2020-09-20T00:00:00"/>
    <x v="1"/>
    <x v="0"/>
    <x v="2"/>
    <s v="New York"/>
    <s v="OFF-PA-10003063"/>
    <s v="Office Supplies"/>
    <s v="Paper"/>
    <s v="EcoTones Memo Sheets"/>
    <n v="255.19"/>
    <n v="41"/>
    <s v="S150"/>
    <x v="4"/>
    <s v="W8"/>
    <x v="2"/>
    <s v="FedEx"/>
    <s v="London-Mumbai"/>
    <n v="392"/>
    <n v="124"/>
    <n v="14"/>
    <n v="1740.88"/>
    <n v="497.84"/>
    <n v="2238.7199999999998"/>
    <x v="1"/>
    <n v="0"/>
    <n v="90.94"/>
    <n v="62"/>
    <n v="45"/>
  </r>
  <r>
    <s v="O1000482"/>
    <s v="C5216"/>
    <x v="418"/>
    <d v="2023-02-12T00:00:00"/>
    <x v="1"/>
    <x v="4"/>
    <x v="0"/>
    <s v="Toronto"/>
    <s v="OFF-ST-10000107"/>
    <s v="Office Supplies"/>
    <s v="Storage"/>
    <s v="Fellowes Super Stor/Drawer"/>
    <n v="420.93"/>
    <n v="90"/>
    <s v="S156"/>
    <x v="1"/>
    <s v="W33"/>
    <x v="1"/>
    <s v="UPS"/>
    <s v="London-Beijing"/>
    <n v="4365"/>
    <n v="54"/>
    <n v="27"/>
    <n v="1462.86"/>
    <n v="61.59"/>
    <n v="1524.45"/>
    <x v="1"/>
    <n v="0"/>
    <n v="91.68"/>
    <n v="155"/>
    <n v="142"/>
  </r>
  <r>
    <s v="O1000483"/>
    <s v="C6584"/>
    <x v="419"/>
    <d v="2021-01-30T00:00:00"/>
    <x v="2"/>
    <x v="4"/>
    <x v="3"/>
    <s v="London"/>
    <s v="TEC-AC-10002800"/>
    <s v="Technology"/>
    <s v="Accessories"/>
    <s v="Plantronics Audio 478 Stereo USB Headset"/>
    <n v="481.59"/>
    <n v="49"/>
    <s v="S410"/>
    <x v="3"/>
    <s v="W10"/>
    <x v="2"/>
    <s v="Maersk"/>
    <s v="Mumbai-Berlin"/>
    <n v="2088"/>
    <n v="410"/>
    <n v="24"/>
    <n v="790.15"/>
    <n v="435.46"/>
    <n v="1225.6099999999999"/>
    <x v="0"/>
    <n v="6"/>
    <n v="79.84"/>
    <n v="160"/>
    <n v="192"/>
  </r>
  <r>
    <s v="O1000484"/>
    <s v="C2622"/>
    <x v="332"/>
    <d v="2023-02-18T00:00:00"/>
    <x v="2"/>
    <x v="1"/>
    <x v="5"/>
    <s v="São Paulo"/>
    <s v="FUR-FU-10004306"/>
    <s v="Furniture"/>
    <s v="Furnishings"/>
    <s v="Electrix Halogen Magnifier Lamp"/>
    <n v="474"/>
    <n v="84"/>
    <s v="S548"/>
    <x v="3"/>
    <s v="W16"/>
    <x v="3"/>
    <s v="BlueDart"/>
    <s v="São Paulo-São Paulo"/>
    <n v="1064"/>
    <n v="348"/>
    <n v="2"/>
    <n v="1156.3900000000001"/>
    <n v="409.1"/>
    <n v="1565.49"/>
    <x v="1"/>
    <n v="0"/>
    <n v="81.87"/>
    <n v="330"/>
    <n v="345"/>
  </r>
  <r>
    <s v="O1000485"/>
    <s v="C1147"/>
    <x v="420"/>
    <d v="2024-07-10T00:00:00"/>
    <x v="2"/>
    <x v="0"/>
    <x v="6"/>
    <s v="Cape Town"/>
    <s v="FUR-CH-10002439"/>
    <s v="Furniture"/>
    <s v="Chairs"/>
    <s v="Iceberg Nesting Folding Chair, 19w x 6d x 43h"/>
    <n v="393.5"/>
    <n v="73"/>
    <s v="S465"/>
    <x v="3"/>
    <s v="W32"/>
    <x v="2"/>
    <s v="Maersk"/>
    <s v="Mumbai-São Paulo"/>
    <n v="3238"/>
    <n v="379"/>
    <n v="14"/>
    <n v="414.27"/>
    <n v="292.99"/>
    <n v="707.26"/>
    <x v="1"/>
    <n v="0"/>
    <n v="91.38"/>
    <n v="338"/>
    <n v="367"/>
  </r>
  <r>
    <s v="O1000486"/>
    <s v="C2765"/>
    <x v="421"/>
    <d v="2021-09-17T00:00:00"/>
    <x v="2"/>
    <x v="0"/>
    <x v="4"/>
    <s v="Cape Town"/>
    <s v="TEC-AC-10002217"/>
    <s v="Technology"/>
    <s v="Accessories"/>
    <s v="Imation Clip USB flash drive - 8 GB"/>
    <n v="97.86"/>
    <n v="1"/>
    <s v="S669"/>
    <x v="2"/>
    <s v="W13"/>
    <x v="3"/>
    <s v="BlueDart"/>
    <s v="London-São Paulo"/>
    <n v="3557"/>
    <n v="132"/>
    <n v="18"/>
    <n v="839.16"/>
    <n v="469.93"/>
    <n v="1309.0899999999999"/>
    <x v="1"/>
    <n v="0"/>
    <n v="99.73"/>
    <n v="193"/>
    <n v="152"/>
  </r>
  <r>
    <s v="O1000487"/>
    <s v="C7654"/>
    <x v="422"/>
    <d v="2021-12-31T00:00:00"/>
    <x v="2"/>
    <x v="2"/>
    <x v="0"/>
    <s v="Beijing"/>
    <s v="OFF-BI-10000666"/>
    <s v="Office Supplies"/>
    <s v="Binders"/>
    <s v="Surelock Post Binders"/>
    <n v="106.86"/>
    <n v="77"/>
    <s v="S246"/>
    <x v="4"/>
    <s v="W12"/>
    <x v="2"/>
    <s v="FedEx"/>
    <s v="Beijing-London"/>
    <n v="4899"/>
    <n v="247"/>
    <n v="21"/>
    <n v="1680.98"/>
    <n v="324.3"/>
    <n v="2005.28"/>
    <x v="1"/>
    <n v="0"/>
    <n v="78.489999999999995"/>
    <n v="68"/>
    <n v="108"/>
  </r>
  <r>
    <s v="O1000488"/>
    <s v="C7663"/>
    <x v="423"/>
    <d v="2025-01-04T00:00:00"/>
    <x v="2"/>
    <x v="2"/>
    <x v="5"/>
    <s v="Toronto"/>
    <s v="FUR-FU-10000308"/>
    <s v="Furniture"/>
    <s v="Furnishings"/>
    <s v="Deflect-o Glass Clear Studded Chair Mats"/>
    <n v="265.22000000000003"/>
    <n v="16"/>
    <s v="S781"/>
    <x v="1"/>
    <s v="W5"/>
    <x v="2"/>
    <s v="UPS"/>
    <s v="São Paulo-Berlin"/>
    <n v="4215"/>
    <n v="499"/>
    <n v="23"/>
    <n v="952.63"/>
    <n v="268.48"/>
    <n v="1221.1099999999999"/>
    <x v="1"/>
    <n v="0"/>
    <n v="80.040000000000006"/>
    <n v="128"/>
    <n v="139"/>
  </r>
  <r>
    <s v="O1000489"/>
    <s v="C2651"/>
    <x v="91"/>
    <d v="2020-12-05T00:00:00"/>
    <x v="2"/>
    <x v="0"/>
    <x v="6"/>
    <s v="Beijing"/>
    <s v="OFF-PA-10001526"/>
    <s v="Office Supplies"/>
    <s v="Paper"/>
    <s v="Xerox 1949"/>
    <n v="407.79"/>
    <n v="52"/>
    <s v="S862"/>
    <x v="1"/>
    <s v="W28"/>
    <x v="2"/>
    <s v="FedEx"/>
    <s v="Mumbai-Cape Town"/>
    <n v="1003"/>
    <n v="303"/>
    <n v="8"/>
    <n v="1468.85"/>
    <n v="280.55"/>
    <n v="1749.4"/>
    <x v="1"/>
    <n v="0"/>
    <n v="83.05"/>
    <n v="126"/>
    <n v="147"/>
  </r>
  <r>
    <s v="O1000490"/>
    <s v="C4802"/>
    <x v="424"/>
    <d v="2024-08-18T00:00:00"/>
    <x v="0"/>
    <x v="0"/>
    <x v="7"/>
    <s v="Beijing"/>
    <s v="OFF-PA-10001526"/>
    <s v="Office Supplies"/>
    <s v="Paper"/>
    <s v="Xerox 1949"/>
    <n v="407.83"/>
    <n v="38"/>
    <s v="S998"/>
    <x v="3"/>
    <s v="W23"/>
    <x v="1"/>
    <s v="Maersk"/>
    <s v="London-Toronto"/>
    <n v="340"/>
    <n v="229"/>
    <n v="17"/>
    <n v="994.65"/>
    <n v="410.69"/>
    <n v="1405.34"/>
    <x v="1"/>
    <n v="0"/>
    <n v="72.02"/>
    <n v="217"/>
    <n v="252"/>
  </r>
  <r>
    <s v="O1000491"/>
    <s v="C4895"/>
    <x v="72"/>
    <d v="2024-10-05T00:00:00"/>
    <x v="1"/>
    <x v="3"/>
    <x v="3"/>
    <s v="São Paulo"/>
    <s v="TEC-PH-10002885"/>
    <s v="Technology"/>
    <s v="Phones"/>
    <s v="Apple iPhone 5"/>
    <n v="138.97"/>
    <n v="63"/>
    <s v="S408"/>
    <x v="4"/>
    <s v="W26"/>
    <x v="2"/>
    <s v="UPS"/>
    <s v="Beijing-Beijing"/>
    <n v="791"/>
    <n v="297"/>
    <n v="25"/>
    <n v="1845.32"/>
    <n v="159.11000000000001"/>
    <n v="2004.43"/>
    <x v="0"/>
    <n v="1"/>
    <n v="82.27"/>
    <n v="416"/>
    <n v="416"/>
  </r>
  <r>
    <s v="O1000492"/>
    <s v="C8954"/>
    <x v="425"/>
    <d v="2022-02-08T00:00:00"/>
    <x v="2"/>
    <x v="4"/>
    <x v="0"/>
    <s v="Cape Town"/>
    <s v="OFF-BI-10001249"/>
    <s v="Office Supplies"/>
    <s v="Binders"/>
    <s v="Avery Heavy-Duty EZD View Binder with Locking Rings"/>
    <n v="366.62"/>
    <n v="54"/>
    <s v="S871"/>
    <x v="0"/>
    <s v="W17"/>
    <x v="0"/>
    <s v="UPS"/>
    <s v="São Paulo-London"/>
    <n v="4442"/>
    <n v="281"/>
    <n v="15"/>
    <n v="127.91"/>
    <n v="440.97"/>
    <n v="568.88"/>
    <x v="1"/>
    <n v="0"/>
    <n v="94.97"/>
    <n v="296"/>
    <n v="302"/>
  </r>
  <r>
    <s v="O1000493"/>
    <s v="C5700"/>
    <x v="426"/>
    <d v="2021-11-17T00:00:00"/>
    <x v="1"/>
    <x v="2"/>
    <x v="1"/>
    <s v="London"/>
    <s v="OFF-SU-10004737"/>
    <s v="Office Supplies"/>
    <s v="Supplies"/>
    <s v="Acme Design Stainless Steel Bent Scissors"/>
    <n v="263.49"/>
    <n v="25"/>
    <s v="S117"/>
    <x v="4"/>
    <s v="W29"/>
    <x v="1"/>
    <s v="BlueDart"/>
    <s v="Mumbai-Cape Town"/>
    <n v="117"/>
    <n v="154"/>
    <n v="11"/>
    <n v="1371.52"/>
    <n v="495.05"/>
    <n v="1866.57"/>
    <x v="1"/>
    <n v="0"/>
    <n v="76.05"/>
    <n v="398"/>
    <n v="417"/>
  </r>
  <r>
    <s v="O1000494"/>
    <s v="C7264"/>
    <x v="427"/>
    <d v="2024-08-08T00:00:00"/>
    <x v="1"/>
    <x v="3"/>
    <x v="7"/>
    <s v="Berlin"/>
    <s v="FUR-FU-10000076"/>
    <s v="Furniture"/>
    <s v="Furnishings"/>
    <s v="24-Hour Round Wall Clock"/>
    <n v="360.35"/>
    <n v="38"/>
    <s v="S343"/>
    <x v="1"/>
    <s v="W5"/>
    <x v="0"/>
    <s v="UPS"/>
    <s v="Cape Town-Mumbai"/>
    <n v="174"/>
    <n v="92"/>
    <n v="16"/>
    <n v="1045.9000000000001"/>
    <n v="242.11"/>
    <n v="1288.01"/>
    <x v="1"/>
    <n v="0"/>
    <n v="88.78"/>
    <n v="237"/>
    <n v="265"/>
  </r>
  <r>
    <s v="O1000495"/>
    <s v="C9624"/>
    <x v="428"/>
    <d v="2022-02-07T00:00:00"/>
    <x v="2"/>
    <x v="1"/>
    <x v="0"/>
    <s v="Cape Town"/>
    <s v="FUR-FU-10003489"/>
    <s v="Furniture"/>
    <s v="Furnishings"/>
    <s v="Contemporary Borderless Frame"/>
    <n v="265.64999999999998"/>
    <n v="17"/>
    <s v="S270"/>
    <x v="3"/>
    <s v="W10"/>
    <x v="0"/>
    <s v="Maersk"/>
    <s v="Berlin-Beijing"/>
    <n v="2669"/>
    <n v="57"/>
    <n v="5"/>
    <n v="927.98"/>
    <n v="423.01"/>
    <n v="1350.99"/>
    <x v="0"/>
    <n v="14"/>
    <n v="83.16"/>
    <n v="317"/>
    <n v="296"/>
  </r>
  <r>
    <s v="O1000496"/>
    <s v="C9892"/>
    <x v="429"/>
    <d v="2024-09-27T00:00:00"/>
    <x v="1"/>
    <x v="4"/>
    <x v="0"/>
    <s v="Berlin"/>
    <s v="OFF-AP-10000124"/>
    <s v="Office Supplies"/>
    <s v="Appliances"/>
    <s v="Acco 6 Outlet Guardian Basic Surge Suppressor"/>
    <n v="94.64"/>
    <n v="3"/>
    <s v="S977"/>
    <x v="0"/>
    <s v="W7"/>
    <x v="0"/>
    <s v="Maersk"/>
    <s v="Beijing-Beijing"/>
    <n v="2681"/>
    <n v="468"/>
    <n v="28"/>
    <n v="72.5"/>
    <n v="17.04"/>
    <n v="89.539999999999992"/>
    <x v="1"/>
    <n v="0"/>
    <n v="71.22"/>
    <n v="253"/>
    <n v="282"/>
  </r>
  <r>
    <s v="O1000497"/>
    <s v="C6377"/>
    <x v="240"/>
    <d v="2021-08-17T00:00:00"/>
    <x v="2"/>
    <x v="1"/>
    <x v="0"/>
    <s v="São Paulo"/>
    <s v="OFF-AR-10004511"/>
    <s v="Office Supplies"/>
    <s v="Art"/>
    <s v="Sanford Colorific Scented Colored Pencils, 12/Pack"/>
    <n v="335.11"/>
    <n v="23"/>
    <s v="S192"/>
    <x v="3"/>
    <s v="W17"/>
    <x v="1"/>
    <s v="DHL"/>
    <s v="Berlin-Cape Town"/>
    <n v="2377"/>
    <n v="105"/>
    <n v="10"/>
    <n v="721.62"/>
    <n v="388.06"/>
    <n v="1109.68"/>
    <x v="0"/>
    <n v="9"/>
    <n v="91.14"/>
    <n v="235"/>
    <n v="231"/>
  </r>
  <r>
    <s v="O1000498"/>
    <s v="C8665"/>
    <x v="430"/>
    <d v="2020-02-11T00:00:00"/>
    <x v="1"/>
    <x v="2"/>
    <x v="3"/>
    <s v="Toronto"/>
    <s v="OFF-PA-10000289"/>
    <s v="Office Supplies"/>
    <s v="Paper"/>
    <s v="Xerox 213"/>
    <n v="347.43"/>
    <n v="90"/>
    <s v="S983"/>
    <x v="1"/>
    <s v="W9"/>
    <x v="3"/>
    <s v="Maersk"/>
    <s v="Beijing-Toronto"/>
    <n v="4810"/>
    <n v="360"/>
    <n v="27"/>
    <n v="1442.79"/>
    <n v="196.81"/>
    <n v="1639.6"/>
    <x v="1"/>
    <n v="0"/>
    <n v="85.29"/>
    <n v="452"/>
    <n v="463"/>
  </r>
  <r>
    <s v="O1000499"/>
    <s v="C1941"/>
    <x v="416"/>
    <d v="2021-08-26T00:00:00"/>
    <x v="1"/>
    <x v="4"/>
    <x v="3"/>
    <s v="New York"/>
    <s v="OFF-ST-10000636"/>
    <s v="Office Supplies"/>
    <s v="Storage"/>
    <s v="Rogers Profile Extra Capacity Storage Tub"/>
    <n v="234.09"/>
    <n v="31"/>
    <s v="S228"/>
    <x v="4"/>
    <s v="W23"/>
    <x v="3"/>
    <s v="DHL"/>
    <s v="Toronto-Mumbai"/>
    <n v="2087"/>
    <n v="384"/>
    <n v="24"/>
    <n v="1985.63"/>
    <n v="453.1"/>
    <n v="2438.73"/>
    <x v="1"/>
    <n v="0"/>
    <n v="77.53"/>
    <n v="457"/>
    <n v="408"/>
  </r>
  <r>
    <s v="O1000500"/>
    <s v="C7874"/>
    <x v="431"/>
    <d v="2022-08-08T00:00:00"/>
    <x v="2"/>
    <x v="4"/>
    <x v="0"/>
    <s v="Berlin"/>
    <s v="TEC-AC-10004227"/>
    <s v="Technology"/>
    <s v="Accessories"/>
    <s v="SanDisk Ultra 16 GB MicroSDHC Class 10 Memory Card"/>
    <n v="362.52"/>
    <n v="69"/>
    <s v="S681"/>
    <x v="1"/>
    <s v="W16"/>
    <x v="0"/>
    <s v="DHL"/>
    <s v="Cape Town-London"/>
    <n v="3557"/>
    <n v="178"/>
    <n v="27"/>
    <n v="262.18"/>
    <n v="472.97"/>
    <n v="735.15000000000009"/>
    <x v="1"/>
    <n v="0"/>
    <n v="82.29"/>
    <n v="453"/>
    <n v="446"/>
  </r>
  <r>
    <s v="O1000501"/>
    <s v="C8693"/>
    <x v="432"/>
    <d v="2022-08-20T00:00:00"/>
    <x v="2"/>
    <x v="2"/>
    <x v="6"/>
    <s v="Mumbai"/>
    <s v="FUR-CH-10000225"/>
    <s v="Furniture"/>
    <s v="Chairs"/>
    <s v="Global Geo Office Task Chair, Gray"/>
    <n v="349.56"/>
    <n v="31"/>
    <s v="S247"/>
    <x v="2"/>
    <s v="W30"/>
    <x v="2"/>
    <s v="FedEx"/>
    <s v="New York-New York"/>
    <n v="3491"/>
    <n v="90"/>
    <n v="18"/>
    <n v="146.91999999999999"/>
    <n v="483.51"/>
    <n v="630.42999999999995"/>
    <x v="1"/>
    <n v="0"/>
    <n v="80.8"/>
    <n v="252"/>
    <n v="237"/>
  </r>
  <r>
    <s v="O1000502"/>
    <s v="C4296"/>
    <x v="377"/>
    <d v="2023-05-19T00:00:00"/>
    <x v="0"/>
    <x v="1"/>
    <x v="2"/>
    <s v="Beijing"/>
    <s v="FUR-FU-10002191"/>
    <s v="Furniture"/>
    <s v="Furnishings"/>
    <s v="G.E. Halogen Desk Lamp Bulbs"/>
    <n v="261.39"/>
    <n v="52"/>
    <s v="S157"/>
    <x v="4"/>
    <s v="W42"/>
    <x v="0"/>
    <s v="DHL"/>
    <s v="London-London"/>
    <n v="3685"/>
    <n v="315"/>
    <n v="11"/>
    <n v="1671.5"/>
    <n v="356.7"/>
    <n v="2028.2"/>
    <x v="1"/>
    <n v="0"/>
    <n v="93.23"/>
    <n v="218"/>
    <n v="194"/>
  </r>
  <r>
    <s v="O1000503"/>
    <s v="C3820"/>
    <x v="385"/>
    <d v="2024-10-06T00:00:00"/>
    <x v="2"/>
    <x v="2"/>
    <x v="2"/>
    <s v="São Paulo"/>
    <s v="TEC-MA-10003176"/>
    <s v="Technology"/>
    <s v="Machines"/>
    <s v="Okidata B400 Printer"/>
    <n v="461.25"/>
    <n v="81"/>
    <s v="S750"/>
    <x v="4"/>
    <s v="W5"/>
    <x v="3"/>
    <s v="Maersk"/>
    <s v="Cape Town-Berlin"/>
    <n v="3397"/>
    <n v="280"/>
    <n v="17"/>
    <n v="1044.22"/>
    <n v="247.75"/>
    <n v="1291.97"/>
    <x v="1"/>
    <n v="0"/>
    <n v="86.18"/>
    <n v="244"/>
    <n v="285"/>
  </r>
  <r>
    <s v="O1000504"/>
    <s v="C2100"/>
    <x v="433"/>
    <d v="2021-04-06T00:00:00"/>
    <x v="2"/>
    <x v="2"/>
    <x v="5"/>
    <s v="Beijing"/>
    <s v="FUR-CH-10003396"/>
    <s v="Furniture"/>
    <s v="Chairs"/>
    <s v="Global Deluxe Steno Chair"/>
    <n v="298.87"/>
    <n v="29"/>
    <s v="S120"/>
    <x v="2"/>
    <s v="W20"/>
    <x v="2"/>
    <s v="Maersk"/>
    <s v="Toronto-New York"/>
    <n v="3112"/>
    <n v="437"/>
    <n v="11"/>
    <n v="226.89"/>
    <n v="489.57"/>
    <n v="716.46"/>
    <x v="1"/>
    <n v="0"/>
    <n v="82.23"/>
    <n v="225"/>
    <n v="182"/>
  </r>
  <r>
    <s v="O1000505"/>
    <s v="C8852"/>
    <x v="302"/>
    <d v="2024-10-23T00:00:00"/>
    <x v="2"/>
    <x v="3"/>
    <x v="6"/>
    <s v="Toronto"/>
    <s v="OFF-AP-10001293"/>
    <s v="Office Supplies"/>
    <s v="Appliances"/>
    <s v="Belkin 8 Outlet Surge Protector"/>
    <n v="469.98"/>
    <n v="35"/>
    <s v="S655"/>
    <x v="0"/>
    <s v="W19"/>
    <x v="2"/>
    <s v="UPS"/>
    <s v="Mumbai-London"/>
    <n v="3235"/>
    <n v="190"/>
    <n v="11"/>
    <n v="1699.56"/>
    <n v="495.05"/>
    <n v="2194.61"/>
    <x v="1"/>
    <n v="0"/>
    <n v="92.89"/>
    <n v="453"/>
    <n v="482"/>
  </r>
  <r>
    <s v="O1000506"/>
    <s v="C4432"/>
    <x v="434"/>
    <d v="2024-05-17T00:00:00"/>
    <x v="1"/>
    <x v="0"/>
    <x v="5"/>
    <s v="London"/>
    <s v="OFF-AR-10003514"/>
    <s v="Office Supplies"/>
    <s v="Art"/>
    <s v="4009 Highlighters by Sanford"/>
    <n v="329.81"/>
    <n v="10"/>
    <s v="S906"/>
    <x v="4"/>
    <s v="W43"/>
    <x v="1"/>
    <s v="FedEx"/>
    <s v="London-New York"/>
    <n v="287"/>
    <n v="221"/>
    <n v="16"/>
    <n v="1298.98"/>
    <n v="172.38"/>
    <n v="1471.36"/>
    <x v="1"/>
    <n v="0"/>
    <n v="81.05"/>
    <n v="278"/>
    <n v="322"/>
  </r>
  <r>
    <s v="O1000507"/>
    <s v="C3030"/>
    <x v="435"/>
    <d v="2024-01-25T00:00:00"/>
    <x v="1"/>
    <x v="2"/>
    <x v="6"/>
    <s v="São Paulo"/>
    <s v="OFF-BI-10000977"/>
    <s v="Office Supplies"/>
    <s v="Binders"/>
    <s v="Ibico Plastic Spiral Binding Combs"/>
    <n v="155.25"/>
    <n v="66"/>
    <s v="S829"/>
    <x v="3"/>
    <s v="W37"/>
    <x v="3"/>
    <s v="BlueDart"/>
    <s v="Berlin-Beijing"/>
    <n v="858"/>
    <n v="437"/>
    <n v="24"/>
    <n v="1164.81"/>
    <n v="254.17"/>
    <n v="1418.98"/>
    <x v="0"/>
    <n v="2"/>
    <n v="92.7"/>
    <n v="226"/>
    <n v="221"/>
  </r>
  <r>
    <s v="O1000508"/>
    <s v="C8236"/>
    <x v="436"/>
    <d v="2022-03-13T00:00:00"/>
    <x v="2"/>
    <x v="3"/>
    <x v="4"/>
    <s v="Cape Town"/>
    <s v="OFF-BI-10001071"/>
    <s v="Office Supplies"/>
    <s v="Binders"/>
    <s v="GBC ProClick Punch Binding System"/>
    <n v="485.7"/>
    <n v="63"/>
    <s v="S141"/>
    <x v="3"/>
    <s v="W17"/>
    <x v="3"/>
    <s v="UPS"/>
    <s v="Beijing-Berlin"/>
    <n v="4886"/>
    <n v="263"/>
    <n v="12"/>
    <n v="666.52"/>
    <n v="187.03"/>
    <n v="853.55"/>
    <x v="1"/>
    <n v="0"/>
    <n v="82.68"/>
    <n v="100"/>
    <n v="106"/>
  </r>
  <r>
    <s v="O1000509"/>
    <s v="C8933"/>
    <x v="437"/>
    <d v="2024-12-27T00:00:00"/>
    <x v="1"/>
    <x v="3"/>
    <x v="6"/>
    <s v="Beijing"/>
    <s v="OFF-BI-10003925"/>
    <s v="Office Supplies"/>
    <s v="Binders"/>
    <s v="Fellowes PB300 Plastic Comb Binding Machine"/>
    <n v="489.95"/>
    <n v="41"/>
    <s v="S424"/>
    <x v="0"/>
    <s v="W47"/>
    <x v="2"/>
    <s v="DHL"/>
    <s v="London-Cape Town"/>
    <n v="3410"/>
    <n v="499"/>
    <n v="13"/>
    <n v="1855.33"/>
    <n v="303"/>
    <n v="2158.33"/>
    <x v="1"/>
    <n v="0"/>
    <n v="93"/>
    <n v="87"/>
    <n v="80"/>
  </r>
  <r>
    <s v="O1000510"/>
    <s v="C1783"/>
    <x v="438"/>
    <d v="2024-10-19T00:00:00"/>
    <x v="2"/>
    <x v="3"/>
    <x v="1"/>
    <s v="Mumbai"/>
    <s v="OFF-EN-10003134"/>
    <s v="Office Supplies"/>
    <s v="Envelopes"/>
    <s v="Staple envelope"/>
    <n v="299.81"/>
    <n v="27"/>
    <s v="S119"/>
    <x v="4"/>
    <s v="W19"/>
    <x v="3"/>
    <s v="UPS"/>
    <s v="Toronto-Toronto"/>
    <n v="210"/>
    <n v="481"/>
    <n v="2"/>
    <n v="781.61"/>
    <n v="418.42"/>
    <n v="1200.03"/>
    <x v="1"/>
    <n v="0"/>
    <n v="79.75"/>
    <n v="323"/>
    <n v="300"/>
  </r>
  <r>
    <s v="O1000511"/>
    <s v="C5722"/>
    <x v="94"/>
    <d v="2022-09-04T00:00:00"/>
    <x v="1"/>
    <x v="2"/>
    <x v="2"/>
    <s v="New York"/>
    <s v="OFF-PA-10001560"/>
    <s v="Office Supplies"/>
    <s v="Paper"/>
    <s v="Adams Telephone Message Books, 5 1/4” x 11”"/>
    <n v="412.26"/>
    <n v="39"/>
    <s v="S481"/>
    <x v="2"/>
    <s v="W33"/>
    <x v="2"/>
    <s v="UPS"/>
    <s v="Cape Town-São Paulo"/>
    <n v="3650"/>
    <n v="408"/>
    <n v="27"/>
    <n v="1728.03"/>
    <n v="49.34"/>
    <n v="1777.37"/>
    <x v="1"/>
    <n v="0"/>
    <n v="90.54"/>
    <n v="307"/>
    <n v="341"/>
  </r>
  <r>
    <s v="O1000512"/>
    <s v="C4454"/>
    <x v="439"/>
    <d v="2021-04-03T00:00:00"/>
    <x v="2"/>
    <x v="4"/>
    <x v="6"/>
    <s v="London"/>
    <s v="OFF-PA-10003022"/>
    <s v="Office Supplies"/>
    <s v="Paper"/>
    <s v="Xerox 1992"/>
    <n v="318.23"/>
    <n v="68"/>
    <s v="S657"/>
    <x v="0"/>
    <s v="W10"/>
    <x v="2"/>
    <s v="FedEx"/>
    <s v="Beijing-São Paulo"/>
    <n v="491"/>
    <n v="242"/>
    <n v="6"/>
    <n v="145.46"/>
    <n v="135.18"/>
    <n v="280.64"/>
    <x v="1"/>
    <n v="0"/>
    <n v="84.62"/>
    <n v="305"/>
    <n v="303"/>
  </r>
  <r>
    <s v="O1000513"/>
    <s v="C4354"/>
    <x v="440"/>
    <d v="2020-07-29T00:00:00"/>
    <x v="1"/>
    <x v="4"/>
    <x v="6"/>
    <s v="London"/>
    <s v="TEC-PH-10001530"/>
    <s v="Technology"/>
    <s v="Phones"/>
    <s v="Plantronics Voyager Pro Legend"/>
    <n v="326.58999999999997"/>
    <n v="7"/>
    <s v="S866"/>
    <x v="0"/>
    <s v="W40"/>
    <x v="2"/>
    <s v="UPS"/>
    <s v="Berlin-Beijing"/>
    <n v="4932"/>
    <n v="209"/>
    <n v="28"/>
    <n v="348.55"/>
    <n v="134.19999999999999"/>
    <n v="482.75"/>
    <x v="1"/>
    <n v="0"/>
    <n v="95.92"/>
    <n v="495"/>
    <n v="506"/>
  </r>
  <r>
    <s v="O1000514"/>
    <s v="C2577"/>
    <x v="441"/>
    <d v="2023-04-02T00:00:00"/>
    <x v="2"/>
    <x v="1"/>
    <x v="5"/>
    <s v="Berlin"/>
    <s v="OFF-AP-10001293"/>
    <s v="Office Supplies"/>
    <s v="Appliances"/>
    <s v="Belkin 8 Outlet Surge Protector"/>
    <n v="366.12"/>
    <n v="47"/>
    <s v="S843"/>
    <x v="0"/>
    <s v="W36"/>
    <x v="0"/>
    <s v="BlueDart"/>
    <s v="Toronto-New York"/>
    <n v="357"/>
    <n v="464"/>
    <n v="2"/>
    <n v="1015.74"/>
    <n v="73.2"/>
    <n v="1088.94"/>
    <x v="1"/>
    <n v="0"/>
    <n v="95.87"/>
    <n v="456"/>
    <n v="482"/>
  </r>
  <r>
    <s v="O1000515"/>
    <s v="C5226"/>
    <x v="442"/>
    <d v="2024-06-05T00:00:00"/>
    <x v="2"/>
    <x v="3"/>
    <x v="7"/>
    <s v="São Paulo"/>
    <s v="OFF-BI-10001071"/>
    <s v="Office Supplies"/>
    <s v="Binders"/>
    <s v="GBC ProClick Punch Binding System"/>
    <n v="152.36000000000001"/>
    <n v="85"/>
    <s v="S440"/>
    <x v="1"/>
    <s v="W29"/>
    <x v="2"/>
    <s v="UPS"/>
    <s v="São Paulo-Berlin"/>
    <n v="669"/>
    <n v="101"/>
    <n v="6"/>
    <n v="1097.06"/>
    <n v="487"/>
    <n v="1584.06"/>
    <x v="1"/>
    <n v="0"/>
    <n v="80.650000000000006"/>
    <n v="413"/>
    <n v="414"/>
  </r>
  <r>
    <s v="O1000516"/>
    <s v="C3002"/>
    <x v="443"/>
    <d v="2022-06-30T00:00:00"/>
    <x v="1"/>
    <x v="1"/>
    <x v="2"/>
    <s v="São Paulo"/>
    <s v="OFF-PA-10003022"/>
    <s v="Office Supplies"/>
    <s v="Paper"/>
    <s v="Xerox 1992"/>
    <n v="237.21"/>
    <n v="53"/>
    <s v="S767"/>
    <x v="2"/>
    <s v="W17"/>
    <x v="1"/>
    <s v="UPS"/>
    <s v="Mumbai-New York"/>
    <n v="2243"/>
    <n v="107"/>
    <n v="10"/>
    <n v="535.33000000000004"/>
    <n v="262.31"/>
    <n v="797.6400000000001"/>
    <x v="1"/>
    <n v="0"/>
    <n v="86"/>
    <n v="196"/>
    <n v="150"/>
  </r>
  <r>
    <s v="O1000517"/>
    <s v="C9783"/>
    <x v="333"/>
    <d v="2022-04-19T00:00:00"/>
    <x v="1"/>
    <x v="2"/>
    <x v="1"/>
    <s v="London"/>
    <s v="TEC-PH-10002660"/>
    <s v="Technology"/>
    <s v="Phones"/>
    <s v="Nortel Networks T7316 E Nt8 B27"/>
    <n v="6.86"/>
    <n v="65"/>
    <s v="S367"/>
    <x v="3"/>
    <s v="W4"/>
    <x v="3"/>
    <s v="BlueDart"/>
    <s v="New York-Berlin"/>
    <n v="4859"/>
    <n v="342"/>
    <n v="19"/>
    <n v="770.51"/>
    <n v="51.78"/>
    <n v="822.29"/>
    <x v="1"/>
    <n v="0"/>
    <n v="88.27"/>
    <n v="386"/>
    <n v="359"/>
  </r>
  <r>
    <s v="O1000518"/>
    <s v="C6530"/>
    <x v="444"/>
    <d v="2023-07-07T00:00:00"/>
    <x v="1"/>
    <x v="4"/>
    <x v="4"/>
    <s v="Beijing"/>
    <s v="TEC-PH-10003171"/>
    <s v="Technology"/>
    <s v="Phones"/>
    <s v="Plantronics Encore H101 Dual Earpieces Headset"/>
    <n v="178.29"/>
    <n v="39"/>
    <s v="S703"/>
    <x v="0"/>
    <s v="W44"/>
    <x v="0"/>
    <s v="BlueDart"/>
    <s v="Beijing-Mumbai"/>
    <n v="4093"/>
    <n v="95"/>
    <n v="3"/>
    <n v="1690.7"/>
    <n v="479.76"/>
    <n v="2170.46"/>
    <x v="1"/>
    <n v="0"/>
    <n v="88.9"/>
    <n v="455"/>
    <n v="470"/>
  </r>
  <r>
    <s v="O1000519"/>
    <s v="C8866"/>
    <x v="445"/>
    <d v="2024-03-15T00:00:00"/>
    <x v="2"/>
    <x v="3"/>
    <x v="3"/>
    <s v="Toronto"/>
    <s v="OFF-AP-10002118"/>
    <s v="Office Supplies"/>
    <s v="Appliances"/>
    <s v="1.7 Cubic Foot Compact &quot;Cube&quot; Office Refrigerators"/>
    <n v="137.11000000000001"/>
    <n v="7"/>
    <s v="S115"/>
    <x v="0"/>
    <s v="W7"/>
    <x v="3"/>
    <s v="FedEx"/>
    <s v="Berlin-Toronto"/>
    <n v="4524"/>
    <n v="242"/>
    <n v="1"/>
    <n v="879.67"/>
    <n v="420.16"/>
    <n v="1299.83"/>
    <x v="1"/>
    <n v="0"/>
    <n v="72.59"/>
    <n v="318"/>
    <n v="340"/>
  </r>
  <r>
    <s v="O1000520"/>
    <s v="C8841"/>
    <x v="446"/>
    <d v="2022-02-06T00:00:00"/>
    <x v="1"/>
    <x v="3"/>
    <x v="4"/>
    <s v="Berlin"/>
    <s v="OFF-AR-10001246"/>
    <s v="Office Supplies"/>
    <s v="Art"/>
    <s v="Newell 317"/>
    <n v="46.79"/>
    <n v="11"/>
    <s v="S326"/>
    <x v="1"/>
    <s v="W9"/>
    <x v="2"/>
    <s v="Maersk"/>
    <s v="Berlin-New York"/>
    <n v="4661"/>
    <n v="345"/>
    <n v="28"/>
    <n v="1396.91"/>
    <n v="190.68"/>
    <n v="1587.59"/>
    <x v="1"/>
    <n v="0"/>
    <n v="84.07"/>
    <n v="309"/>
    <n v="296"/>
  </r>
  <r>
    <s v="O1000521"/>
    <s v="C9622"/>
    <x v="447"/>
    <d v="2024-05-20T00:00:00"/>
    <x v="1"/>
    <x v="2"/>
    <x v="3"/>
    <s v="New York"/>
    <s v="OFF-BI-10000829"/>
    <s v="Office Supplies"/>
    <s v="Binders"/>
    <s v="Avery Non-Stick Binders"/>
    <n v="68.64"/>
    <n v="73"/>
    <s v="S360"/>
    <x v="1"/>
    <s v="W13"/>
    <x v="2"/>
    <s v="FedEx"/>
    <s v="New York-Mumbai"/>
    <n v="216"/>
    <n v="242"/>
    <n v="15"/>
    <n v="464.35"/>
    <n v="121.07"/>
    <n v="585.42000000000007"/>
    <x v="1"/>
    <n v="0"/>
    <n v="80.599999999999994"/>
    <n v="353"/>
    <n v="348"/>
  </r>
  <r>
    <s v="O1000522"/>
    <s v="C3095"/>
    <x v="448"/>
    <d v="2020-03-15T00:00:00"/>
    <x v="1"/>
    <x v="2"/>
    <x v="1"/>
    <s v="São Paulo"/>
    <s v="OFF-BI-10000848"/>
    <s v="Office Supplies"/>
    <s v="Binders"/>
    <s v="Angle-D Ring Binders"/>
    <n v="410.55"/>
    <n v="87"/>
    <s v="S146"/>
    <x v="3"/>
    <s v="W18"/>
    <x v="3"/>
    <s v="DHL"/>
    <s v="São Paulo-Cape Town"/>
    <n v="3231"/>
    <n v="267"/>
    <n v="29"/>
    <n v="673.93"/>
    <n v="321"/>
    <n v="994.93"/>
    <x v="1"/>
    <n v="0"/>
    <n v="89.43"/>
    <n v="244"/>
    <n v="264"/>
  </r>
  <r>
    <s v="O1000523"/>
    <s v="C3821"/>
    <x v="449"/>
    <d v="2021-09-02T00:00:00"/>
    <x v="1"/>
    <x v="4"/>
    <x v="5"/>
    <s v="São Paulo"/>
    <s v="OFF-PA-10003177"/>
    <s v="Office Supplies"/>
    <s v="Paper"/>
    <s v="Xerox 1999"/>
    <n v="248.01"/>
    <n v="93"/>
    <s v="S119"/>
    <x v="4"/>
    <s v="W2"/>
    <x v="1"/>
    <s v="UPS"/>
    <s v="Berlin-Beijing"/>
    <n v="4709"/>
    <n v="402"/>
    <n v="2"/>
    <n v="1913.58"/>
    <n v="261.77"/>
    <n v="2175.35"/>
    <x v="1"/>
    <n v="0"/>
    <n v="79.900000000000006"/>
    <n v="490"/>
    <n v="482"/>
  </r>
  <r>
    <s v="O1000524"/>
    <s v="C1115"/>
    <x v="450"/>
    <d v="2020-05-22T00:00:00"/>
    <x v="2"/>
    <x v="2"/>
    <x v="2"/>
    <s v="New York"/>
    <s v="OFF-SU-10003002"/>
    <s v="Office Supplies"/>
    <s v="Supplies"/>
    <s v="Letter Slitter"/>
    <n v="224.71"/>
    <n v="40"/>
    <s v="S333"/>
    <x v="2"/>
    <s v="W8"/>
    <x v="2"/>
    <s v="FedEx"/>
    <s v="São Paulo-São Paulo"/>
    <n v="3512"/>
    <n v="448"/>
    <n v="8"/>
    <n v="628.76"/>
    <n v="381.04"/>
    <n v="1009.8"/>
    <x v="1"/>
    <n v="0"/>
    <n v="81.87"/>
    <n v="254"/>
    <n v="301"/>
  </r>
  <r>
    <s v="O1000525"/>
    <s v="C6335"/>
    <x v="451"/>
    <d v="2024-05-01T00:00:00"/>
    <x v="1"/>
    <x v="1"/>
    <x v="0"/>
    <s v="New York"/>
    <s v="TEC-PH-10003092"/>
    <s v="Technology"/>
    <s v="Phones"/>
    <s v="Motorola L804"/>
    <n v="319.88"/>
    <n v="43"/>
    <s v="S629"/>
    <x v="3"/>
    <s v="W15"/>
    <x v="1"/>
    <s v="Maersk"/>
    <s v="Mumbai-São Paulo"/>
    <n v="4374"/>
    <n v="70"/>
    <n v="10"/>
    <n v="1546.92"/>
    <n v="410.16"/>
    <n v="1957.08"/>
    <x v="1"/>
    <n v="0"/>
    <n v="70.62"/>
    <n v="77"/>
    <n v="61"/>
  </r>
  <r>
    <s v="O1000526"/>
    <s v="C9574"/>
    <x v="452"/>
    <d v="2021-05-21T00:00:00"/>
    <x v="2"/>
    <x v="3"/>
    <x v="0"/>
    <s v="Berlin"/>
    <s v="OFF-PA-10002319"/>
    <s v="Office Supplies"/>
    <s v="Paper"/>
    <s v="Xerox 1944"/>
    <n v="386.09"/>
    <n v="92"/>
    <s v="S129"/>
    <x v="0"/>
    <s v="W9"/>
    <x v="2"/>
    <s v="DHL"/>
    <s v="Berlin-London"/>
    <n v="3737"/>
    <n v="55"/>
    <n v="19"/>
    <n v="407.74"/>
    <n v="78.53"/>
    <n v="486.27"/>
    <x v="1"/>
    <n v="0"/>
    <n v="81.290000000000006"/>
    <n v="184"/>
    <n v="229"/>
  </r>
  <r>
    <s v="O1000527"/>
    <s v="C7710"/>
    <x v="453"/>
    <d v="2021-10-05T00:00:00"/>
    <x v="0"/>
    <x v="2"/>
    <x v="2"/>
    <s v="Cape Town"/>
    <s v="FUR-FU-10002553"/>
    <s v="Furniture"/>
    <s v="Furnishings"/>
    <s v="Electrix Incandescent Magnifying Lamp, Black"/>
    <n v="481.24"/>
    <n v="29"/>
    <s v="S579"/>
    <x v="4"/>
    <s v="W15"/>
    <x v="0"/>
    <s v="FedEx"/>
    <s v="New York-Mumbai"/>
    <n v="3630"/>
    <n v="243"/>
    <n v="7"/>
    <n v="1066.9100000000001"/>
    <n v="325.58"/>
    <n v="1392.49"/>
    <x v="1"/>
    <n v="0"/>
    <n v="98.37"/>
    <n v="198"/>
    <n v="159"/>
  </r>
  <r>
    <s v="O1000528"/>
    <s v="C3334"/>
    <x v="454"/>
    <d v="2021-12-20T00:00:00"/>
    <x v="2"/>
    <x v="1"/>
    <x v="6"/>
    <s v="London"/>
    <s v="OFF-AP-10001394"/>
    <s v="Office Supplies"/>
    <s v="Appliances"/>
    <s v="Harmony Air Purifier"/>
    <n v="41.7"/>
    <n v="93"/>
    <s v="S833"/>
    <x v="1"/>
    <s v="W3"/>
    <x v="1"/>
    <s v="Maersk"/>
    <s v="São Paulo-Mumbai"/>
    <n v="3258"/>
    <n v="64"/>
    <n v="14"/>
    <n v="1318.52"/>
    <n v="464.98"/>
    <n v="1783.5"/>
    <x v="1"/>
    <n v="0"/>
    <n v="81.150000000000006"/>
    <n v="213"/>
    <n v="180"/>
  </r>
  <r>
    <s v="O1000529"/>
    <s v="C9738"/>
    <x v="455"/>
    <d v="2024-06-17T00:00:00"/>
    <x v="1"/>
    <x v="3"/>
    <x v="6"/>
    <s v="London"/>
    <s v="OFF-PA-10001471"/>
    <s v="Office Supplies"/>
    <s v="Paper"/>
    <s v="Strathmore Photo Frame Cards"/>
    <n v="178.03"/>
    <n v="57"/>
    <s v="S839"/>
    <x v="0"/>
    <s v="W31"/>
    <x v="0"/>
    <s v="FedEx"/>
    <s v="London-Mumbai"/>
    <n v="859"/>
    <n v="414"/>
    <n v="16"/>
    <n v="945.05"/>
    <n v="257.05"/>
    <n v="1202.0999999999999"/>
    <x v="1"/>
    <n v="0"/>
    <n v="98.5"/>
    <n v="391"/>
    <n v="439"/>
  </r>
  <r>
    <s v="O1000530"/>
    <s v="C2165"/>
    <x v="456"/>
    <d v="2020-10-24T00:00:00"/>
    <x v="0"/>
    <x v="4"/>
    <x v="4"/>
    <s v="London"/>
    <s v="FUR-BO-10000362"/>
    <s v="Furniture"/>
    <s v="Bookcases"/>
    <s v="Sauder Inglewood Library Bookcases"/>
    <n v="249.47"/>
    <n v="90"/>
    <s v="S144"/>
    <x v="4"/>
    <s v="W24"/>
    <x v="3"/>
    <s v="Maersk"/>
    <s v="São Paulo-São Paulo"/>
    <n v="1496"/>
    <n v="486"/>
    <n v="6"/>
    <n v="1092.22"/>
    <n v="289.64999999999998"/>
    <n v="1381.87"/>
    <x v="1"/>
    <n v="0"/>
    <n v="98.87"/>
    <n v="468"/>
    <n v="509"/>
  </r>
  <r>
    <s v="O1000531"/>
    <s v="C9697"/>
    <x v="457"/>
    <d v="2024-08-02T00:00:00"/>
    <x v="2"/>
    <x v="0"/>
    <x v="2"/>
    <s v="Toronto"/>
    <s v="FUR-CH-10000988"/>
    <s v="Furniture"/>
    <s v="Chairs"/>
    <s v="Hon Olson Stacker Stools"/>
    <n v="277.82"/>
    <n v="79"/>
    <s v="S595"/>
    <x v="0"/>
    <s v="W21"/>
    <x v="1"/>
    <s v="FedEx"/>
    <s v="Mumbai-Cape Town"/>
    <n v="4467"/>
    <n v="276"/>
    <n v="20"/>
    <n v="120.24"/>
    <n v="243.77"/>
    <n v="364.01"/>
    <x v="1"/>
    <n v="0"/>
    <n v="78.260000000000005"/>
    <n v="222"/>
    <n v="213"/>
  </r>
  <r>
    <s v="O1000532"/>
    <s v="C8851"/>
    <x v="458"/>
    <d v="2024-10-28T00:00:00"/>
    <x v="2"/>
    <x v="2"/>
    <x v="2"/>
    <s v="Berlin"/>
    <s v="FUR-CH-10003981"/>
    <s v="Furniture"/>
    <s v="Chairs"/>
    <s v="Global Commerce Series Low-Back Swivel/Tilt Chairs"/>
    <n v="364.94"/>
    <n v="93"/>
    <s v="S762"/>
    <x v="1"/>
    <s v="W14"/>
    <x v="2"/>
    <s v="FedEx"/>
    <s v="Berlin-Mumbai"/>
    <n v="4825"/>
    <n v="445"/>
    <n v="21"/>
    <n v="639.24"/>
    <n v="467.98"/>
    <n v="1107.22"/>
    <x v="1"/>
    <n v="0"/>
    <n v="96.7"/>
    <n v="495"/>
    <n v="506"/>
  </r>
  <r>
    <s v="O1000533"/>
    <s v="C6747"/>
    <x v="459"/>
    <d v="2024-09-03T00:00:00"/>
    <x v="2"/>
    <x v="2"/>
    <x v="1"/>
    <s v="Berlin"/>
    <s v="OFF-AR-10000716"/>
    <s v="Office Supplies"/>
    <s v="Art"/>
    <s v="DIXON Ticonderoga Erasable Checking Pencils"/>
    <n v="156.07"/>
    <n v="23"/>
    <s v="S753"/>
    <x v="2"/>
    <s v="W41"/>
    <x v="1"/>
    <s v="BlueDart"/>
    <s v="Cape Town-Berlin"/>
    <n v="151"/>
    <n v="206"/>
    <n v="9"/>
    <n v="392.77"/>
    <n v="109.12"/>
    <n v="501.89"/>
    <x v="1"/>
    <n v="0"/>
    <n v="74.42"/>
    <n v="437"/>
    <n v="478"/>
  </r>
  <r>
    <s v="O1000534"/>
    <s v="C6044"/>
    <x v="460"/>
    <d v="2024-06-30T00:00:00"/>
    <x v="0"/>
    <x v="0"/>
    <x v="5"/>
    <s v="New York"/>
    <s v="OFF-PA-10002893"/>
    <s v="Office Supplies"/>
    <s v="Paper"/>
    <s v="Wirebound Service Call Books, 5 1/2&quot; x 4&quot;"/>
    <n v="155.88"/>
    <n v="60"/>
    <s v="S261"/>
    <x v="1"/>
    <s v="W9"/>
    <x v="0"/>
    <s v="FedEx"/>
    <s v="Toronto-London"/>
    <n v="422"/>
    <n v="401"/>
    <n v="26"/>
    <n v="573.34"/>
    <n v="147.33000000000001"/>
    <n v="720.67000000000007"/>
    <x v="1"/>
    <n v="0"/>
    <n v="89.32"/>
    <n v="452"/>
    <n v="433"/>
  </r>
  <r>
    <s v="O1000535"/>
    <s v="C5033"/>
    <x v="281"/>
    <d v="2022-08-24T00:00:00"/>
    <x v="2"/>
    <x v="2"/>
    <x v="1"/>
    <s v="London"/>
    <s v="OFF-ST-10001837"/>
    <s v="Office Supplies"/>
    <s v="Storage"/>
    <s v="SAFCO Mobile Desk Side File, Wire Frame"/>
    <n v="129.77000000000001"/>
    <n v="56"/>
    <s v="S829"/>
    <x v="3"/>
    <s v="W13"/>
    <x v="1"/>
    <s v="UPS"/>
    <s v="Berlin-Berlin"/>
    <n v="58"/>
    <n v="110"/>
    <n v="16"/>
    <n v="229.33"/>
    <n v="205.34"/>
    <n v="434.67"/>
    <x v="1"/>
    <n v="0"/>
    <n v="76.48"/>
    <n v="301"/>
    <n v="315"/>
  </r>
  <r>
    <s v="O1000536"/>
    <s v="C9931"/>
    <x v="461"/>
    <d v="2024-12-14T00:00:00"/>
    <x v="2"/>
    <x v="4"/>
    <x v="5"/>
    <s v="London"/>
    <s v="TEC-PH-10000441"/>
    <s v="Technology"/>
    <s v="Phones"/>
    <s v="VTech DS6151"/>
    <n v="187.55"/>
    <n v="80"/>
    <s v="S872"/>
    <x v="4"/>
    <s v="W4"/>
    <x v="3"/>
    <s v="UPS"/>
    <s v="London-Cape Town"/>
    <n v="339"/>
    <n v="80"/>
    <n v="6"/>
    <n v="1498.36"/>
    <n v="30.38"/>
    <n v="1528.74"/>
    <x v="1"/>
    <n v="0"/>
    <n v="71.95"/>
    <n v="366"/>
    <n v="375"/>
  </r>
  <r>
    <s v="O1000537"/>
    <s v="C7547"/>
    <x v="462"/>
    <d v="2024-10-28T00:00:00"/>
    <x v="2"/>
    <x v="4"/>
    <x v="3"/>
    <s v="Toronto"/>
    <s v="TEC-PH-10002726"/>
    <s v="Technology"/>
    <s v="Phones"/>
    <s v="netTALK DUO VoIP Telephone Service"/>
    <n v="191.76"/>
    <n v="91"/>
    <s v="S180"/>
    <x v="4"/>
    <s v="W17"/>
    <x v="1"/>
    <s v="FedEx"/>
    <s v="Toronto-Berlin"/>
    <n v="1014"/>
    <n v="91"/>
    <n v="7"/>
    <n v="762.61"/>
    <n v="354.78"/>
    <n v="1117.3900000000001"/>
    <x v="1"/>
    <n v="0"/>
    <n v="95.74"/>
    <n v="90"/>
    <n v="119"/>
  </r>
  <r>
    <s v="O1000538"/>
    <s v="C8466"/>
    <x v="387"/>
    <d v="2020-06-30T00:00:00"/>
    <x v="2"/>
    <x v="1"/>
    <x v="3"/>
    <s v="Mumbai"/>
    <s v="FUR-TA-10002607"/>
    <s v="Furniture"/>
    <s v="Tables"/>
    <s v="KI Conference Tables"/>
    <n v="214.07"/>
    <n v="58"/>
    <s v="S667"/>
    <x v="0"/>
    <s v="W26"/>
    <x v="0"/>
    <s v="UPS"/>
    <s v="Berlin-Mumbai"/>
    <n v="850"/>
    <n v="189"/>
    <n v="5"/>
    <n v="1949.72"/>
    <n v="248.79"/>
    <n v="2198.5100000000002"/>
    <x v="1"/>
    <n v="0"/>
    <n v="90.25"/>
    <n v="67"/>
    <n v="31"/>
  </r>
  <r>
    <s v="O1000539"/>
    <s v="C6907"/>
    <x v="178"/>
    <d v="2020-07-05T00:00:00"/>
    <x v="1"/>
    <x v="4"/>
    <x v="3"/>
    <s v="Cape Town"/>
    <s v="OFF-BI-10004139"/>
    <s v="Office Supplies"/>
    <s v="Binders"/>
    <s v="Fellowes Presentation Covers for Comb Binding Machines"/>
    <n v="258.83999999999997"/>
    <n v="42"/>
    <s v="S437"/>
    <x v="3"/>
    <s v="W7"/>
    <x v="0"/>
    <s v="BlueDart"/>
    <s v="Berlin-Beijing"/>
    <n v="2769"/>
    <n v="329"/>
    <n v="24"/>
    <n v="1207.3900000000001"/>
    <n v="146.71"/>
    <n v="1354.1"/>
    <x v="1"/>
    <n v="0"/>
    <n v="84.24"/>
    <n v="154"/>
    <n v="167"/>
  </r>
  <r>
    <s v="O1000540"/>
    <s v="C4388"/>
    <x v="463"/>
    <d v="2023-04-12T00:00:00"/>
    <x v="0"/>
    <x v="3"/>
    <x v="1"/>
    <s v="São Paulo"/>
    <s v="OFF-ST-10001809"/>
    <s v="Office Supplies"/>
    <s v="Storage"/>
    <s v="Fellowes Officeware Wire Shelving"/>
    <n v="326.8"/>
    <n v="34"/>
    <s v="S778"/>
    <x v="2"/>
    <s v="W27"/>
    <x v="0"/>
    <s v="BlueDart"/>
    <s v="Berlin-Beijing"/>
    <n v="429"/>
    <n v="93"/>
    <n v="22"/>
    <n v="220.34"/>
    <n v="188.26"/>
    <n v="408.6"/>
    <x v="1"/>
    <n v="0"/>
    <n v="82.24"/>
    <n v="198"/>
    <n v="193"/>
  </r>
  <r>
    <s v="O1000541"/>
    <s v="C1162"/>
    <x v="464"/>
    <d v="2024-01-30T00:00:00"/>
    <x v="2"/>
    <x v="0"/>
    <x v="0"/>
    <s v="New York"/>
    <s v="TEC-AC-10001606"/>
    <s v="Technology"/>
    <s v="Accessories"/>
    <s v="Logitech Wireless Performance Mouse MX for PC and Mac"/>
    <n v="198.29"/>
    <n v="26"/>
    <s v="S820"/>
    <x v="2"/>
    <s v="W27"/>
    <x v="0"/>
    <s v="Maersk"/>
    <s v="New York-Toronto"/>
    <n v="1628"/>
    <n v="111"/>
    <n v="1"/>
    <n v="699.5"/>
    <n v="280.06"/>
    <n v="979.56"/>
    <x v="1"/>
    <n v="0"/>
    <n v="78.61"/>
    <n v="142"/>
    <n v="110"/>
  </r>
  <r>
    <s v="O1000542"/>
    <s v="C1067"/>
    <x v="465"/>
    <d v="2023-10-26T00:00:00"/>
    <x v="1"/>
    <x v="4"/>
    <x v="7"/>
    <s v="Cape Town"/>
    <s v="TEC-PH-10000486"/>
    <s v="Technology"/>
    <s v="Phones"/>
    <s v="Plantronics HL10 Handset Lifter"/>
    <n v="482.38"/>
    <n v="65"/>
    <s v="S119"/>
    <x v="2"/>
    <s v="W7"/>
    <x v="3"/>
    <s v="DHL"/>
    <s v="New York-Berlin"/>
    <n v="379"/>
    <n v="166"/>
    <n v="22"/>
    <n v="1713.32"/>
    <n v="269.02999999999997"/>
    <n v="1982.35"/>
    <x v="1"/>
    <n v="0"/>
    <n v="78.75"/>
    <n v="314"/>
    <n v="300"/>
  </r>
  <r>
    <s v="O1000543"/>
    <s v="C4351"/>
    <x v="466"/>
    <d v="2022-12-09T00:00:00"/>
    <x v="2"/>
    <x v="0"/>
    <x v="2"/>
    <s v="London"/>
    <s v="OFF-BI-10003876"/>
    <s v="Office Supplies"/>
    <s v="Binders"/>
    <s v="Green Canvas Binder for 8-1/2&quot; x 14&quot; Sheets"/>
    <n v="446.43"/>
    <n v="50"/>
    <s v="S874"/>
    <x v="2"/>
    <s v="W47"/>
    <x v="2"/>
    <s v="BlueDart"/>
    <s v="Beijing-Cape Town"/>
    <n v="3110"/>
    <n v="68"/>
    <n v="19"/>
    <n v="1951.95"/>
    <n v="197.56"/>
    <n v="2149.5100000000002"/>
    <x v="1"/>
    <n v="0"/>
    <n v="80.91"/>
    <n v="413"/>
    <n v="381"/>
  </r>
  <r>
    <s v="O1000544"/>
    <s v="C5229"/>
    <x v="467"/>
    <d v="2023-09-24T00:00:00"/>
    <x v="2"/>
    <x v="1"/>
    <x v="6"/>
    <s v="Beijing"/>
    <s v="TEC-AC-10004877"/>
    <s v="Technology"/>
    <s v="Accessories"/>
    <s v="Imation 30456 USB Flash Drive 8GB"/>
    <n v="452.17"/>
    <n v="73"/>
    <s v="S357"/>
    <x v="1"/>
    <s v="W10"/>
    <x v="1"/>
    <s v="DHL"/>
    <s v="Berlin-Toronto"/>
    <n v="711"/>
    <n v="331"/>
    <n v="22"/>
    <n v="1740.85"/>
    <n v="495.8"/>
    <n v="2236.65"/>
    <x v="1"/>
    <n v="0"/>
    <n v="86.27"/>
    <n v="406"/>
    <n v="394"/>
  </r>
  <r>
    <s v="O1000545"/>
    <s v="C8460"/>
    <x v="468"/>
    <d v="2022-03-04T00:00:00"/>
    <x v="2"/>
    <x v="2"/>
    <x v="4"/>
    <s v="Berlin"/>
    <s v="TEC-PH-10001552"/>
    <s v="Technology"/>
    <s v="Phones"/>
    <s v="I Need's 3d Hello Kitty Hybrid Silicone Case Cover for HTC One X 4g with 3d Hello Kitty Stylus Pen Green/pink"/>
    <n v="179.06"/>
    <n v="30"/>
    <s v="S791"/>
    <x v="3"/>
    <s v="W15"/>
    <x v="0"/>
    <s v="FedEx"/>
    <s v="Mumbai-New York"/>
    <n v="1093"/>
    <n v="276"/>
    <n v="22"/>
    <n v="224.17"/>
    <n v="405.88"/>
    <n v="630.04999999999995"/>
    <x v="1"/>
    <n v="0"/>
    <n v="74.260000000000005"/>
    <n v="289"/>
    <n v="301"/>
  </r>
  <r>
    <s v="O1000546"/>
    <s v="C3655"/>
    <x v="137"/>
    <d v="2020-02-20T00:00:00"/>
    <x v="2"/>
    <x v="2"/>
    <x v="7"/>
    <s v="Mumbai"/>
    <s v="FUR-TA-10001539"/>
    <s v="Furniture"/>
    <s v="Tables"/>
    <s v="Chromcraft Rectangular Conference Tables"/>
    <n v="338.99"/>
    <n v="20"/>
    <s v="S806"/>
    <x v="4"/>
    <s v="W34"/>
    <x v="3"/>
    <s v="BlueDart"/>
    <s v="London-São Paulo"/>
    <n v="3056"/>
    <n v="398"/>
    <n v="16"/>
    <n v="859.76"/>
    <n v="301.24"/>
    <n v="1161"/>
    <x v="1"/>
    <n v="0"/>
    <n v="90.61"/>
    <n v="460"/>
    <n v="418"/>
  </r>
  <r>
    <s v="O1000547"/>
    <s v="C5816"/>
    <x v="430"/>
    <d v="2020-07-20T00:00:00"/>
    <x v="2"/>
    <x v="1"/>
    <x v="4"/>
    <s v="Cape Town"/>
    <s v="OFF-AP-10001005"/>
    <s v="Office Supplies"/>
    <s v="Appliances"/>
    <s v="Honeywell Quietcare HEPA Air Cleaner"/>
    <n v="230.06"/>
    <n v="11"/>
    <s v="S342"/>
    <x v="0"/>
    <s v="W42"/>
    <x v="2"/>
    <s v="BlueDart"/>
    <s v="New York-Mumbai"/>
    <n v="967"/>
    <n v="226"/>
    <n v="24"/>
    <n v="1764"/>
    <n v="326.26"/>
    <n v="2090.2600000000002"/>
    <x v="0"/>
    <n v="5"/>
    <n v="80.55"/>
    <n v="103"/>
    <n v="108"/>
  </r>
  <r>
    <s v="O1000548"/>
    <s v="C9032"/>
    <x v="469"/>
    <d v="2020-07-31T00:00:00"/>
    <x v="0"/>
    <x v="1"/>
    <x v="7"/>
    <s v="Mumbai"/>
    <s v="OFF-BI-10003684"/>
    <s v="Office Supplies"/>
    <s v="Binders"/>
    <s v="Wilson Jones Legal Size Ring Binders"/>
    <n v="165.04"/>
    <n v="42"/>
    <s v="S917"/>
    <x v="2"/>
    <s v="W12"/>
    <x v="3"/>
    <s v="DHL"/>
    <s v="London-Toronto"/>
    <n v="1226"/>
    <n v="195"/>
    <n v="25"/>
    <n v="841.13"/>
    <n v="159.83000000000001"/>
    <n v="1000.96"/>
    <x v="0"/>
    <n v="4"/>
    <n v="86.23"/>
    <n v="452"/>
    <n v="411"/>
  </r>
  <r>
    <s v="O1000549"/>
    <s v="C7271"/>
    <x v="414"/>
    <d v="2023-11-18T00:00:00"/>
    <x v="2"/>
    <x v="0"/>
    <x v="5"/>
    <s v="Cape Town"/>
    <s v="OFF-BI-10004233"/>
    <s v="Office Supplies"/>
    <s v="Binders"/>
    <s v="GBC Pre-Punched Binding Paper, Plastic, White, 8-1/2&quot; x 11&quot;"/>
    <n v="106"/>
    <n v="82"/>
    <s v="S544"/>
    <x v="1"/>
    <s v="W44"/>
    <x v="1"/>
    <s v="UPS"/>
    <s v="Cape Town-São Paulo"/>
    <n v="1287"/>
    <n v="91"/>
    <n v="21"/>
    <n v="1624.3"/>
    <n v="88.88"/>
    <n v="1713.18"/>
    <x v="1"/>
    <n v="0"/>
    <n v="80.92"/>
    <n v="198"/>
    <n v="195"/>
  </r>
  <r>
    <s v="O1000550"/>
    <s v="C9215"/>
    <x v="470"/>
    <d v="2024-04-25T00:00:00"/>
    <x v="2"/>
    <x v="0"/>
    <x v="5"/>
    <s v="Beijing"/>
    <s v="OFF-PA-10001622"/>
    <s v="Office Supplies"/>
    <s v="Paper"/>
    <s v="Ampad Poly Cover Wirebound Steno Book, 6&quot; x 9&quot; Assorted Colors, Gregg Ruled"/>
    <n v="258.43"/>
    <n v="52"/>
    <s v="S281"/>
    <x v="3"/>
    <s v="W40"/>
    <x v="2"/>
    <s v="BlueDart"/>
    <s v="Toronto-New York"/>
    <n v="4855"/>
    <n v="394"/>
    <n v="24"/>
    <n v="1675.21"/>
    <n v="201.77"/>
    <n v="1876.98"/>
    <x v="1"/>
    <n v="0"/>
    <n v="84.2"/>
    <n v="474"/>
    <n v="464"/>
  </r>
  <r>
    <s v="O1000551"/>
    <s v="C3461"/>
    <x v="471"/>
    <d v="2023-05-26T00:00:00"/>
    <x v="1"/>
    <x v="0"/>
    <x v="5"/>
    <s v="New York"/>
    <s v="OFF-PA-10001712"/>
    <s v="Office Supplies"/>
    <s v="Paper"/>
    <s v="Xerox 1948"/>
    <n v="413.17"/>
    <n v="4"/>
    <s v="S535"/>
    <x v="0"/>
    <s v="W39"/>
    <x v="1"/>
    <s v="BlueDart"/>
    <s v="Toronto-São Paulo"/>
    <n v="2113"/>
    <n v="282"/>
    <n v="19"/>
    <n v="1506.75"/>
    <n v="15.99"/>
    <n v="1522.74"/>
    <x v="1"/>
    <n v="0"/>
    <n v="77.23"/>
    <n v="128"/>
    <n v="166"/>
  </r>
  <r>
    <s v="O1000552"/>
    <s v="C9250"/>
    <x v="472"/>
    <d v="2020-10-15T00:00:00"/>
    <x v="2"/>
    <x v="3"/>
    <x v="3"/>
    <s v="London"/>
    <s v="TEC-CO-10004202"/>
    <s v="Technology"/>
    <s v="Copiers"/>
    <s v="Brother DCP1000 Digital 3 in 1 Multifunction Machine"/>
    <n v="361.91"/>
    <n v="91"/>
    <s v="S157"/>
    <x v="1"/>
    <s v="W5"/>
    <x v="0"/>
    <s v="Maersk"/>
    <s v="Mumbai-Cape Town"/>
    <n v="1530"/>
    <n v="228"/>
    <n v="24"/>
    <n v="1043.96"/>
    <n v="490.92"/>
    <n v="1534.88"/>
    <x v="1"/>
    <n v="0"/>
    <n v="86.63"/>
    <n v="166"/>
    <n v="170"/>
  </r>
  <r>
    <s v="O1000553"/>
    <s v="C8471"/>
    <x v="363"/>
    <d v="2021-08-18T00:00:00"/>
    <x v="2"/>
    <x v="0"/>
    <x v="1"/>
    <s v="Beijing"/>
    <s v="TEC-PH-10003505"/>
    <s v="Technology"/>
    <s v="Phones"/>
    <s v="Geemarc AmpliPOWER60"/>
    <n v="403.8"/>
    <n v="57"/>
    <s v="S963"/>
    <x v="0"/>
    <s v="W21"/>
    <x v="3"/>
    <s v="Maersk"/>
    <s v="Toronto-Beijing"/>
    <n v="353"/>
    <n v="475"/>
    <n v="12"/>
    <n v="1359.5"/>
    <n v="87.62"/>
    <n v="1447.12"/>
    <x v="1"/>
    <n v="0"/>
    <n v="76.08"/>
    <n v="432"/>
    <n v="397"/>
  </r>
  <r>
    <s v="O1000554"/>
    <s v="C4521"/>
    <x v="325"/>
    <d v="2020-07-15T00:00:00"/>
    <x v="2"/>
    <x v="1"/>
    <x v="0"/>
    <s v="São Paulo"/>
    <s v="TEC-PH-10002538"/>
    <s v="Technology"/>
    <s v="Phones"/>
    <s v="Grandstream GXP1160 VoIP phone"/>
    <n v="383.92"/>
    <n v="13"/>
    <s v="S960"/>
    <x v="4"/>
    <s v="W30"/>
    <x v="2"/>
    <s v="Maersk"/>
    <s v="London-New York"/>
    <n v="244"/>
    <n v="432"/>
    <n v="25"/>
    <n v="1902.09"/>
    <n v="289.12"/>
    <n v="2191.21"/>
    <x v="1"/>
    <n v="0"/>
    <n v="99.83"/>
    <n v="169"/>
    <n v="166"/>
  </r>
  <r>
    <s v="O1000555"/>
    <s v="C1741"/>
    <x v="470"/>
    <d v="2021-07-03T00:00:00"/>
    <x v="2"/>
    <x v="0"/>
    <x v="1"/>
    <s v="London"/>
    <s v="TEC-PH-10002680"/>
    <s v="Technology"/>
    <s v="Phones"/>
    <s v="Samsung Galaxy Note 3"/>
    <n v="457.53"/>
    <n v="94"/>
    <s v="S694"/>
    <x v="2"/>
    <s v="W36"/>
    <x v="3"/>
    <s v="FedEx"/>
    <s v="Cape Town-London"/>
    <n v="1578"/>
    <n v="399"/>
    <n v="1"/>
    <n v="1439.19"/>
    <n v="473.67"/>
    <n v="1912.86"/>
    <x v="0"/>
    <n v="13"/>
    <n v="99.46"/>
    <n v="123"/>
    <n v="73"/>
  </r>
  <r>
    <s v="O1000556"/>
    <s v="C9175"/>
    <x v="473"/>
    <d v="2021-07-28T00:00:00"/>
    <x v="1"/>
    <x v="0"/>
    <x v="2"/>
    <s v="Cape Town"/>
    <s v="FUR-CH-10004063"/>
    <s v="Furniture"/>
    <s v="Chairs"/>
    <s v="Global Deluxe High-Back Manager's Chair"/>
    <n v="150.77000000000001"/>
    <n v="58"/>
    <s v="S746"/>
    <x v="1"/>
    <s v="W10"/>
    <x v="2"/>
    <s v="UPS"/>
    <s v="Toronto-Mumbai"/>
    <n v="3416"/>
    <n v="447"/>
    <n v="16"/>
    <n v="147.58000000000001"/>
    <n v="229.81"/>
    <n v="377.39"/>
    <x v="1"/>
    <n v="0"/>
    <n v="89.05"/>
    <n v="476"/>
    <n v="430"/>
  </r>
  <r>
    <s v="O1000557"/>
    <s v="C9826"/>
    <x v="474"/>
    <d v="2023-04-02T00:00:00"/>
    <x v="1"/>
    <x v="2"/>
    <x v="2"/>
    <s v="São Paulo"/>
    <s v="FUR-FU-10001935"/>
    <s v="Furniture"/>
    <s v="Furnishings"/>
    <s v="3M Hangers With Command Adhesive"/>
    <n v="285.98"/>
    <n v="39"/>
    <s v="S563"/>
    <x v="0"/>
    <s v="W41"/>
    <x v="0"/>
    <s v="DHL"/>
    <s v="New York-Beijing"/>
    <n v="1730"/>
    <n v="469"/>
    <n v="10"/>
    <n v="1217.29"/>
    <n v="265.64999999999998"/>
    <n v="1482.94"/>
    <x v="1"/>
    <n v="0"/>
    <n v="79.63"/>
    <n v="472"/>
    <n v="512"/>
  </r>
  <r>
    <s v="O1000558"/>
    <s v="C5052"/>
    <x v="475"/>
    <d v="2022-04-11T00:00:00"/>
    <x v="2"/>
    <x v="2"/>
    <x v="6"/>
    <s v="Berlin"/>
    <s v="OFF-AP-10002945"/>
    <s v="Office Supplies"/>
    <s v="Appliances"/>
    <s v="Honeywell Enviracaire Portable HEPA Air Cleaner for 17' x 22' Room"/>
    <n v="229.18"/>
    <n v="40"/>
    <s v="S949"/>
    <x v="4"/>
    <s v="W10"/>
    <x v="1"/>
    <s v="BlueDart"/>
    <s v="Toronto-New York"/>
    <n v="1472"/>
    <n v="331"/>
    <n v="24"/>
    <n v="535.30999999999995"/>
    <n v="42.4"/>
    <n v="577.70999999999992"/>
    <x v="1"/>
    <n v="0"/>
    <n v="83.43"/>
    <n v="101"/>
    <n v="78"/>
  </r>
  <r>
    <s v="O1000559"/>
    <s v="C6332"/>
    <x v="476"/>
    <d v="2022-09-15T00:00:00"/>
    <x v="1"/>
    <x v="4"/>
    <x v="2"/>
    <s v="New York"/>
    <s v="OFF-AP-10004859"/>
    <s v="Office Supplies"/>
    <s v="Appliances"/>
    <s v="Acco 6 Outlet Guardian Premium Surge Suppressor"/>
    <n v="327.89"/>
    <n v="28"/>
    <s v="S129"/>
    <x v="4"/>
    <s v="W31"/>
    <x v="0"/>
    <s v="Maersk"/>
    <s v="Berlin-Toronto"/>
    <n v="2172"/>
    <n v="142"/>
    <n v="21"/>
    <n v="90.31"/>
    <n v="378.49"/>
    <n v="468.8"/>
    <x v="1"/>
    <n v="0"/>
    <n v="70.760000000000005"/>
    <n v="447"/>
    <n v="430"/>
  </r>
  <r>
    <s v="O1000560"/>
    <s v="C1264"/>
    <x v="477"/>
    <d v="2022-10-28T00:00:00"/>
    <x v="2"/>
    <x v="2"/>
    <x v="4"/>
    <s v="Berlin"/>
    <s v="OFF-AR-10002135"/>
    <s v="Office Supplies"/>
    <s v="Art"/>
    <s v="Boston Heavy-Duty Trimline Electric Pencil Sharpeners"/>
    <n v="369.66"/>
    <n v="27"/>
    <s v="S951"/>
    <x v="1"/>
    <s v="W8"/>
    <x v="3"/>
    <s v="DHL"/>
    <s v="Toronto-New York"/>
    <n v="1125"/>
    <n v="274"/>
    <n v="23"/>
    <n v="636.70000000000005"/>
    <n v="296.86"/>
    <n v="933.56000000000006"/>
    <x v="1"/>
    <n v="0"/>
    <n v="73.25"/>
    <n v="474"/>
    <n v="482"/>
  </r>
  <r>
    <s v="O1000561"/>
    <s v="C1716"/>
    <x v="478"/>
    <d v="2020-01-06T00:00:00"/>
    <x v="2"/>
    <x v="0"/>
    <x v="5"/>
    <s v="São Paulo"/>
    <s v="OFF-BI-10001072"/>
    <s v="Office Supplies"/>
    <s v="Binders"/>
    <s v="GBC Clear Cover, 8-1/2 x 11, unpunched, 25 covers per pack"/>
    <n v="265.69"/>
    <n v="98"/>
    <s v="S213"/>
    <x v="2"/>
    <s v="W15"/>
    <x v="0"/>
    <s v="BlueDart"/>
    <s v="São Paulo-Cape Town"/>
    <n v="146"/>
    <n v="295"/>
    <n v="23"/>
    <n v="1527.05"/>
    <n v="487.96"/>
    <n v="2015.01"/>
    <x v="1"/>
    <n v="0"/>
    <n v="94.11"/>
    <n v="104"/>
    <n v="105"/>
  </r>
  <r>
    <s v="O1000562"/>
    <s v="C4881"/>
    <x v="479"/>
    <d v="2024-08-23T00:00:00"/>
    <x v="2"/>
    <x v="3"/>
    <x v="1"/>
    <s v="Mumbai"/>
    <s v="OFF-BI-10001765"/>
    <s v="Office Supplies"/>
    <s v="Binders"/>
    <s v="Wilson Jones Heavy-Duty Casebound Ring Binders with Metal Hinges"/>
    <n v="483.21"/>
    <n v="67"/>
    <s v="S518"/>
    <x v="0"/>
    <s v="W39"/>
    <x v="2"/>
    <s v="Maersk"/>
    <s v="New York-Berlin"/>
    <n v="2658"/>
    <n v="462"/>
    <n v="15"/>
    <n v="877.85"/>
    <n v="251.29"/>
    <n v="1129.1400000000001"/>
    <x v="1"/>
    <n v="0"/>
    <n v="97.21"/>
    <n v="194"/>
    <n v="172"/>
  </r>
  <r>
    <s v="O1000563"/>
    <s v="C3148"/>
    <x v="480"/>
    <d v="2022-05-17T00:00:00"/>
    <x v="2"/>
    <x v="0"/>
    <x v="2"/>
    <s v="Cape Town"/>
    <s v="OFF-PA-10000061"/>
    <s v="Office Supplies"/>
    <s v="Paper"/>
    <s v="Xerox 205"/>
    <n v="379.19"/>
    <n v="60"/>
    <s v="S370"/>
    <x v="2"/>
    <s v="W29"/>
    <x v="0"/>
    <s v="Maersk"/>
    <s v="London-Mumbai"/>
    <n v="2047"/>
    <n v="123"/>
    <n v="9"/>
    <n v="992.01"/>
    <n v="54.46"/>
    <n v="1046.47"/>
    <x v="1"/>
    <n v="0"/>
    <n v="95.41"/>
    <n v="163"/>
    <n v="160"/>
  </r>
  <r>
    <s v="O1000564"/>
    <s v="C1226"/>
    <x v="481"/>
    <d v="2023-08-14T00:00:00"/>
    <x v="0"/>
    <x v="4"/>
    <x v="1"/>
    <s v="New York"/>
    <s v="OFF-PA-10004082"/>
    <s v="Office Supplies"/>
    <s v="Paper"/>
    <s v="Adams Telephone Message Book w/Frequently-Called Numbers Space, 400 Messages per Book"/>
    <n v="126.76"/>
    <n v="33"/>
    <s v="S881"/>
    <x v="0"/>
    <s v="W47"/>
    <x v="0"/>
    <s v="UPS"/>
    <s v="New York-Toronto"/>
    <n v="2699"/>
    <n v="271"/>
    <n v="12"/>
    <n v="69.27"/>
    <n v="408.57"/>
    <n v="477.84"/>
    <x v="1"/>
    <n v="0"/>
    <n v="95.2"/>
    <n v="274"/>
    <n v="233"/>
  </r>
  <r>
    <s v="O1000565"/>
    <s v="C4951"/>
    <x v="482"/>
    <d v="2024-04-05T00:00:00"/>
    <x v="2"/>
    <x v="3"/>
    <x v="6"/>
    <s v="New York"/>
    <s v="OFF-ST-10002276"/>
    <s v="Office Supplies"/>
    <s v="Storage"/>
    <s v="Safco Steel Mobile File Cart"/>
    <n v="229.36"/>
    <n v="25"/>
    <s v="S194"/>
    <x v="0"/>
    <s v="W42"/>
    <x v="2"/>
    <s v="BlueDart"/>
    <s v="London-New York"/>
    <n v="3909"/>
    <n v="165"/>
    <n v="6"/>
    <n v="1608.67"/>
    <n v="35.82"/>
    <n v="1644.49"/>
    <x v="1"/>
    <n v="0"/>
    <n v="76.040000000000006"/>
    <n v="463"/>
    <n v="507"/>
  </r>
  <r>
    <s v="O1000566"/>
    <s v="C2511"/>
    <x v="483"/>
    <d v="2020-03-14T00:00:00"/>
    <x v="2"/>
    <x v="2"/>
    <x v="2"/>
    <s v="Cape Town"/>
    <s v="TEC-PH-10002563"/>
    <s v="Technology"/>
    <s v="Phones"/>
    <s v="Adtran 1202752G1"/>
    <n v="385.2"/>
    <n v="88"/>
    <s v="S397"/>
    <x v="1"/>
    <s v="W48"/>
    <x v="3"/>
    <s v="BlueDart"/>
    <s v="Toronto-Mumbai"/>
    <n v="1626"/>
    <n v="355"/>
    <n v="21"/>
    <n v="1312.13"/>
    <n v="352.33"/>
    <n v="1664.46"/>
    <x v="1"/>
    <n v="0"/>
    <n v="90.66"/>
    <n v="382"/>
    <n v="422"/>
  </r>
  <r>
    <s v="O1000567"/>
    <s v="C8947"/>
    <x v="199"/>
    <d v="2022-06-06T00:00:00"/>
    <x v="0"/>
    <x v="4"/>
    <x v="5"/>
    <s v="Toronto"/>
    <s v="FUR-FU-10000246"/>
    <s v="Furniture"/>
    <s v="Furnishings"/>
    <s v="Aluminum Document Frame"/>
    <n v="464.04"/>
    <n v="69"/>
    <s v="S867"/>
    <x v="4"/>
    <s v="W18"/>
    <x v="0"/>
    <s v="FedEx"/>
    <s v="Toronto-São Paulo"/>
    <n v="3476"/>
    <n v="59"/>
    <n v="12"/>
    <n v="68.84"/>
    <n v="182.15"/>
    <n v="250.99"/>
    <x v="0"/>
    <n v="13"/>
    <n v="82.61"/>
    <n v="330"/>
    <n v="372"/>
  </r>
  <r>
    <s v="O1000568"/>
    <s v="C3007"/>
    <x v="484"/>
    <d v="2021-03-07T00:00:00"/>
    <x v="1"/>
    <x v="4"/>
    <x v="1"/>
    <s v="Mumbai"/>
    <s v="OFF-AR-10004511"/>
    <s v="Office Supplies"/>
    <s v="Art"/>
    <s v="Sanford Colorific Scented Colored Pencils, 12/Pack"/>
    <n v="136.81"/>
    <n v="22"/>
    <s v="S961"/>
    <x v="1"/>
    <s v="W18"/>
    <x v="3"/>
    <s v="UPS"/>
    <s v="New York-Cape Town"/>
    <n v="2618"/>
    <n v="283"/>
    <n v="5"/>
    <n v="829.83"/>
    <n v="197.34"/>
    <n v="1027.17"/>
    <x v="1"/>
    <n v="0"/>
    <n v="98.09"/>
    <n v="284"/>
    <n v="312"/>
  </r>
  <r>
    <s v="O1000569"/>
    <s v="C7141"/>
    <x v="485"/>
    <d v="2024-07-18T00:00:00"/>
    <x v="2"/>
    <x v="4"/>
    <x v="5"/>
    <s v="London"/>
    <s v="OFF-BI-10001658"/>
    <s v="Office Supplies"/>
    <s v="Binders"/>
    <s v="GBC Standard Therm-A-Bind Covers"/>
    <n v="95.36"/>
    <n v="30"/>
    <s v="S417"/>
    <x v="3"/>
    <s v="W31"/>
    <x v="1"/>
    <s v="DHL"/>
    <s v="São Paulo-London"/>
    <n v="2157"/>
    <n v="353"/>
    <n v="2"/>
    <n v="654.92999999999995"/>
    <n v="373.52"/>
    <n v="1028.45"/>
    <x v="1"/>
    <n v="0"/>
    <n v="96.7"/>
    <n v="173"/>
    <n v="181"/>
  </r>
  <r>
    <s v="O1000570"/>
    <s v="C4402"/>
    <x v="334"/>
    <d v="2022-01-31T00:00:00"/>
    <x v="2"/>
    <x v="1"/>
    <x v="0"/>
    <s v="London"/>
    <s v="OFF-ST-10001490"/>
    <s v="Office Supplies"/>
    <s v="Storage"/>
    <s v="Hot File 7-Pocket, Floor Stand"/>
    <n v="149.6"/>
    <n v="59"/>
    <s v="S729"/>
    <x v="3"/>
    <s v="W33"/>
    <x v="3"/>
    <s v="BlueDart"/>
    <s v="Mumbai-New York"/>
    <n v="2472"/>
    <n v="464"/>
    <n v="18"/>
    <n v="1570.12"/>
    <n v="279.12"/>
    <n v="1849.24"/>
    <x v="1"/>
    <n v="0"/>
    <n v="90.34"/>
    <n v="429"/>
    <n v="438"/>
  </r>
  <r>
    <s v="O1000571"/>
    <s v="C1977"/>
    <x v="486"/>
    <d v="2022-04-29T00:00:00"/>
    <x v="2"/>
    <x v="2"/>
    <x v="5"/>
    <s v="Toronto"/>
    <s v="TEC-PH-10001425"/>
    <s v="Technology"/>
    <s v="Phones"/>
    <s v="Mophie Juice Pack Helium for iPhone"/>
    <n v="110.43"/>
    <n v="61"/>
    <s v="S109"/>
    <x v="3"/>
    <s v="W30"/>
    <x v="1"/>
    <s v="Maersk"/>
    <s v="Berlin-London"/>
    <n v="1181"/>
    <n v="169"/>
    <n v="2"/>
    <n v="823.97"/>
    <n v="288.99"/>
    <n v="1112.96"/>
    <x v="1"/>
    <n v="0"/>
    <n v="81.53"/>
    <n v="415"/>
    <n v="385"/>
  </r>
  <r>
    <s v="O1000572"/>
    <s v="C2547"/>
    <x v="70"/>
    <d v="2020-11-11T00:00:00"/>
    <x v="1"/>
    <x v="2"/>
    <x v="4"/>
    <s v="Mumbai"/>
    <s v="FUR-FU-10001475"/>
    <s v="Furniture"/>
    <s v="Furnishings"/>
    <s v="Contract Clock, 14&quot;, Brown"/>
    <n v="372"/>
    <n v="19"/>
    <s v="S896"/>
    <x v="0"/>
    <s v="W16"/>
    <x v="0"/>
    <s v="FedEx"/>
    <s v="New York-São Paulo"/>
    <n v="423"/>
    <n v="74"/>
    <n v="20"/>
    <n v="742.61"/>
    <n v="432.23"/>
    <n v="1174.8399999999999"/>
    <x v="1"/>
    <n v="0"/>
    <n v="70.180000000000007"/>
    <n v="437"/>
    <n v="484"/>
  </r>
  <r>
    <s v="O1000573"/>
    <s v="C2978"/>
    <x v="67"/>
    <d v="2024-08-25T00:00:00"/>
    <x v="2"/>
    <x v="2"/>
    <x v="7"/>
    <s v="Cape Town"/>
    <s v="FUR-TA-10004086"/>
    <s v="Furniture"/>
    <s v="Tables"/>
    <s v="KI Adjustable-Height Table"/>
    <n v="347.06"/>
    <n v="56"/>
    <s v="S647"/>
    <x v="0"/>
    <s v="W37"/>
    <x v="0"/>
    <s v="Maersk"/>
    <s v="New York-Cape Town"/>
    <n v="2022"/>
    <n v="159"/>
    <n v="4"/>
    <n v="678.29"/>
    <n v="148.77000000000001"/>
    <n v="827.06"/>
    <x v="1"/>
    <n v="0"/>
    <n v="79.92"/>
    <n v="489"/>
    <n v="487"/>
  </r>
  <r>
    <s v="O1000574"/>
    <s v="C9687"/>
    <x v="487"/>
    <d v="2021-07-15T00:00:00"/>
    <x v="2"/>
    <x v="0"/>
    <x v="7"/>
    <s v="São Paulo"/>
    <s v="OFF-EN-10004459"/>
    <s v="Office Supplies"/>
    <s v="Envelopes"/>
    <s v="Security-Tint Envelopes"/>
    <n v="91.45"/>
    <n v="66"/>
    <s v="S939"/>
    <x v="2"/>
    <s v="W31"/>
    <x v="1"/>
    <s v="UPS"/>
    <s v="Mumbai-Mumbai"/>
    <n v="2882"/>
    <n v="267"/>
    <n v="22"/>
    <n v="1734.49"/>
    <n v="473.92"/>
    <n v="2208.41"/>
    <x v="1"/>
    <n v="0"/>
    <n v="95.69"/>
    <n v="166"/>
    <n v="126"/>
  </r>
  <r>
    <s v="O1000575"/>
    <s v="C2184"/>
    <x v="488"/>
    <d v="2024-08-11T00:00:00"/>
    <x v="2"/>
    <x v="0"/>
    <x v="6"/>
    <s v="Berlin"/>
    <s v="OFF-LA-10001771"/>
    <s v="Office Supplies"/>
    <s v="Labels"/>
    <s v="Avery 513"/>
    <n v="144.16999999999999"/>
    <n v="58"/>
    <s v="S512"/>
    <x v="0"/>
    <s v="W9"/>
    <x v="1"/>
    <s v="DHL"/>
    <s v="Berlin-London"/>
    <n v="1999"/>
    <n v="192"/>
    <n v="19"/>
    <n v="328.44"/>
    <n v="111.04"/>
    <n v="439.48"/>
    <x v="1"/>
    <n v="0"/>
    <n v="80.12"/>
    <n v="499"/>
    <n v="452"/>
  </r>
  <r>
    <s v="O1000576"/>
    <s v="C9826"/>
    <x v="489"/>
    <d v="2023-09-01T00:00:00"/>
    <x v="2"/>
    <x v="1"/>
    <x v="6"/>
    <s v="Toronto"/>
    <s v="OFF-ST-10000877"/>
    <s v="Office Supplies"/>
    <s v="Storage"/>
    <s v="Recycled Steel Personal File for Standard File Folders"/>
    <n v="207.34"/>
    <n v="44"/>
    <s v="S444"/>
    <x v="2"/>
    <s v="W40"/>
    <x v="2"/>
    <s v="DHL"/>
    <s v="London-Berlin"/>
    <n v="952"/>
    <n v="467"/>
    <n v="14"/>
    <n v="1230.51"/>
    <n v="62.64"/>
    <n v="1293.1500000000001"/>
    <x v="1"/>
    <n v="0"/>
    <n v="79.59"/>
    <n v="236"/>
    <n v="239"/>
  </r>
  <r>
    <s v="O1000577"/>
    <s v="C2982"/>
    <x v="490"/>
    <d v="2022-03-24T00:00:00"/>
    <x v="2"/>
    <x v="3"/>
    <x v="6"/>
    <s v="Mumbai"/>
    <s v="FUR-BO-10003272"/>
    <s v="Furniture"/>
    <s v="Bookcases"/>
    <s v="O'Sullivan Living Dimensions 5-Shelf Bookcases"/>
    <n v="115.29"/>
    <n v="80"/>
    <s v="S798"/>
    <x v="2"/>
    <s v="W26"/>
    <x v="1"/>
    <s v="DHL"/>
    <s v="Cape Town-Cape Town"/>
    <n v="1289"/>
    <n v="279"/>
    <n v="12"/>
    <n v="118.22"/>
    <n v="200.93"/>
    <n v="319.14999999999998"/>
    <x v="1"/>
    <n v="0"/>
    <n v="82.04"/>
    <n v="291"/>
    <n v="247"/>
  </r>
  <r>
    <s v="O1000578"/>
    <s v="C2961"/>
    <x v="491"/>
    <d v="2021-07-17T00:00:00"/>
    <x v="2"/>
    <x v="4"/>
    <x v="5"/>
    <s v="São Paulo"/>
    <s v="FUR-FU-10002191"/>
    <s v="Furniture"/>
    <s v="Furnishings"/>
    <s v="G.E. Halogen Desk Lamp Bulbs"/>
    <n v="219.84"/>
    <n v="41"/>
    <s v="S569"/>
    <x v="3"/>
    <s v="W39"/>
    <x v="0"/>
    <s v="DHL"/>
    <s v="New York-Berlin"/>
    <n v="434"/>
    <n v="269"/>
    <n v="4"/>
    <n v="876.64"/>
    <n v="353.86"/>
    <n v="1230.5"/>
    <x v="1"/>
    <n v="0"/>
    <n v="70.5"/>
    <n v="484"/>
    <n v="471"/>
  </r>
  <r>
    <s v="O1000579"/>
    <s v="C5453"/>
    <x v="492"/>
    <d v="2022-05-06T00:00:00"/>
    <x v="0"/>
    <x v="4"/>
    <x v="2"/>
    <s v="New York"/>
    <s v="FUR-FU-10002878"/>
    <s v="Furniture"/>
    <s v="Furnishings"/>
    <s v="Seth Thomas 14&quot; Day/Date Wall Clock"/>
    <n v="330.12"/>
    <n v="55"/>
    <s v="S395"/>
    <x v="4"/>
    <s v="W12"/>
    <x v="1"/>
    <s v="BlueDart"/>
    <s v="Mumbai-London"/>
    <n v="1313"/>
    <n v="380"/>
    <n v="6"/>
    <n v="1390.4"/>
    <n v="99.35"/>
    <n v="1489.75"/>
    <x v="1"/>
    <n v="0"/>
    <n v="89.31"/>
    <n v="319"/>
    <n v="297"/>
  </r>
  <r>
    <s v="O1000580"/>
    <s v="C1539"/>
    <x v="332"/>
    <d v="2020-11-17T00:00:00"/>
    <x v="2"/>
    <x v="3"/>
    <x v="3"/>
    <s v="Berlin"/>
    <s v="OFF-AP-10001626"/>
    <s v="Office Supplies"/>
    <s v="Appliances"/>
    <s v="Commercial WindTunnel Clean Air Upright Vacuum, Replacement Belts, Filtration Bags"/>
    <n v="297.08"/>
    <n v="90"/>
    <s v="S303"/>
    <x v="1"/>
    <s v="W45"/>
    <x v="2"/>
    <s v="BlueDart"/>
    <s v="London-Toronto"/>
    <n v="1237"/>
    <n v="450"/>
    <n v="20"/>
    <n v="230.38"/>
    <n v="352.55"/>
    <n v="582.93000000000006"/>
    <x v="1"/>
    <n v="0"/>
    <n v="80"/>
    <n v="457"/>
    <n v="412"/>
  </r>
  <r>
    <s v="O1000581"/>
    <s v="C8467"/>
    <x v="493"/>
    <d v="2025-01-01T00:00:00"/>
    <x v="2"/>
    <x v="3"/>
    <x v="7"/>
    <s v="Cape Town"/>
    <s v="OFF-PA-10001685"/>
    <s v="Office Supplies"/>
    <s v="Paper"/>
    <s v="Easy-staple paper"/>
    <n v="349.41"/>
    <n v="42"/>
    <s v="S695"/>
    <x v="3"/>
    <s v="W39"/>
    <x v="2"/>
    <s v="Maersk"/>
    <s v="New York-Beijing"/>
    <n v="4458"/>
    <n v="393"/>
    <n v="20"/>
    <n v="96.34"/>
    <n v="300.07"/>
    <n v="396.41"/>
    <x v="1"/>
    <n v="0"/>
    <n v="83.42"/>
    <n v="230"/>
    <n v="214"/>
  </r>
  <r>
    <s v="O1000582"/>
    <s v="C7505"/>
    <x v="494"/>
    <d v="2020-01-16T00:00:00"/>
    <x v="2"/>
    <x v="3"/>
    <x v="5"/>
    <s v="Cape Town"/>
    <s v="FUR-TA-10003238"/>
    <s v="Furniture"/>
    <s v="Tables"/>
    <s v="Chromcraft Bull-Nose Wood 48&quot; x 96&quot; Rectangular Conference Tables"/>
    <n v="24.53"/>
    <n v="43"/>
    <s v="S521"/>
    <x v="0"/>
    <s v="W21"/>
    <x v="3"/>
    <s v="UPS"/>
    <s v="London-Cape Town"/>
    <n v="1184"/>
    <n v="140"/>
    <n v="10"/>
    <n v="925.54"/>
    <n v="305.97000000000003"/>
    <n v="1231.51"/>
    <x v="1"/>
    <n v="0"/>
    <n v="82.69"/>
    <n v="498"/>
    <n v="499"/>
  </r>
  <r>
    <s v="O1000583"/>
    <s v="C7601"/>
    <x v="440"/>
    <d v="2023-12-28T00:00:00"/>
    <x v="2"/>
    <x v="4"/>
    <x v="3"/>
    <s v="New York"/>
    <s v="OFF-AR-10002656"/>
    <s v="Office Supplies"/>
    <s v="Art"/>
    <s v="Sanford Liquid Accent Highlighters"/>
    <n v="464.56"/>
    <n v="91"/>
    <s v="S944"/>
    <x v="2"/>
    <s v="W3"/>
    <x v="1"/>
    <s v="BlueDart"/>
    <s v="Toronto-Mumbai"/>
    <n v="278"/>
    <n v="378"/>
    <n v="27"/>
    <n v="1081.01"/>
    <n v="148.91"/>
    <n v="1229.92"/>
    <x v="1"/>
    <n v="0"/>
    <n v="72.489999999999995"/>
    <n v="189"/>
    <n v="200"/>
  </r>
  <r>
    <s v="O1000584"/>
    <s v="C1866"/>
    <x v="495"/>
    <d v="2022-07-03T00:00:00"/>
    <x v="2"/>
    <x v="0"/>
    <x v="1"/>
    <s v="Cape Town"/>
    <s v="OFF-BI-10002557"/>
    <s v="Office Supplies"/>
    <s v="Binders"/>
    <s v="Presstex Flexible Ring Binders"/>
    <n v="260.89"/>
    <n v="84"/>
    <s v="S863"/>
    <x v="4"/>
    <s v="W42"/>
    <x v="1"/>
    <s v="Maersk"/>
    <s v="London-New York"/>
    <n v="4167"/>
    <n v="446"/>
    <n v="29"/>
    <n v="188.23"/>
    <n v="408.31"/>
    <n v="596.54"/>
    <x v="1"/>
    <n v="0"/>
    <n v="89.54"/>
    <n v="377"/>
    <n v="413"/>
  </r>
  <r>
    <s v="O1000585"/>
    <s v="C5423"/>
    <x v="21"/>
    <d v="2024-09-11T00:00:00"/>
    <x v="2"/>
    <x v="2"/>
    <x v="2"/>
    <s v="Cape Town"/>
    <s v="OFF-BI-10002794"/>
    <s v="Office Supplies"/>
    <s v="Binders"/>
    <s v="Avery Trapezoid Ring Binder, 3&quot; Capacity, Black, 1040 sheets"/>
    <n v="180.83"/>
    <n v="87"/>
    <s v="S600"/>
    <x v="2"/>
    <s v="W21"/>
    <x v="0"/>
    <s v="Maersk"/>
    <s v="Beijing-Mumbai"/>
    <n v="2560"/>
    <n v="369"/>
    <n v="15"/>
    <n v="174.17"/>
    <n v="387.95"/>
    <n v="562.12"/>
    <x v="0"/>
    <n v="5"/>
    <n v="86.33"/>
    <n v="498"/>
    <n v="471"/>
  </r>
  <r>
    <s v="O1000586"/>
    <s v="C8654"/>
    <x v="496"/>
    <d v="2020-07-06T00:00:00"/>
    <x v="2"/>
    <x v="0"/>
    <x v="4"/>
    <s v="New York"/>
    <s v="OFF-BI-10003982"/>
    <s v="Office Supplies"/>
    <s v="Binders"/>
    <s v="Wilson Jones Century Plastic Molded Ring Binders"/>
    <n v="82.84"/>
    <n v="67"/>
    <s v="S568"/>
    <x v="1"/>
    <s v="W21"/>
    <x v="0"/>
    <s v="Maersk"/>
    <s v="Toronto-New York"/>
    <n v="3449"/>
    <n v="268"/>
    <n v="11"/>
    <n v="1736.2"/>
    <n v="73.84"/>
    <n v="1810.04"/>
    <x v="1"/>
    <n v="0"/>
    <n v="78.489999999999995"/>
    <n v="147"/>
    <n v="128"/>
  </r>
  <r>
    <s v="O1000587"/>
    <s v="C2928"/>
    <x v="497"/>
    <d v="2021-04-06T00:00:00"/>
    <x v="2"/>
    <x v="4"/>
    <x v="0"/>
    <s v="New York"/>
    <s v="OFF-EN-10000461"/>
    <s v="Office Supplies"/>
    <s v="Envelopes"/>
    <s v="#10- 4 1/8&quot; x 9 1/2&quot; Recycled Envelopes"/>
    <n v="320.68"/>
    <n v="38"/>
    <s v="S549"/>
    <x v="3"/>
    <s v="W1"/>
    <x v="2"/>
    <s v="FedEx"/>
    <s v="Mumbai-Cape Town"/>
    <n v="4061"/>
    <n v="100"/>
    <n v="13"/>
    <n v="1380.71"/>
    <n v="326.22000000000003"/>
    <n v="1706.93"/>
    <x v="1"/>
    <n v="0"/>
    <n v="78.180000000000007"/>
    <n v="50"/>
    <n v="36"/>
  </r>
  <r>
    <s v="O1000588"/>
    <s v="C4310"/>
    <x v="498"/>
    <d v="2022-02-15T00:00:00"/>
    <x v="2"/>
    <x v="0"/>
    <x v="4"/>
    <s v="Cape Town"/>
    <s v="OFF-LA-10001074"/>
    <s v="Office Supplies"/>
    <s v="Labels"/>
    <s v="Round Specialty Laser Printer Labels"/>
    <n v="201.09"/>
    <n v="84"/>
    <s v="S582"/>
    <x v="3"/>
    <s v="W24"/>
    <x v="1"/>
    <s v="FedEx"/>
    <s v="Toronto-Mumbai"/>
    <n v="588"/>
    <n v="65"/>
    <n v="20"/>
    <n v="259.27"/>
    <n v="484.95"/>
    <n v="744.22"/>
    <x v="1"/>
    <n v="0"/>
    <n v="83.73"/>
    <n v="307"/>
    <n v="293"/>
  </r>
  <r>
    <s v="O1000589"/>
    <s v="C8137"/>
    <x v="499"/>
    <d v="2022-01-20T00:00:00"/>
    <x v="2"/>
    <x v="1"/>
    <x v="1"/>
    <s v="New York"/>
    <s v="OFF-PA-10002319"/>
    <s v="Office Supplies"/>
    <s v="Paper"/>
    <s v="Xerox 1944"/>
    <n v="53.44"/>
    <n v="13"/>
    <s v="S119"/>
    <x v="2"/>
    <s v="W31"/>
    <x v="0"/>
    <s v="DHL"/>
    <s v="Berlin-London"/>
    <n v="3616"/>
    <n v="178"/>
    <n v="24"/>
    <n v="1955.65"/>
    <n v="473.11"/>
    <n v="2428.7600000000002"/>
    <x v="1"/>
    <n v="0"/>
    <n v="86.98"/>
    <n v="297"/>
    <n v="252"/>
  </r>
  <r>
    <s v="O1000590"/>
    <s v="C4125"/>
    <x v="500"/>
    <d v="2020-10-29T00:00:00"/>
    <x v="2"/>
    <x v="2"/>
    <x v="3"/>
    <s v="São Paulo"/>
    <s v="OFF-SU-10001664"/>
    <s v="Office Supplies"/>
    <s v="Supplies"/>
    <s v="Acme Office Executive Series Stainless Steel Trimmers"/>
    <n v="213.04"/>
    <n v="9"/>
    <s v="S680"/>
    <x v="3"/>
    <s v="W22"/>
    <x v="1"/>
    <s v="Maersk"/>
    <s v="London-New York"/>
    <n v="998"/>
    <n v="200"/>
    <n v="18"/>
    <n v="1126.2"/>
    <n v="140.66999999999999"/>
    <n v="1266.8699999999999"/>
    <x v="1"/>
    <n v="0"/>
    <n v="78.42"/>
    <n v="492"/>
    <n v="460"/>
  </r>
  <r>
    <s v="O1000591"/>
    <s v="C1926"/>
    <x v="287"/>
    <d v="2020-10-09T00:00:00"/>
    <x v="2"/>
    <x v="4"/>
    <x v="0"/>
    <s v="Cape Town"/>
    <s v="FUR-TA-10002041"/>
    <s v="Furniture"/>
    <s v="Tables"/>
    <s v="Bevis Round Conference Table Top, X-Base"/>
    <n v="233.67"/>
    <n v="92"/>
    <s v="S907"/>
    <x v="4"/>
    <s v="W6"/>
    <x v="2"/>
    <s v="FedEx"/>
    <s v="São Paulo-Cape Town"/>
    <n v="2991"/>
    <n v="138"/>
    <n v="6"/>
    <n v="1550.64"/>
    <n v="437.51"/>
    <n v="1988.15"/>
    <x v="1"/>
    <n v="0"/>
    <n v="93.61"/>
    <n v="379"/>
    <n v="357"/>
  </r>
  <r>
    <s v="O1000592"/>
    <s v="C4427"/>
    <x v="501"/>
    <d v="2023-10-09T00:00:00"/>
    <x v="2"/>
    <x v="1"/>
    <x v="0"/>
    <s v="Cape Town"/>
    <s v="OFF-BI-10003982"/>
    <s v="Office Supplies"/>
    <s v="Binders"/>
    <s v="Wilson Jones Century Plastic Molded Ring Binders"/>
    <n v="351.08"/>
    <n v="48"/>
    <s v="S678"/>
    <x v="2"/>
    <s v="W9"/>
    <x v="1"/>
    <s v="FedEx"/>
    <s v="Berlin-London"/>
    <n v="3235"/>
    <n v="307"/>
    <n v="29"/>
    <n v="522.82000000000005"/>
    <n v="460.9"/>
    <n v="983.72"/>
    <x v="1"/>
    <n v="0"/>
    <n v="88.43"/>
    <n v="411"/>
    <n v="373"/>
  </r>
  <r>
    <s v="O1000593"/>
    <s v="C4103"/>
    <x v="502"/>
    <d v="2021-12-17T00:00:00"/>
    <x v="2"/>
    <x v="0"/>
    <x v="5"/>
    <s v="Toronto"/>
    <s v="FUR-CH-10002647"/>
    <s v="Furniture"/>
    <s v="Chairs"/>
    <s v="Situations Contoured Folding Chairs, 4/Set"/>
    <n v="444.21"/>
    <n v="21"/>
    <s v="S170"/>
    <x v="1"/>
    <s v="W30"/>
    <x v="1"/>
    <s v="UPS"/>
    <s v="Mumbai-Cape Town"/>
    <n v="2720"/>
    <n v="428"/>
    <n v="29"/>
    <n v="1193.24"/>
    <n v="210.97"/>
    <n v="1404.21"/>
    <x v="1"/>
    <n v="0"/>
    <n v="81.010000000000005"/>
    <n v="369"/>
    <n v="407"/>
  </r>
  <r>
    <s v="O1000594"/>
    <s v="C7233"/>
    <x v="503"/>
    <d v="2022-04-26T00:00:00"/>
    <x v="2"/>
    <x v="3"/>
    <x v="4"/>
    <s v="Toronto"/>
    <s v="FUR-CH-10002758"/>
    <s v="Furniture"/>
    <s v="Chairs"/>
    <s v="Hon Deluxe Fabric Upholstered Stacking Chairs, Squared Back"/>
    <n v="443.31"/>
    <n v="72"/>
    <s v="S709"/>
    <x v="1"/>
    <s v="W26"/>
    <x v="1"/>
    <s v="BlueDart"/>
    <s v="London-Cape Town"/>
    <n v="3288"/>
    <n v="248"/>
    <n v="20"/>
    <n v="1812.14"/>
    <n v="81.28"/>
    <n v="1893.42"/>
    <x v="1"/>
    <n v="0"/>
    <n v="92.04"/>
    <n v="377"/>
    <n v="351"/>
  </r>
  <r>
    <s v="O1000595"/>
    <s v="C1636"/>
    <x v="504"/>
    <d v="2024-02-28T00:00:00"/>
    <x v="1"/>
    <x v="2"/>
    <x v="7"/>
    <s v="London"/>
    <s v="OFF-BI-10003876"/>
    <s v="Office Supplies"/>
    <s v="Binders"/>
    <s v="Green Canvas Binder for 8-1/2&quot; x 14&quot; Sheets"/>
    <n v="355.75"/>
    <n v="75"/>
    <s v="S732"/>
    <x v="3"/>
    <s v="W21"/>
    <x v="0"/>
    <s v="UPS"/>
    <s v="London-London"/>
    <n v="1110"/>
    <n v="466"/>
    <n v="16"/>
    <n v="1713.69"/>
    <n v="177.14"/>
    <n v="1890.83"/>
    <x v="1"/>
    <n v="0"/>
    <n v="80.69"/>
    <n v="308"/>
    <n v="332"/>
  </r>
  <r>
    <s v="O1000596"/>
    <s v="C5607"/>
    <x v="505"/>
    <d v="2022-06-19T00:00:00"/>
    <x v="2"/>
    <x v="2"/>
    <x v="4"/>
    <s v="Mumbai"/>
    <s v="OFF-ST-10003470"/>
    <s v="Office Supplies"/>
    <s v="Storage"/>
    <s v="Tennsco Snap-Together Open Shelving Units, Starter Sets and Add-On Units"/>
    <n v="22.14"/>
    <n v="49"/>
    <s v="S841"/>
    <x v="1"/>
    <s v="W8"/>
    <x v="2"/>
    <s v="BlueDart"/>
    <s v="Beijing-São Paulo"/>
    <n v="1296"/>
    <n v="491"/>
    <n v="20"/>
    <n v="805.51"/>
    <n v="318.81"/>
    <n v="1124.32"/>
    <x v="1"/>
    <n v="0"/>
    <n v="72.66"/>
    <n v="140"/>
    <n v="151"/>
  </r>
  <r>
    <s v="O1000597"/>
    <s v="C6272"/>
    <x v="410"/>
    <d v="2020-03-03T00:00:00"/>
    <x v="2"/>
    <x v="3"/>
    <x v="0"/>
    <s v="New York"/>
    <s v="FUR-FU-10001487"/>
    <s v="Furniture"/>
    <s v="Furnishings"/>
    <s v="Eldon Expressions Wood and Plastic Desk Accessories, Cherry Wood"/>
    <n v="428.35"/>
    <n v="14"/>
    <s v="S591"/>
    <x v="0"/>
    <s v="W20"/>
    <x v="0"/>
    <s v="FedEx"/>
    <s v="São Paulo-Toronto"/>
    <n v="3003"/>
    <n v="391"/>
    <n v="14"/>
    <n v="936.68"/>
    <n v="96.66"/>
    <n v="1033.3399999999999"/>
    <x v="1"/>
    <n v="0"/>
    <n v="75.48"/>
    <n v="93"/>
    <n v="130"/>
  </r>
  <r>
    <s v="O1000598"/>
    <s v="C1555"/>
    <x v="506"/>
    <d v="2024-01-18T00:00:00"/>
    <x v="1"/>
    <x v="1"/>
    <x v="0"/>
    <s v="Toronto"/>
    <s v="FUR-FU-10002685"/>
    <s v="Furniture"/>
    <s v="Furnishings"/>
    <s v="Executive Impressions 13-1/2&quot; Indoor/Outdoor Wall Clock"/>
    <n v="229"/>
    <n v="48"/>
    <s v="S161"/>
    <x v="4"/>
    <s v="W49"/>
    <x v="2"/>
    <s v="FedEx"/>
    <s v="New York-Mumbai"/>
    <n v="3989"/>
    <n v="137"/>
    <n v="8"/>
    <n v="1937.1"/>
    <n v="407.39"/>
    <n v="2344.4899999999998"/>
    <x v="1"/>
    <n v="0"/>
    <n v="70.78"/>
    <n v="489"/>
    <n v="494"/>
  </r>
  <r>
    <s v="O1000599"/>
    <s v="C3836"/>
    <x v="507"/>
    <d v="2022-05-24T00:00:00"/>
    <x v="2"/>
    <x v="3"/>
    <x v="1"/>
    <s v="Toronto"/>
    <s v="FUR-TA-10001539"/>
    <s v="Furniture"/>
    <s v="Tables"/>
    <s v="Chromcraft Rectangular Conference Tables"/>
    <n v="97.46"/>
    <n v="43"/>
    <s v="S188"/>
    <x v="4"/>
    <s v="W28"/>
    <x v="0"/>
    <s v="FedEx"/>
    <s v="Cape Town-Berlin"/>
    <n v="4631"/>
    <n v="66"/>
    <n v="4"/>
    <n v="515.74"/>
    <n v="117.92"/>
    <n v="633.66"/>
    <x v="1"/>
    <n v="0"/>
    <n v="95.07"/>
    <n v="258"/>
    <n v="260"/>
  </r>
  <r>
    <s v="O1000600"/>
    <s v="C1091"/>
    <x v="404"/>
    <d v="2021-02-06T00:00:00"/>
    <x v="2"/>
    <x v="4"/>
    <x v="4"/>
    <s v="Toronto"/>
    <s v="FUR-TA-10004534"/>
    <s v="Furniture"/>
    <s v="Tables"/>
    <s v="Bevis 44 x 96 Conference Tables"/>
    <n v="149.5"/>
    <n v="57"/>
    <s v="S545"/>
    <x v="3"/>
    <s v="W43"/>
    <x v="3"/>
    <s v="DHL"/>
    <s v="New York-New York"/>
    <n v="620"/>
    <n v="260"/>
    <n v="22"/>
    <n v="1490.06"/>
    <n v="281.45999999999998"/>
    <n v="1771.52"/>
    <x v="1"/>
    <n v="0"/>
    <n v="99.32"/>
    <n v="215"/>
    <n v="235"/>
  </r>
  <r>
    <s v="O1000601"/>
    <s v="C5387"/>
    <x v="508"/>
    <d v="2022-08-02T00:00:00"/>
    <x v="1"/>
    <x v="2"/>
    <x v="5"/>
    <s v="Berlin"/>
    <s v="OFF-AP-10002892"/>
    <s v="Office Supplies"/>
    <s v="Appliances"/>
    <s v="Belkin F5C206VTEL 6 Outlet Surge"/>
    <n v="209.49"/>
    <n v="90"/>
    <s v="S655"/>
    <x v="3"/>
    <s v="W41"/>
    <x v="3"/>
    <s v="FedEx"/>
    <s v="Beijing-Mumbai"/>
    <n v="419"/>
    <n v="191"/>
    <n v="28"/>
    <n v="1375.56"/>
    <n v="316.98"/>
    <n v="1692.54"/>
    <x v="1"/>
    <n v="0"/>
    <n v="97.94"/>
    <n v="177"/>
    <n v="201"/>
  </r>
  <r>
    <s v="O1000602"/>
    <s v="C5925"/>
    <x v="254"/>
    <d v="2023-05-20T00:00:00"/>
    <x v="2"/>
    <x v="1"/>
    <x v="4"/>
    <s v="Cape Town"/>
    <s v="OFF-AR-10001953"/>
    <s v="Office Supplies"/>
    <s v="Art"/>
    <s v="Boston 1645 Deluxe Heavier-Duty Electric Pencil Sharpener"/>
    <n v="229.42"/>
    <n v="27"/>
    <s v="S177"/>
    <x v="4"/>
    <s v="W6"/>
    <x v="0"/>
    <s v="BlueDart"/>
    <s v="New York-Beijing"/>
    <n v="4634"/>
    <n v="293"/>
    <n v="7"/>
    <n v="243.92"/>
    <n v="377.27"/>
    <n v="621.18999999999994"/>
    <x v="1"/>
    <n v="0"/>
    <n v="94.05"/>
    <n v="190"/>
    <n v="145"/>
  </r>
  <r>
    <s v="O1000603"/>
    <s v="C7305"/>
    <x v="509"/>
    <d v="2021-02-09T00:00:00"/>
    <x v="1"/>
    <x v="1"/>
    <x v="4"/>
    <s v="Beijing"/>
    <s v="OFF-AR-10002335"/>
    <s v="Office Supplies"/>
    <s v="Art"/>
    <s v="DIXON Oriole Pencils"/>
    <n v="497.85"/>
    <n v="68"/>
    <s v="S373"/>
    <x v="0"/>
    <s v="W37"/>
    <x v="0"/>
    <s v="BlueDart"/>
    <s v="New York-Beijing"/>
    <n v="2094"/>
    <n v="227"/>
    <n v="10"/>
    <n v="133.31"/>
    <n v="242.46"/>
    <n v="375.77"/>
    <x v="0"/>
    <n v="9"/>
    <n v="94.28"/>
    <n v="433"/>
    <n v="397"/>
  </r>
  <r>
    <s v="O1000604"/>
    <s v="C8072"/>
    <x v="510"/>
    <d v="2024-05-06T00:00:00"/>
    <x v="2"/>
    <x v="0"/>
    <x v="1"/>
    <s v="Beijing"/>
    <s v="OFF-AR-10002833"/>
    <s v="Office Supplies"/>
    <s v="Art"/>
    <s v="Newell 322"/>
    <n v="305.91000000000003"/>
    <n v="12"/>
    <s v="S413"/>
    <x v="3"/>
    <s v="W47"/>
    <x v="0"/>
    <s v="DHL"/>
    <s v="Berlin-São Paulo"/>
    <n v="4524"/>
    <n v="75"/>
    <n v="22"/>
    <n v="813.48"/>
    <n v="273.63"/>
    <n v="1087.1099999999999"/>
    <x v="1"/>
    <n v="0"/>
    <n v="79.099999999999994"/>
    <n v="406"/>
    <n v="380"/>
  </r>
  <r>
    <s v="O1000605"/>
    <s v="C5054"/>
    <x v="15"/>
    <d v="2022-10-24T00:00:00"/>
    <x v="2"/>
    <x v="1"/>
    <x v="3"/>
    <s v="Berlin"/>
    <s v="OFF-AR-10003752"/>
    <s v="Office Supplies"/>
    <s v="Art"/>
    <s v="Deluxe Chalkboard Eraser Cleaner"/>
    <n v="43.87"/>
    <n v="62"/>
    <s v="S721"/>
    <x v="4"/>
    <s v="W27"/>
    <x v="0"/>
    <s v="Maersk"/>
    <s v="São Paulo-São Paulo"/>
    <n v="3857"/>
    <n v="80"/>
    <n v="14"/>
    <n v="669.28"/>
    <n v="251.11"/>
    <n v="920.39"/>
    <x v="1"/>
    <n v="0"/>
    <n v="96.16"/>
    <n v="174"/>
    <n v="218"/>
  </r>
  <r>
    <s v="O1000606"/>
    <s v="C1860"/>
    <x v="511"/>
    <d v="2022-05-06T00:00:00"/>
    <x v="1"/>
    <x v="0"/>
    <x v="3"/>
    <s v="Mumbai"/>
    <s v="OFF-BI-10003910"/>
    <s v="Office Supplies"/>
    <s v="Binders"/>
    <s v="DXL Angle-View Binders with Locking Rings by Samsill"/>
    <n v="414.23"/>
    <n v="57"/>
    <s v="S745"/>
    <x v="4"/>
    <s v="W44"/>
    <x v="0"/>
    <s v="BlueDart"/>
    <s v="São Paulo-Toronto"/>
    <n v="3817"/>
    <n v="346"/>
    <n v="7"/>
    <n v="163.04"/>
    <n v="88.47"/>
    <n v="251.51"/>
    <x v="0"/>
    <n v="14"/>
    <n v="81.53"/>
    <n v="207"/>
    <n v="220"/>
  </r>
  <r>
    <s v="O1000607"/>
    <s v="C3906"/>
    <x v="47"/>
    <d v="2020-11-09T00:00:00"/>
    <x v="2"/>
    <x v="3"/>
    <x v="2"/>
    <s v="São Paulo"/>
    <s v="OFF-PA-10003641"/>
    <s v="Office Supplies"/>
    <s v="Paper"/>
    <s v="Xerox 1909"/>
    <n v="306.69"/>
    <n v="81"/>
    <s v="S377"/>
    <x v="4"/>
    <s v="W19"/>
    <x v="2"/>
    <s v="Maersk"/>
    <s v="Cape Town-Berlin"/>
    <n v="3443"/>
    <n v="180"/>
    <n v="11"/>
    <n v="597.44000000000005"/>
    <n v="461.89"/>
    <n v="1059.33"/>
    <x v="0"/>
    <n v="3"/>
    <n v="93.54"/>
    <n v="259"/>
    <n v="219"/>
  </r>
  <r>
    <s v="O1000608"/>
    <s v="C7921"/>
    <x v="512"/>
    <d v="2021-11-18T00:00:00"/>
    <x v="2"/>
    <x v="0"/>
    <x v="4"/>
    <s v="London"/>
    <s v="OFF-SU-10001225"/>
    <s v="Office Supplies"/>
    <s v="Supplies"/>
    <s v="Staple remover"/>
    <n v="140.33000000000001"/>
    <n v="89"/>
    <s v="S726"/>
    <x v="0"/>
    <s v="W33"/>
    <x v="0"/>
    <s v="Maersk"/>
    <s v="Toronto-New York"/>
    <n v="4427"/>
    <n v="81"/>
    <n v="27"/>
    <n v="991.65"/>
    <n v="99.12"/>
    <n v="1090.77"/>
    <x v="0"/>
    <n v="1"/>
    <n v="93.64"/>
    <n v="56"/>
    <n v="75"/>
  </r>
  <r>
    <s v="O1000609"/>
    <s v="C7800"/>
    <x v="513"/>
    <d v="2024-02-21T00:00:00"/>
    <x v="1"/>
    <x v="2"/>
    <x v="4"/>
    <s v="Berlin"/>
    <s v="TEC-AC-10000303"/>
    <s v="Technology"/>
    <s v="Accessories"/>
    <s v="Logitech M510 Wireless Mouse"/>
    <n v="27.57"/>
    <n v="57"/>
    <s v="S699"/>
    <x v="0"/>
    <s v="W5"/>
    <x v="0"/>
    <s v="DHL"/>
    <s v="Toronto-Cape Town"/>
    <n v="3271"/>
    <n v="220"/>
    <n v="9"/>
    <n v="114.79"/>
    <n v="188.11"/>
    <n v="302.89999999999998"/>
    <x v="0"/>
    <n v="10"/>
    <n v="73.25"/>
    <n v="159"/>
    <n v="184"/>
  </r>
  <r>
    <s v="O1000610"/>
    <s v="C2710"/>
    <x v="514"/>
    <d v="2022-12-08T00:00:00"/>
    <x v="1"/>
    <x v="3"/>
    <x v="7"/>
    <s v="New York"/>
    <s v="TEC-PH-10000376"/>
    <s v="Technology"/>
    <s v="Phones"/>
    <s v="Square Credit Card Reader"/>
    <n v="354.17"/>
    <n v="49"/>
    <s v="S471"/>
    <x v="2"/>
    <s v="W42"/>
    <x v="2"/>
    <s v="BlueDart"/>
    <s v="Mumbai-Cape Town"/>
    <n v="4332"/>
    <n v="324"/>
    <n v="8"/>
    <n v="706.6"/>
    <n v="407.2"/>
    <n v="1113.8"/>
    <x v="1"/>
    <n v="0"/>
    <n v="91.76"/>
    <n v="440"/>
    <n v="431"/>
  </r>
  <r>
    <s v="O1000611"/>
    <s v="C9551"/>
    <x v="49"/>
    <d v="2021-11-10T00:00:00"/>
    <x v="1"/>
    <x v="0"/>
    <x v="3"/>
    <s v="Toronto"/>
    <s v="TEC-PH-10002033"/>
    <s v="Technology"/>
    <s v="Phones"/>
    <s v="Konftel 250 Conference phone - Charcoal black"/>
    <n v="430.5"/>
    <n v="10"/>
    <s v="S537"/>
    <x v="2"/>
    <s v="W13"/>
    <x v="2"/>
    <s v="UPS"/>
    <s v="Mumbai-Beijing"/>
    <n v="167"/>
    <n v="219"/>
    <n v="2"/>
    <n v="1203.4000000000001"/>
    <n v="264.05"/>
    <n v="1467.45"/>
    <x v="1"/>
    <n v="0"/>
    <n v="71.13"/>
    <n v="55"/>
    <n v="91"/>
  </r>
  <r>
    <s v="O1000612"/>
    <s v="C9346"/>
    <x v="235"/>
    <d v="2022-04-26T00:00:00"/>
    <x v="1"/>
    <x v="3"/>
    <x v="7"/>
    <s v="Toronto"/>
    <s v="TEC-PH-10002275"/>
    <s v="Technology"/>
    <s v="Phones"/>
    <s v="Mitel 5320 IP Phone VoIP phone"/>
    <n v="288.39"/>
    <n v="2"/>
    <s v="S978"/>
    <x v="2"/>
    <s v="W9"/>
    <x v="0"/>
    <s v="DHL"/>
    <s v="London-Beijing"/>
    <n v="1277"/>
    <n v="321"/>
    <n v="2"/>
    <n v="358.93"/>
    <n v="278.32"/>
    <n v="637.25"/>
    <x v="1"/>
    <n v="0"/>
    <n v="74"/>
    <n v="68"/>
    <n v="36"/>
  </r>
  <r>
    <s v="O1000613"/>
    <s v="C6075"/>
    <x v="515"/>
    <d v="2021-12-02T00:00:00"/>
    <x v="1"/>
    <x v="0"/>
    <x v="0"/>
    <s v="Toronto"/>
    <s v="OFF-LA-10003930"/>
    <s v="Office Supplies"/>
    <s v="Labels"/>
    <s v="Dot Matrix Printer Tape Reel Labels, White, 5000/Box"/>
    <n v="36.25"/>
    <n v="91"/>
    <s v="S516"/>
    <x v="2"/>
    <s v="W11"/>
    <x v="3"/>
    <s v="Maersk"/>
    <s v="São Paulo-São Paulo"/>
    <n v="88"/>
    <n v="379"/>
    <n v="21"/>
    <n v="220.7"/>
    <n v="329.61"/>
    <n v="550.30999999999995"/>
    <x v="1"/>
    <n v="0"/>
    <n v="91.7"/>
    <n v="103"/>
    <n v="75"/>
  </r>
  <r>
    <s v="O1000614"/>
    <s v="C3117"/>
    <x v="516"/>
    <d v="2021-06-17T00:00:00"/>
    <x v="0"/>
    <x v="1"/>
    <x v="5"/>
    <s v="Berlin"/>
    <s v="OFF-AR-10003631"/>
    <s v="Office Supplies"/>
    <s v="Art"/>
    <s v="Staples in misc. colors"/>
    <n v="314.7"/>
    <n v="52"/>
    <s v="S518"/>
    <x v="2"/>
    <s v="W38"/>
    <x v="3"/>
    <s v="FedEx"/>
    <s v="Cape Town-Toronto"/>
    <n v="3008"/>
    <n v="389"/>
    <n v="4"/>
    <n v="593.33000000000004"/>
    <n v="483.39"/>
    <n v="1076.72"/>
    <x v="0"/>
    <n v="14"/>
    <n v="92.9"/>
    <n v="78"/>
    <n v="56"/>
  </r>
  <r>
    <s v="O1000615"/>
    <s v="C5980"/>
    <x v="517"/>
    <d v="2024-03-31T00:00:00"/>
    <x v="2"/>
    <x v="3"/>
    <x v="0"/>
    <s v="London"/>
    <s v="FUR-BO-10000711"/>
    <s v="Furniture"/>
    <s v="Bookcases"/>
    <s v="Hon Metal Bookcases, Gray"/>
    <n v="399.57"/>
    <n v="92"/>
    <s v="S541"/>
    <x v="3"/>
    <s v="W1"/>
    <x v="0"/>
    <s v="BlueDart"/>
    <s v="London-São Paulo"/>
    <n v="675"/>
    <n v="492"/>
    <n v="21"/>
    <n v="1408"/>
    <n v="257.52999999999997"/>
    <n v="1665.53"/>
    <x v="0"/>
    <n v="8"/>
    <n v="72.58"/>
    <n v="181"/>
    <n v="228"/>
  </r>
  <r>
    <s v="O1000616"/>
    <s v="C1500"/>
    <x v="518"/>
    <d v="2024-01-09T00:00:00"/>
    <x v="2"/>
    <x v="2"/>
    <x v="0"/>
    <s v="Beijing"/>
    <s v="FUR-CH-10003379"/>
    <s v="Furniture"/>
    <s v="Chairs"/>
    <s v="Global Commerce Series High-Back Swivel/Tilt Chairs"/>
    <n v="330.73"/>
    <n v="10"/>
    <s v="S950"/>
    <x v="2"/>
    <s v="W38"/>
    <x v="2"/>
    <s v="DHL"/>
    <s v="Cape Town-São Paulo"/>
    <n v="3698"/>
    <n v="233"/>
    <n v="18"/>
    <n v="323.38"/>
    <n v="401.74"/>
    <n v="725.12"/>
    <x v="1"/>
    <n v="0"/>
    <n v="85.95"/>
    <n v="192"/>
    <n v="177"/>
  </r>
  <r>
    <s v="O1000617"/>
    <s v="C8054"/>
    <x v="519"/>
    <d v="2021-03-10T00:00:00"/>
    <x v="2"/>
    <x v="2"/>
    <x v="7"/>
    <s v="Berlin"/>
    <s v="FUR-TA-10001520"/>
    <s v="Furniture"/>
    <s v="Tables"/>
    <s v="Lesro Sheffield Collection Coffee Table, End Table, Center Table, Corner Table"/>
    <n v="498.76"/>
    <n v="4"/>
    <s v="S574"/>
    <x v="1"/>
    <s v="W13"/>
    <x v="3"/>
    <s v="BlueDart"/>
    <s v="Berlin-New York"/>
    <n v="477"/>
    <n v="480"/>
    <n v="23"/>
    <n v="1439.43"/>
    <n v="245.99"/>
    <n v="1685.42"/>
    <x v="1"/>
    <n v="0"/>
    <n v="94.31"/>
    <n v="169"/>
    <n v="170"/>
  </r>
  <r>
    <s v="O1000618"/>
    <s v="C2763"/>
    <x v="520"/>
    <d v="2023-05-21T00:00:00"/>
    <x v="2"/>
    <x v="1"/>
    <x v="7"/>
    <s v="Toronto"/>
    <s v="OFF-BI-10002706"/>
    <s v="Office Supplies"/>
    <s v="Binders"/>
    <s v="Avery Premier Heavy-Duty Binder with Round Locking Rings"/>
    <n v="362.55"/>
    <n v="28"/>
    <s v="S201"/>
    <x v="1"/>
    <s v="W16"/>
    <x v="0"/>
    <s v="DHL"/>
    <s v="São Paulo-London"/>
    <n v="4088"/>
    <n v="128"/>
    <n v="11"/>
    <n v="1385.25"/>
    <n v="486.06"/>
    <n v="1871.31"/>
    <x v="0"/>
    <n v="14"/>
    <n v="92.79"/>
    <n v="406"/>
    <n v="369"/>
  </r>
  <r>
    <s v="O1000619"/>
    <s v="C9932"/>
    <x v="521"/>
    <d v="2021-11-29T00:00:00"/>
    <x v="0"/>
    <x v="2"/>
    <x v="5"/>
    <s v="Mumbai"/>
    <s v="OFF-PA-10001952"/>
    <s v="Office Supplies"/>
    <s v="Paper"/>
    <s v="Xerox 1902"/>
    <n v="161.61000000000001"/>
    <n v="11"/>
    <s v="S400"/>
    <x v="3"/>
    <s v="W37"/>
    <x v="3"/>
    <s v="Maersk"/>
    <s v="Berlin-Berlin"/>
    <n v="4758"/>
    <n v="129"/>
    <n v="22"/>
    <n v="1929.56"/>
    <n v="266.43"/>
    <n v="2195.9899999999998"/>
    <x v="1"/>
    <n v="0"/>
    <n v="88.77"/>
    <n v="452"/>
    <n v="463"/>
  </r>
  <r>
    <s v="O1000620"/>
    <s v="C6107"/>
    <x v="522"/>
    <d v="2022-03-10T00:00:00"/>
    <x v="2"/>
    <x v="3"/>
    <x v="1"/>
    <s v="Cape Town"/>
    <s v="FUR-CH-10000225"/>
    <s v="Furniture"/>
    <s v="Chairs"/>
    <s v="Global Geo Office Task Chair, Gray"/>
    <n v="29.23"/>
    <n v="32"/>
    <s v="S500"/>
    <x v="1"/>
    <s v="W34"/>
    <x v="2"/>
    <s v="DHL"/>
    <s v="London-São Paulo"/>
    <n v="206"/>
    <n v="235"/>
    <n v="10"/>
    <n v="1074.4000000000001"/>
    <n v="158.57"/>
    <n v="1232.97"/>
    <x v="0"/>
    <n v="13"/>
    <n v="99.48"/>
    <n v="100"/>
    <n v="145"/>
  </r>
  <r>
    <s v="O1000621"/>
    <s v="C6145"/>
    <x v="523"/>
    <d v="2024-07-06T00:00:00"/>
    <x v="0"/>
    <x v="1"/>
    <x v="1"/>
    <s v="London"/>
    <s v="OFF-AR-10003772"/>
    <s v="Office Supplies"/>
    <s v="Art"/>
    <s v="Boston 16750 Black Compact Battery Pencil Sharpener"/>
    <n v="456.5"/>
    <n v="56"/>
    <s v="S176"/>
    <x v="2"/>
    <s v="W20"/>
    <x v="0"/>
    <s v="Maersk"/>
    <s v="Berlin-Beijing"/>
    <n v="2772"/>
    <n v="52"/>
    <n v="28"/>
    <n v="1032.74"/>
    <n v="372.69"/>
    <n v="1405.43"/>
    <x v="1"/>
    <n v="0"/>
    <n v="72.59"/>
    <n v="307"/>
    <n v="267"/>
  </r>
  <r>
    <s v="O1000622"/>
    <s v="C3211"/>
    <x v="524"/>
    <d v="2021-01-16T00:00:00"/>
    <x v="2"/>
    <x v="0"/>
    <x v="6"/>
    <s v="Mumbai"/>
    <s v="OFF-BI-10002852"/>
    <s v="Office Supplies"/>
    <s v="Binders"/>
    <s v="Ibico Standard Transparent Covers"/>
    <n v="136.74"/>
    <n v="89"/>
    <s v="S800"/>
    <x v="3"/>
    <s v="W4"/>
    <x v="3"/>
    <s v="FedEx"/>
    <s v="New York-São Paulo"/>
    <n v="729"/>
    <n v="440"/>
    <n v="13"/>
    <n v="1054.8599999999999"/>
    <n v="388.22"/>
    <n v="1443.08"/>
    <x v="1"/>
    <n v="0"/>
    <n v="95.51"/>
    <n v="469"/>
    <n v="484"/>
  </r>
  <r>
    <s v="O1000623"/>
    <s v="C9396"/>
    <x v="525"/>
    <d v="2023-12-31T00:00:00"/>
    <x v="2"/>
    <x v="1"/>
    <x v="4"/>
    <s v="Beijing"/>
    <s v="OFF-EN-10003286"/>
    <s v="Office Supplies"/>
    <s v="Envelopes"/>
    <s v="Staple envelope"/>
    <n v="213.73"/>
    <n v="75"/>
    <s v="S103"/>
    <x v="3"/>
    <s v="W2"/>
    <x v="0"/>
    <s v="UPS"/>
    <s v="Beijing-London"/>
    <n v="2155"/>
    <n v="397"/>
    <n v="7"/>
    <n v="378.03"/>
    <n v="411.83"/>
    <n v="789.8599999999999"/>
    <x v="1"/>
    <n v="0"/>
    <n v="71.05"/>
    <n v="479"/>
    <n v="490"/>
  </r>
  <r>
    <s v="O1000624"/>
    <s v="C2280"/>
    <x v="221"/>
    <d v="2022-05-19T00:00:00"/>
    <x v="2"/>
    <x v="1"/>
    <x v="3"/>
    <s v="São Paulo"/>
    <s v="FUR-FU-10003981"/>
    <s v="Furniture"/>
    <s v="Furnishings"/>
    <s v="Eldon Wave Desk Accessories"/>
    <n v="34.35"/>
    <n v="46"/>
    <s v="S631"/>
    <x v="0"/>
    <s v="W49"/>
    <x v="0"/>
    <s v="BlueDart"/>
    <s v="São Paulo-Toronto"/>
    <n v="215"/>
    <n v="456"/>
    <n v="29"/>
    <n v="385.04"/>
    <n v="285.83999999999997"/>
    <n v="670.88"/>
    <x v="1"/>
    <n v="0"/>
    <n v="70.91"/>
    <n v="82"/>
    <n v="126"/>
  </r>
  <r>
    <s v="O1000625"/>
    <s v="C4540"/>
    <x v="526"/>
    <d v="2024-08-12T00:00:00"/>
    <x v="2"/>
    <x v="1"/>
    <x v="4"/>
    <s v="London"/>
    <s v="OFF-BI-10004995"/>
    <s v="Office Supplies"/>
    <s v="Binders"/>
    <s v="GBC DocuBind P400 Electric Binding System"/>
    <n v="66.680000000000007"/>
    <n v="26"/>
    <s v="S167"/>
    <x v="0"/>
    <s v="W36"/>
    <x v="0"/>
    <s v="FedEx"/>
    <s v="Berlin-London"/>
    <n v="4080"/>
    <n v="147"/>
    <n v="6"/>
    <n v="98.66"/>
    <n v="492.83"/>
    <n v="591.49"/>
    <x v="1"/>
    <n v="0"/>
    <n v="98.42"/>
    <n v="100"/>
    <n v="67"/>
  </r>
  <r>
    <s v="O1000626"/>
    <s v="C7376"/>
    <x v="527"/>
    <d v="2023-12-24T00:00:00"/>
    <x v="1"/>
    <x v="1"/>
    <x v="6"/>
    <s v="Mumbai"/>
    <s v="OFF-FA-10000624"/>
    <s v="Office Supplies"/>
    <s v="Fasteners"/>
    <s v="OIC Binder Clips"/>
    <n v="27.69"/>
    <n v="55"/>
    <s v="S884"/>
    <x v="2"/>
    <s v="W18"/>
    <x v="1"/>
    <s v="Maersk"/>
    <s v="Mumbai-Mumbai"/>
    <n v="2962"/>
    <n v="233"/>
    <n v="2"/>
    <n v="1220.95"/>
    <n v="354.45"/>
    <n v="1575.4"/>
    <x v="1"/>
    <n v="0"/>
    <n v="83.47"/>
    <n v="329"/>
    <n v="351"/>
  </r>
  <r>
    <s v="O1000627"/>
    <s v="C9994"/>
    <x v="528"/>
    <d v="2024-09-03T00:00:00"/>
    <x v="2"/>
    <x v="0"/>
    <x v="6"/>
    <s v="Berlin"/>
    <s v="OFF-PA-10001725"/>
    <s v="Office Supplies"/>
    <s v="Paper"/>
    <s v="Xerox 1892"/>
    <n v="266.5"/>
    <n v="89"/>
    <s v="S334"/>
    <x v="2"/>
    <s v="W10"/>
    <x v="2"/>
    <s v="DHL"/>
    <s v="Cape Town-New York"/>
    <n v="4591"/>
    <n v="221"/>
    <n v="13"/>
    <n v="630.46"/>
    <n v="336"/>
    <n v="966.46"/>
    <x v="1"/>
    <n v="0"/>
    <n v="73.88"/>
    <n v="391"/>
    <n v="378"/>
  </r>
  <r>
    <s v="O1000628"/>
    <s v="C7537"/>
    <x v="529"/>
    <d v="2022-01-05T00:00:00"/>
    <x v="2"/>
    <x v="4"/>
    <x v="7"/>
    <s v="Toronto"/>
    <s v="TEC-MA-10000423"/>
    <s v="Technology"/>
    <s v="Machines"/>
    <s v="Texas Instruments TI-34 Scientific Calculator"/>
    <n v="430.34"/>
    <n v="88"/>
    <s v="S227"/>
    <x v="4"/>
    <s v="W4"/>
    <x v="1"/>
    <s v="BlueDart"/>
    <s v="Beijing-Beijing"/>
    <n v="4201"/>
    <n v="449"/>
    <n v="28"/>
    <n v="1860.87"/>
    <n v="438.96"/>
    <n v="2299.83"/>
    <x v="1"/>
    <n v="0"/>
    <n v="97.06"/>
    <n v="242"/>
    <n v="216"/>
  </r>
  <r>
    <s v="O1000629"/>
    <s v="C2328"/>
    <x v="530"/>
    <d v="2024-01-13T00:00:00"/>
    <x v="1"/>
    <x v="3"/>
    <x v="7"/>
    <s v="Cape Town"/>
    <s v="TEC-PH-10000215"/>
    <s v="Technology"/>
    <s v="Phones"/>
    <s v="Plantronics Cordless Phone Headset with In-line Volume - M214C"/>
    <n v="213.44"/>
    <n v="6"/>
    <s v="S343"/>
    <x v="2"/>
    <s v="W30"/>
    <x v="1"/>
    <s v="Maersk"/>
    <s v="Berlin-New York"/>
    <n v="3590"/>
    <n v="216"/>
    <n v="10"/>
    <n v="277.41000000000003"/>
    <n v="42.56"/>
    <n v="319.97000000000003"/>
    <x v="1"/>
    <n v="0"/>
    <n v="86.74"/>
    <n v="82"/>
    <n v="81"/>
  </r>
  <r>
    <s v="O1000630"/>
    <s v="C9021"/>
    <x v="499"/>
    <d v="2021-08-11T00:00:00"/>
    <x v="2"/>
    <x v="3"/>
    <x v="4"/>
    <s v="Berlin"/>
    <s v="OFF-PA-10000167"/>
    <s v="Office Supplies"/>
    <s v="Paper"/>
    <s v="Xerox 1925"/>
    <n v="28.94"/>
    <n v="68"/>
    <s v="S156"/>
    <x v="0"/>
    <s v="W34"/>
    <x v="2"/>
    <s v="DHL"/>
    <s v="Mumbai-London"/>
    <n v="300"/>
    <n v="369"/>
    <n v="20"/>
    <n v="85.79"/>
    <n v="132.22999999999999"/>
    <n v="218.02"/>
    <x v="1"/>
    <n v="0"/>
    <n v="73.12"/>
    <n v="382"/>
    <n v="371"/>
  </r>
  <r>
    <s v="O1000631"/>
    <s v="C7638"/>
    <x v="33"/>
    <d v="2022-07-05T00:00:00"/>
    <x v="2"/>
    <x v="3"/>
    <x v="1"/>
    <s v="London"/>
    <s v="FUR-BO-10001608"/>
    <s v="Furniture"/>
    <s v="Bookcases"/>
    <s v="Hon Metal Bookcases, Black"/>
    <n v="33.56"/>
    <n v="6"/>
    <s v="S386"/>
    <x v="3"/>
    <s v="W19"/>
    <x v="0"/>
    <s v="BlueDart"/>
    <s v="Toronto-Toronto"/>
    <n v="1726"/>
    <n v="410"/>
    <n v="17"/>
    <n v="1830.13"/>
    <n v="419.98"/>
    <n v="2250.11"/>
    <x v="1"/>
    <n v="0"/>
    <n v="76.489999999999995"/>
    <n v="168"/>
    <n v="136"/>
  </r>
  <r>
    <s v="O1000632"/>
    <s v="C1516"/>
    <x v="531"/>
    <d v="2023-09-26T00:00:00"/>
    <x v="2"/>
    <x v="0"/>
    <x v="7"/>
    <s v="Berlin"/>
    <s v="OFF-AP-10001005"/>
    <s v="Office Supplies"/>
    <s v="Appliances"/>
    <s v="Honeywell Quietcare HEPA Air Cleaner"/>
    <n v="37.409999999999997"/>
    <n v="77"/>
    <s v="S104"/>
    <x v="4"/>
    <s v="W20"/>
    <x v="3"/>
    <s v="FedEx"/>
    <s v="Mumbai-London"/>
    <n v="1717"/>
    <n v="80"/>
    <n v="2"/>
    <n v="628.51"/>
    <n v="100.25"/>
    <n v="728.76"/>
    <x v="1"/>
    <n v="0"/>
    <n v="91.99"/>
    <n v="225"/>
    <n v="197"/>
  </r>
  <r>
    <s v="O1000633"/>
    <s v="C9197"/>
    <x v="532"/>
    <d v="2024-04-17T00:00:00"/>
    <x v="0"/>
    <x v="4"/>
    <x v="0"/>
    <s v="Berlin"/>
    <s v="OFF-AR-10003469"/>
    <s v="Office Supplies"/>
    <s v="Art"/>
    <s v="Nontoxic Chalk"/>
    <n v="321.05"/>
    <n v="80"/>
    <s v="S843"/>
    <x v="2"/>
    <s v="W37"/>
    <x v="0"/>
    <s v="BlueDart"/>
    <s v="New York-Toronto"/>
    <n v="1568"/>
    <n v="447"/>
    <n v="3"/>
    <n v="509.65"/>
    <n v="218.12"/>
    <n v="727.77"/>
    <x v="1"/>
    <n v="0"/>
    <n v="90.88"/>
    <n v="485"/>
    <n v="512"/>
  </r>
  <r>
    <s v="O1000634"/>
    <s v="C6724"/>
    <x v="533"/>
    <d v="2020-11-23T00:00:00"/>
    <x v="2"/>
    <x v="3"/>
    <x v="0"/>
    <s v="Berlin"/>
    <s v="OFF-BI-10000756"/>
    <s v="Office Supplies"/>
    <s v="Binders"/>
    <s v="Storex DuraTech Recycled Plastic Frosted Binders"/>
    <n v="396.34"/>
    <n v="31"/>
    <s v="S940"/>
    <x v="2"/>
    <s v="W21"/>
    <x v="3"/>
    <s v="UPS"/>
    <s v="Berlin-Toronto"/>
    <n v="4475"/>
    <n v="303"/>
    <n v="18"/>
    <n v="619.54999999999995"/>
    <n v="403.03"/>
    <n v="1022.58"/>
    <x v="1"/>
    <n v="0"/>
    <n v="92.62"/>
    <n v="416"/>
    <n v="445"/>
  </r>
  <r>
    <s v="O1000635"/>
    <s v="C1582"/>
    <x v="534"/>
    <d v="2020-08-07T00:00:00"/>
    <x v="2"/>
    <x v="1"/>
    <x v="0"/>
    <s v="Mumbai"/>
    <s v="OFF-PA-10000587"/>
    <s v="Office Supplies"/>
    <s v="Paper"/>
    <s v="Array Parchment Paper, Assorted Colors"/>
    <n v="378.94"/>
    <n v="82"/>
    <s v="S196"/>
    <x v="2"/>
    <s v="W13"/>
    <x v="0"/>
    <s v="DHL"/>
    <s v="Beijing-Toronto"/>
    <n v="2027"/>
    <n v="376"/>
    <n v="25"/>
    <n v="713.29"/>
    <n v="119.9"/>
    <n v="833.18999999999994"/>
    <x v="1"/>
    <n v="0"/>
    <n v="95.91"/>
    <n v="356"/>
    <n v="330"/>
  </r>
  <r>
    <s v="O1000636"/>
    <s v="C4432"/>
    <x v="535"/>
    <d v="2021-04-18T00:00:00"/>
    <x v="1"/>
    <x v="3"/>
    <x v="2"/>
    <s v="London"/>
    <s v="OFF-PA-10001166"/>
    <s v="Office Supplies"/>
    <s v="Paper"/>
    <s v="Xerox 2"/>
    <n v="119.51"/>
    <n v="11"/>
    <s v="S149"/>
    <x v="1"/>
    <s v="W20"/>
    <x v="1"/>
    <s v="FedEx"/>
    <s v="Cape Town-São Paulo"/>
    <n v="3425"/>
    <n v="340"/>
    <n v="19"/>
    <n v="1008.06"/>
    <n v="152.47"/>
    <n v="1160.53"/>
    <x v="1"/>
    <n v="0"/>
    <n v="84.44"/>
    <n v="176"/>
    <n v="172"/>
  </r>
  <r>
    <s v="O1000637"/>
    <s v="C3899"/>
    <x v="536"/>
    <d v="2022-11-02T00:00:00"/>
    <x v="1"/>
    <x v="2"/>
    <x v="3"/>
    <s v="Mumbai"/>
    <s v="OFF-ST-10004123"/>
    <s v="Office Supplies"/>
    <s v="Storage"/>
    <s v="Safco Industrial Wire Shelving System"/>
    <n v="405.96"/>
    <n v="56"/>
    <s v="S139"/>
    <x v="4"/>
    <s v="W12"/>
    <x v="3"/>
    <s v="UPS"/>
    <s v="Beijing-Cape Town"/>
    <n v="2396"/>
    <n v="375"/>
    <n v="19"/>
    <n v="1966.33"/>
    <n v="125.53"/>
    <n v="2091.86"/>
    <x v="1"/>
    <n v="0"/>
    <n v="90.54"/>
    <n v="358"/>
    <n v="356"/>
  </r>
  <r>
    <s v="O1000638"/>
    <s v="C8379"/>
    <x v="395"/>
    <d v="2024-09-27T00:00:00"/>
    <x v="1"/>
    <x v="0"/>
    <x v="2"/>
    <s v="Berlin"/>
    <s v="TEC-MA-10001972"/>
    <s v="Technology"/>
    <s v="Machines"/>
    <s v="Okidata C331dn Printer"/>
    <n v="29.84"/>
    <n v="49"/>
    <s v="S582"/>
    <x v="2"/>
    <s v="W29"/>
    <x v="1"/>
    <s v="FedEx"/>
    <s v="New York-Cape Town"/>
    <n v="1520"/>
    <n v="246"/>
    <n v="17"/>
    <n v="1910.21"/>
    <n v="136.76"/>
    <n v="2046.97"/>
    <x v="0"/>
    <n v="11"/>
    <n v="89.92"/>
    <n v="171"/>
    <n v="204"/>
  </r>
  <r>
    <s v="O1000639"/>
    <s v="C5612"/>
    <x v="537"/>
    <d v="2024-03-14T00:00:00"/>
    <x v="2"/>
    <x v="4"/>
    <x v="0"/>
    <s v="São Paulo"/>
    <s v="TEC-PH-10000369"/>
    <s v="Technology"/>
    <s v="Phones"/>
    <s v="HTC One Mini"/>
    <n v="75.489999999999995"/>
    <n v="43"/>
    <s v="S640"/>
    <x v="4"/>
    <s v="W31"/>
    <x v="2"/>
    <s v="DHL"/>
    <s v="London-Beijing"/>
    <n v="1155"/>
    <n v="360"/>
    <n v="15"/>
    <n v="1953.5"/>
    <n v="337.27"/>
    <n v="2290.77"/>
    <x v="1"/>
    <n v="0"/>
    <n v="88.37"/>
    <n v="151"/>
    <n v="129"/>
  </r>
  <r>
    <s v="O1000640"/>
    <s v="C2640"/>
    <x v="142"/>
    <d v="2021-02-08T00:00:00"/>
    <x v="2"/>
    <x v="4"/>
    <x v="6"/>
    <s v="Cape Town"/>
    <s v="FUR-FU-10000550"/>
    <s v="Furniture"/>
    <s v="Furnishings"/>
    <s v="Stacking Trays by OIC"/>
    <n v="275.60000000000002"/>
    <n v="67"/>
    <s v="S649"/>
    <x v="3"/>
    <s v="W6"/>
    <x v="0"/>
    <s v="UPS"/>
    <s v="London-London"/>
    <n v="811"/>
    <n v="319"/>
    <n v="29"/>
    <n v="1751.11"/>
    <n v="301.08"/>
    <n v="2052.19"/>
    <x v="1"/>
    <n v="0"/>
    <n v="81.77"/>
    <n v="129"/>
    <n v="93"/>
  </r>
  <r>
    <s v="O1000641"/>
    <s v="C4160"/>
    <x v="538"/>
    <d v="2022-11-04T00:00:00"/>
    <x v="2"/>
    <x v="4"/>
    <x v="2"/>
    <s v="Mumbai"/>
    <s v="FUR-FU-10004071"/>
    <s v="Furniture"/>
    <s v="Furnishings"/>
    <s v="Luxo Professional Magnifying Clamp-On Fluorescent Lamps"/>
    <n v="203.98"/>
    <n v="71"/>
    <s v="S508"/>
    <x v="4"/>
    <s v="W18"/>
    <x v="3"/>
    <s v="FedEx"/>
    <s v="Mumbai-New York"/>
    <n v="742"/>
    <n v="416"/>
    <n v="21"/>
    <n v="1950.98"/>
    <n v="187.82"/>
    <n v="2138.8000000000002"/>
    <x v="1"/>
    <n v="0"/>
    <n v="98.06"/>
    <n v="458"/>
    <n v="453"/>
  </r>
  <r>
    <s v="O1000642"/>
    <s v="C9612"/>
    <x v="539"/>
    <d v="2023-09-02T00:00:00"/>
    <x v="2"/>
    <x v="2"/>
    <x v="0"/>
    <s v="Toronto"/>
    <s v="OFF-AP-10001303"/>
    <s v="Office Supplies"/>
    <s v="Appliances"/>
    <s v="Holmes Cool Mist Humidifier for the Whole House with 8-Gallon Output per Day, Extended Life Filter"/>
    <n v="45.22"/>
    <n v="27"/>
    <s v="S871"/>
    <x v="4"/>
    <s v="W47"/>
    <x v="0"/>
    <s v="DHL"/>
    <s v="Beijing-Cape Town"/>
    <n v="2622"/>
    <n v="224"/>
    <n v="19"/>
    <n v="1078.24"/>
    <n v="70.180000000000007"/>
    <n v="1148.42"/>
    <x v="1"/>
    <n v="0"/>
    <n v="78.150000000000006"/>
    <n v="171"/>
    <n v="164"/>
  </r>
  <r>
    <s v="O1000643"/>
    <s v="C6947"/>
    <x v="540"/>
    <d v="2024-02-04T00:00:00"/>
    <x v="0"/>
    <x v="1"/>
    <x v="1"/>
    <s v="Beijing"/>
    <s v="OFF-AP-10003860"/>
    <s v="Office Supplies"/>
    <s v="Appliances"/>
    <s v="Fellowes Advanced 8 Outlet Surge Suppressor with Phone/Fax Protection"/>
    <n v="57.33"/>
    <n v="54"/>
    <s v="S972"/>
    <x v="2"/>
    <s v="W14"/>
    <x v="2"/>
    <s v="FedEx"/>
    <s v="New York-São Paulo"/>
    <n v="2261"/>
    <n v="262"/>
    <n v="1"/>
    <n v="628.4"/>
    <n v="26.92"/>
    <n v="655.31999999999994"/>
    <x v="1"/>
    <n v="0"/>
    <n v="84.54"/>
    <n v="307"/>
    <n v="269"/>
  </r>
  <r>
    <s v="O1000644"/>
    <s v="C6096"/>
    <x v="541"/>
    <d v="2021-06-19T00:00:00"/>
    <x v="2"/>
    <x v="3"/>
    <x v="5"/>
    <s v="São Paulo"/>
    <s v="OFF-AR-10001919"/>
    <s v="Office Supplies"/>
    <s v="Art"/>
    <s v="OIC #2 Pencils, Medium Soft"/>
    <n v="64.17"/>
    <n v="35"/>
    <s v="S929"/>
    <x v="0"/>
    <s v="W5"/>
    <x v="0"/>
    <s v="BlueDart"/>
    <s v="São Paulo-New York"/>
    <n v="4749"/>
    <n v="62"/>
    <n v="21"/>
    <n v="852.42"/>
    <n v="38.75"/>
    <n v="891.17"/>
    <x v="1"/>
    <n v="0"/>
    <n v="80.47"/>
    <n v="356"/>
    <n v="337"/>
  </r>
  <r>
    <s v="O1000645"/>
    <s v="C1268"/>
    <x v="456"/>
    <d v="2021-11-27T00:00:00"/>
    <x v="2"/>
    <x v="1"/>
    <x v="2"/>
    <s v="Mumbai"/>
    <s v="OFF-AR-10003056"/>
    <s v="Office Supplies"/>
    <s v="Art"/>
    <s v="Newell 341"/>
    <n v="269.12"/>
    <n v="28"/>
    <s v="S876"/>
    <x v="0"/>
    <s v="W28"/>
    <x v="1"/>
    <s v="BlueDart"/>
    <s v="Cape Town-Mumbai"/>
    <n v="4118"/>
    <n v="192"/>
    <n v="21"/>
    <n v="1128.6099999999999"/>
    <n v="30.65"/>
    <n v="1159.26"/>
    <x v="1"/>
    <n v="0"/>
    <n v="99.39"/>
    <n v="79"/>
    <n v="45"/>
  </r>
  <r>
    <s v="O1000646"/>
    <s v="C6427"/>
    <x v="542"/>
    <d v="2023-12-22T00:00:00"/>
    <x v="1"/>
    <x v="1"/>
    <x v="5"/>
    <s v="New York"/>
    <s v="OFF-BI-10000069"/>
    <s v="Office Supplies"/>
    <s v="Binders"/>
    <s v="GBC Prepunched Paper, 19-Hole, for Binding Systems, 24-lb"/>
    <n v="125.26"/>
    <n v="55"/>
    <s v="S983"/>
    <x v="1"/>
    <s v="W6"/>
    <x v="0"/>
    <s v="BlueDart"/>
    <s v="Cape Town-London"/>
    <n v="2441"/>
    <n v="133"/>
    <n v="27"/>
    <n v="767.99"/>
    <n v="422.62"/>
    <n v="1190.6099999999999"/>
    <x v="1"/>
    <n v="0"/>
    <n v="92.57"/>
    <n v="314"/>
    <n v="279"/>
  </r>
  <r>
    <s v="O1000647"/>
    <s v="C2585"/>
    <x v="543"/>
    <d v="2021-05-26T00:00:00"/>
    <x v="2"/>
    <x v="2"/>
    <x v="2"/>
    <s v="New York"/>
    <s v="OFF-BI-10001116"/>
    <s v="Office Supplies"/>
    <s v="Binders"/>
    <s v="Wilson Jones 1&quot; Hanging DublLock Ring Binders"/>
    <n v="399.09"/>
    <n v="70"/>
    <s v="S238"/>
    <x v="3"/>
    <s v="W23"/>
    <x v="1"/>
    <s v="BlueDart"/>
    <s v="Beijing-London"/>
    <n v="1493"/>
    <n v="418"/>
    <n v="21"/>
    <n v="1592.27"/>
    <n v="320.58999999999997"/>
    <n v="1912.86"/>
    <x v="1"/>
    <n v="0"/>
    <n v="98.08"/>
    <n v="480"/>
    <n v="471"/>
  </r>
  <r>
    <s v="O1000648"/>
    <s v="C2261"/>
    <x v="184"/>
    <d v="2024-08-07T00:00:00"/>
    <x v="0"/>
    <x v="4"/>
    <x v="3"/>
    <s v="London"/>
    <s v="OFF-BI-10002931"/>
    <s v="Office Supplies"/>
    <s v="Binders"/>
    <s v="Avery Trapezoid Extra Heavy Duty 4&quot; Binders"/>
    <n v="206.16"/>
    <n v="85"/>
    <s v="S781"/>
    <x v="1"/>
    <s v="W48"/>
    <x v="1"/>
    <s v="FedEx"/>
    <s v="New York-Mumbai"/>
    <n v="3018"/>
    <n v="441"/>
    <n v="18"/>
    <n v="1769.19"/>
    <n v="211.68"/>
    <n v="1980.87"/>
    <x v="1"/>
    <n v="0"/>
    <n v="77.2"/>
    <n v="85"/>
    <n v="76"/>
  </r>
  <r>
    <s v="O1000649"/>
    <s v="C9191"/>
    <x v="544"/>
    <d v="2023-12-21T00:00:00"/>
    <x v="1"/>
    <x v="3"/>
    <x v="1"/>
    <s v="Mumbai"/>
    <s v="OFF-EN-10001539"/>
    <s v="Office Supplies"/>
    <s v="Envelopes"/>
    <s v="Staple envelope"/>
    <n v="25.38"/>
    <n v="51"/>
    <s v="S712"/>
    <x v="3"/>
    <s v="W34"/>
    <x v="3"/>
    <s v="BlueDart"/>
    <s v="London-New York"/>
    <n v="2094"/>
    <n v="456"/>
    <n v="3"/>
    <n v="1514.06"/>
    <n v="168.17"/>
    <n v="1682.23"/>
    <x v="1"/>
    <n v="0"/>
    <n v="89.26"/>
    <n v="179"/>
    <n v="196"/>
  </r>
  <r>
    <s v="O1000650"/>
    <s v="C4307"/>
    <x v="545"/>
    <d v="2021-12-20T00:00:00"/>
    <x v="2"/>
    <x v="0"/>
    <x v="4"/>
    <s v="London"/>
    <s v="OFF-PA-10003883"/>
    <s v="Office Supplies"/>
    <s v="Paper"/>
    <s v="Message Book, Phone, Wirebound Standard Line Memo, 2 3/4&quot; X 5&quot;"/>
    <n v="181.96"/>
    <n v="41"/>
    <s v="S306"/>
    <x v="2"/>
    <s v="W24"/>
    <x v="2"/>
    <s v="UPS"/>
    <s v="New York-Toronto"/>
    <n v="2369"/>
    <n v="70"/>
    <n v="27"/>
    <n v="1223.1400000000001"/>
    <n v="97.63"/>
    <n v="1320.77"/>
    <x v="1"/>
    <n v="0"/>
    <n v="99.92"/>
    <n v="155"/>
    <n v="121"/>
  </r>
  <r>
    <s v="O1000651"/>
    <s v="C9614"/>
    <x v="546"/>
    <d v="2024-04-27T00:00:00"/>
    <x v="0"/>
    <x v="0"/>
    <x v="6"/>
    <s v="Cape Town"/>
    <s v="OFF-ST-10002444"/>
    <s v="Office Supplies"/>
    <s v="Storage"/>
    <s v="Recycled Eldon Regeneration Jumbo File"/>
    <n v="407.9"/>
    <n v="62"/>
    <s v="S585"/>
    <x v="2"/>
    <s v="W15"/>
    <x v="1"/>
    <s v="Maersk"/>
    <s v="Mumbai-London"/>
    <n v="856"/>
    <n v="380"/>
    <n v="8"/>
    <n v="907"/>
    <n v="48.93"/>
    <n v="955.93"/>
    <x v="1"/>
    <n v="0"/>
    <n v="95.27"/>
    <n v="256"/>
    <n v="287"/>
  </r>
  <r>
    <s v="O1000652"/>
    <s v="C8692"/>
    <x v="318"/>
    <d v="2024-07-17T00:00:00"/>
    <x v="1"/>
    <x v="3"/>
    <x v="2"/>
    <s v="São Paulo"/>
    <s v="TEC-AC-10003628"/>
    <s v="Technology"/>
    <s v="Accessories"/>
    <s v="Logitech 910-002974 M325 Wireless Mouse for Web Scrolling"/>
    <n v="75.73"/>
    <n v="12"/>
    <s v="S844"/>
    <x v="0"/>
    <s v="W42"/>
    <x v="3"/>
    <s v="DHL"/>
    <s v="Cape Town-Toronto"/>
    <n v="4821"/>
    <n v="350"/>
    <n v="12"/>
    <n v="1702.38"/>
    <n v="34.83"/>
    <n v="1737.21"/>
    <x v="1"/>
    <n v="0"/>
    <n v="81.16"/>
    <n v="442"/>
    <n v="441"/>
  </r>
  <r>
    <s v="O1000653"/>
    <s v="C8788"/>
    <x v="547"/>
    <d v="2020-12-22T00:00:00"/>
    <x v="2"/>
    <x v="2"/>
    <x v="7"/>
    <s v="Berlin"/>
    <s v="TEC-MA-10004521"/>
    <s v="Technology"/>
    <s v="Machines"/>
    <s v="Epson Perfection V600 Photo Scanner"/>
    <n v="486.61"/>
    <n v="58"/>
    <s v="S791"/>
    <x v="1"/>
    <s v="W3"/>
    <x v="3"/>
    <s v="Maersk"/>
    <s v="Mumbai-Mumbai"/>
    <n v="1807"/>
    <n v="487"/>
    <n v="20"/>
    <n v="255.05"/>
    <n v="393.12"/>
    <n v="648.17000000000007"/>
    <x v="1"/>
    <n v="0"/>
    <n v="95.8"/>
    <n v="412"/>
    <n v="422"/>
  </r>
  <r>
    <s v="O1000654"/>
    <s v="C4442"/>
    <x v="449"/>
    <d v="2024-07-01T00:00:00"/>
    <x v="2"/>
    <x v="2"/>
    <x v="1"/>
    <s v="London"/>
    <s v="TEC-PH-10001578"/>
    <s v="Technology"/>
    <s v="Phones"/>
    <s v="Polycom SoundStation2 EX Conference phone"/>
    <n v="481.76"/>
    <n v="53"/>
    <s v="S495"/>
    <x v="0"/>
    <s v="W40"/>
    <x v="2"/>
    <s v="DHL"/>
    <s v="Toronto-Beijing"/>
    <n v="2864"/>
    <n v="482"/>
    <n v="12"/>
    <n v="1718.96"/>
    <n v="291.57"/>
    <n v="2010.53"/>
    <x v="1"/>
    <n v="0"/>
    <n v="71.290000000000006"/>
    <n v="146"/>
    <n v="186"/>
  </r>
  <r>
    <s v="O1000655"/>
    <s v="C4147"/>
    <x v="548"/>
    <d v="2024-01-02T00:00:00"/>
    <x v="2"/>
    <x v="1"/>
    <x v="6"/>
    <s v="Beijing"/>
    <s v="TEC-PH-10002033"/>
    <s v="Technology"/>
    <s v="Phones"/>
    <s v="Konftel 250 Conference phone - Charcoal black"/>
    <n v="97.52"/>
    <n v="26"/>
    <s v="S504"/>
    <x v="1"/>
    <s v="W42"/>
    <x v="1"/>
    <s v="FedEx"/>
    <s v="Toronto-London"/>
    <n v="1160"/>
    <n v="332"/>
    <n v="9"/>
    <n v="893.68"/>
    <n v="241.95"/>
    <n v="1135.6300000000001"/>
    <x v="1"/>
    <n v="0"/>
    <n v="96.54"/>
    <n v="287"/>
    <n v="243"/>
  </r>
  <r>
    <s v="O1000656"/>
    <s v="C5636"/>
    <x v="549"/>
    <d v="2022-10-24T00:00:00"/>
    <x v="2"/>
    <x v="1"/>
    <x v="6"/>
    <s v="London"/>
    <s v="TEC-PH-10003963"/>
    <s v="Technology"/>
    <s v="Phones"/>
    <s v="GE 2-Jack Phone Line Splitter"/>
    <n v="323.66000000000003"/>
    <n v="60"/>
    <s v="S752"/>
    <x v="3"/>
    <s v="W44"/>
    <x v="3"/>
    <s v="UPS"/>
    <s v="Toronto-New York"/>
    <n v="4472"/>
    <n v="96"/>
    <n v="25"/>
    <n v="1856.05"/>
    <n v="110.62"/>
    <n v="1966.67"/>
    <x v="1"/>
    <n v="0"/>
    <n v="86.12"/>
    <n v="427"/>
    <n v="461"/>
  </r>
  <r>
    <s v="O1000657"/>
    <s v="C6534"/>
    <x v="550"/>
    <d v="2022-07-09T00:00:00"/>
    <x v="1"/>
    <x v="2"/>
    <x v="1"/>
    <s v="Toronto"/>
    <s v="TEC-PH-10004539"/>
    <s v="Technology"/>
    <s v="Phones"/>
    <s v="Wireless Extenders zBoost YX545 SOHO Signal Booster"/>
    <n v="124.41"/>
    <n v="69"/>
    <s v="S332"/>
    <x v="3"/>
    <s v="W31"/>
    <x v="3"/>
    <s v="Maersk"/>
    <s v="London-Mumbai"/>
    <n v="3496"/>
    <n v="167"/>
    <n v="11"/>
    <n v="774.91"/>
    <n v="355.77"/>
    <n v="1130.68"/>
    <x v="0"/>
    <n v="9"/>
    <n v="91.18"/>
    <n v="136"/>
    <n v="114"/>
  </r>
  <r>
    <s v="O1000658"/>
    <s v="C6542"/>
    <x v="551"/>
    <d v="2024-10-24T00:00:00"/>
    <x v="1"/>
    <x v="3"/>
    <x v="4"/>
    <s v="Beijing"/>
    <s v="FUR-CH-10000454"/>
    <s v="Furniture"/>
    <s v="Chairs"/>
    <s v="Hon Deluxe Fabric Upholstered Stacking Chairs, Rounded Back"/>
    <n v="155.05000000000001"/>
    <n v="39"/>
    <s v="S835"/>
    <x v="3"/>
    <s v="W29"/>
    <x v="0"/>
    <s v="DHL"/>
    <s v="London-New York"/>
    <n v="3178"/>
    <n v="116"/>
    <n v="7"/>
    <n v="504.2"/>
    <n v="54.12"/>
    <n v="558.31999999999994"/>
    <x v="1"/>
    <n v="0"/>
    <n v="91.08"/>
    <n v="54"/>
    <n v="71"/>
  </r>
  <r>
    <s v="O1000659"/>
    <s v="C6376"/>
    <x v="552"/>
    <d v="2020-08-30T00:00:00"/>
    <x v="1"/>
    <x v="3"/>
    <x v="4"/>
    <s v="Berlin"/>
    <s v="FUR-CH-10004698"/>
    <s v="Furniture"/>
    <s v="Chairs"/>
    <s v="Padded Folding Chairs, Black, 4/Carton"/>
    <n v="291.41000000000003"/>
    <n v="76"/>
    <s v="S803"/>
    <x v="0"/>
    <s v="W18"/>
    <x v="3"/>
    <s v="DHL"/>
    <s v="Berlin-Cape Town"/>
    <n v="1623"/>
    <n v="71"/>
    <n v="27"/>
    <n v="870.17"/>
    <n v="274.69"/>
    <n v="1144.8599999999999"/>
    <x v="1"/>
    <n v="0"/>
    <n v="74.44"/>
    <n v="259"/>
    <n v="260"/>
  </r>
  <r>
    <s v="O1000660"/>
    <s v="C1615"/>
    <x v="553"/>
    <d v="2022-12-04T00:00:00"/>
    <x v="2"/>
    <x v="4"/>
    <x v="0"/>
    <s v="London"/>
    <s v="OFF-BI-10001553"/>
    <s v="Office Supplies"/>
    <s v="Binders"/>
    <s v="SpineVue Locking Slant-D Ring Binders by Cardinal"/>
    <n v="458.92"/>
    <n v="76"/>
    <s v="S341"/>
    <x v="1"/>
    <s v="W12"/>
    <x v="1"/>
    <s v="FedEx"/>
    <s v="Berlin-Berlin"/>
    <n v="3816"/>
    <n v="341"/>
    <n v="27"/>
    <n v="1651.32"/>
    <n v="251.56"/>
    <n v="1902.88"/>
    <x v="1"/>
    <n v="0"/>
    <n v="94.3"/>
    <n v="384"/>
    <n v="421"/>
  </r>
  <r>
    <s v="O1000661"/>
    <s v="C2289"/>
    <x v="554"/>
    <d v="2024-01-14T00:00:00"/>
    <x v="2"/>
    <x v="4"/>
    <x v="1"/>
    <s v="New York"/>
    <s v="OFF-ST-10001097"/>
    <s v="Office Supplies"/>
    <s v="Storage"/>
    <s v="Office Impressions Heavy Duty Welded Shelving &amp; Multimedia Storage Drawers"/>
    <n v="356.58"/>
    <n v="7"/>
    <s v="S731"/>
    <x v="3"/>
    <s v="W5"/>
    <x v="1"/>
    <s v="DHL"/>
    <s v="Berlin-New York"/>
    <n v="637"/>
    <n v="244"/>
    <n v="25"/>
    <n v="581.17999999999995"/>
    <n v="452.91"/>
    <n v="1034.0899999999999"/>
    <x v="1"/>
    <n v="0"/>
    <n v="92.4"/>
    <n v="304"/>
    <n v="264"/>
  </r>
  <r>
    <s v="O1000662"/>
    <s v="C2876"/>
    <x v="555"/>
    <d v="2023-07-23T00:00:00"/>
    <x v="2"/>
    <x v="4"/>
    <x v="4"/>
    <s v="Beijing"/>
    <s v="OFF-ST-10001469"/>
    <s v="Office Supplies"/>
    <s v="Storage"/>
    <s v="Fellowes Bankers Box Recycled Super Stor/Drawer"/>
    <n v="378.73"/>
    <n v="94"/>
    <s v="S193"/>
    <x v="1"/>
    <s v="W48"/>
    <x v="1"/>
    <s v="BlueDart"/>
    <s v="Beijing-Berlin"/>
    <n v="165"/>
    <n v="479"/>
    <n v="13"/>
    <n v="596.32000000000005"/>
    <n v="203.61"/>
    <n v="799.93000000000006"/>
    <x v="1"/>
    <n v="0"/>
    <n v="78.69"/>
    <n v="440"/>
    <n v="435"/>
  </r>
  <r>
    <s v="O1000663"/>
    <s v="C3739"/>
    <x v="366"/>
    <d v="2022-09-16T00:00:00"/>
    <x v="2"/>
    <x v="0"/>
    <x v="1"/>
    <s v="New York"/>
    <s v="TEC-AC-10004114"/>
    <s v="Technology"/>
    <s v="Accessories"/>
    <s v="KeyTronic 6101 Series - Keyboard - Black"/>
    <n v="209.16"/>
    <n v="20"/>
    <s v="S115"/>
    <x v="3"/>
    <s v="W17"/>
    <x v="0"/>
    <s v="FedEx"/>
    <s v="London-Cape Town"/>
    <n v="2903"/>
    <n v="120"/>
    <n v="20"/>
    <n v="466.95"/>
    <n v="418.85"/>
    <n v="885.8"/>
    <x v="1"/>
    <n v="0"/>
    <n v="77.930000000000007"/>
    <n v="424"/>
    <n v="403"/>
  </r>
  <r>
    <s v="O1000664"/>
    <s v="C9967"/>
    <x v="556"/>
    <d v="2022-02-10T00:00:00"/>
    <x v="2"/>
    <x v="1"/>
    <x v="7"/>
    <s v="Berlin"/>
    <s v="TEC-PH-10004093"/>
    <s v="Technology"/>
    <s v="Phones"/>
    <s v="Panasonic Kx-TS550"/>
    <n v="187.63"/>
    <n v="91"/>
    <s v="S439"/>
    <x v="0"/>
    <s v="W2"/>
    <x v="2"/>
    <s v="FedEx"/>
    <s v="Beijing-Beijing"/>
    <n v="3549"/>
    <n v="334"/>
    <n v="3"/>
    <n v="577.17999999999995"/>
    <n v="274.11"/>
    <n v="851.29"/>
    <x v="0"/>
    <n v="3"/>
    <n v="77.08"/>
    <n v="196"/>
    <n v="189"/>
  </r>
  <r>
    <s v="O1000665"/>
    <s v="C9509"/>
    <x v="557"/>
    <d v="2023-11-12T00:00:00"/>
    <x v="1"/>
    <x v="0"/>
    <x v="4"/>
    <s v="Beijing"/>
    <s v="OFF-AR-10002766"/>
    <s v="Office Supplies"/>
    <s v="Art"/>
    <s v="Prang Drawing Pencil Set"/>
    <n v="39.299999999999997"/>
    <n v="43"/>
    <s v="S167"/>
    <x v="1"/>
    <s v="W42"/>
    <x v="2"/>
    <s v="UPS"/>
    <s v="New York-London"/>
    <n v="636"/>
    <n v="62"/>
    <n v="1"/>
    <n v="1087.5899999999999"/>
    <n v="208.36"/>
    <n v="1295.95"/>
    <x v="0"/>
    <n v="9"/>
    <n v="81.02"/>
    <n v="383"/>
    <n v="338"/>
  </r>
  <r>
    <s v="O1000666"/>
    <s v="C7119"/>
    <x v="229"/>
    <d v="2022-01-02T00:00:00"/>
    <x v="2"/>
    <x v="2"/>
    <x v="2"/>
    <s v="São Paulo"/>
    <s v="OFF-SU-10002522"/>
    <s v="Office Supplies"/>
    <s v="Supplies"/>
    <s v="Acme Kleen Earth Office Shears"/>
    <n v="82.17"/>
    <n v="22"/>
    <s v="S491"/>
    <x v="0"/>
    <s v="W45"/>
    <x v="3"/>
    <s v="DHL"/>
    <s v="Toronto-São Paulo"/>
    <n v="4309"/>
    <n v="422"/>
    <n v="2"/>
    <n v="1642.18"/>
    <n v="163.80000000000001"/>
    <n v="1805.98"/>
    <x v="0"/>
    <n v="9"/>
    <n v="89.73"/>
    <n v="199"/>
    <n v="178"/>
  </r>
  <r>
    <s v="O1000667"/>
    <s v="C4478"/>
    <x v="558"/>
    <d v="2021-09-14T00:00:00"/>
    <x v="2"/>
    <x v="2"/>
    <x v="7"/>
    <s v="Cape Town"/>
    <s v="TEC-AC-10000158"/>
    <s v="Technology"/>
    <s v="Accessories"/>
    <s v="Sony 64GB Class 10 Micro SDHC R40 Memory Card"/>
    <n v="319.85000000000002"/>
    <n v="48"/>
    <s v="S246"/>
    <x v="2"/>
    <s v="W23"/>
    <x v="3"/>
    <s v="BlueDart"/>
    <s v="São Paulo-São Paulo"/>
    <n v="1301"/>
    <n v="76"/>
    <n v="18"/>
    <n v="824.36"/>
    <n v="197.84"/>
    <n v="1022.2"/>
    <x v="1"/>
    <n v="0"/>
    <n v="73.709999999999994"/>
    <n v="180"/>
    <n v="202"/>
  </r>
  <r>
    <s v="O1000668"/>
    <s v="C8498"/>
    <x v="559"/>
    <d v="2023-09-23T00:00:00"/>
    <x v="2"/>
    <x v="3"/>
    <x v="3"/>
    <s v="London"/>
    <s v="FUR-FU-10001731"/>
    <s v="Furniture"/>
    <s v="Furnishings"/>
    <s v="Acrylic Self-Standing Desk Frames"/>
    <n v="133.22999999999999"/>
    <n v="62"/>
    <s v="S653"/>
    <x v="2"/>
    <s v="W14"/>
    <x v="3"/>
    <s v="FedEx"/>
    <s v="São Paulo-Cape Town"/>
    <n v="4556"/>
    <n v="339"/>
    <n v="16"/>
    <n v="1659.81"/>
    <n v="120.29"/>
    <n v="1780.1"/>
    <x v="1"/>
    <n v="0"/>
    <n v="98.76"/>
    <n v="444"/>
    <n v="395"/>
  </r>
  <r>
    <s v="O1000669"/>
    <s v="C4371"/>
    <x v="560"/>
    <d v="2021-08-25T00:00:00"/>
    <x v="2"/>
    <x v="1"/>
    <x v="0"/>
    <s v="São Paulo"/>
    <s v="FUR-TA-10004147"/>
    <s v="Furniture"/>
    <s v="Tables"/>
    <s v="Hon 4060 Series Tables"/>
    <n v="394.41"/>
    <n v="37"/>
    <s v="S557"/>
    <x v="0"/>
    <s v="W44"/>
    <x v="1"/>
    <s v="BlueDart"/>
    <s v="Beijing-Berlin"/>
    <n v="807"/>
    <n v="192"/>
    <n v="10"/>
    <n v="1712.56"/>
    <n v="99.59"/>
    <n v="1812.15"/>
    <x v="1"/>
    <n v="0"/>
    <n v="88.49"/>
    <n v="267"/>
    <n v="236"/>
  </r>
  <r>
    <s v="O1000670"/>
    <s v="C1374"/>
    <x v="561"/>
    <d v="2022-02-21T00:00:00"/>
    <x v="0"/>
    <x v="1"/>
    <x v="4"/>
    <s v="Beijing"/>
    <s v="OFF-AR-10000475"/>
    <s v="Office Supplies"/>
    <s v="Art"/>
    <s v="Hunt BOSTON Vista Battery-Operated Pencil Sharpener, Black"/>
    <n v="303.42"/>
    <n v="16"/>
    <s v="S707"/>
    <x v="1"/>
    <s v="W9"/>
    <x v="1"/>
    <s v="DHL"/>
    <s v="Toronto-Mumbai"/>
    <n v="814"/>
    <n v="224"/>
    <n v="27"/>
    <n v="762.14"/>
    <n v="384.4"/>
    <n v="1146.54"/>
    <x v="1"/>
    <n v="0"/>
    <n v="93.93"/>
    <n v="336"/>
    <n v="377"/>
  </r>
  <r>
    <s v="O1000671"/>
    <s v="C1774"/>
    <x v="368"/>
    <d v="2023-04-27T00:00:00"/>
    <x v="2"/>
    <x v="2"/>
    <x v="3"/>
    <s v="New York"/>
    <s v="OFF-AR-10003478"/>
    <s v="Office Supplies"/>
    <s v="Art"/>
    <s v="Avery Hi-Liter EverBold Pen Style Fluorescent Highlighters, 4/Pack"/>
    <n v="134.91999999999999"/>
    <n v="8"/>
    <s v="S645"/>
    <x v="3"/>
    <s v="W3"/>
    <x v="0"/>
    <s v="FedEx"/>
    <s v="São Paulo-Beijing"/>
    <n v="3687"/>
    <n v="459"/>
    <n v="1"/>
    <n v="551.12"/>
    <n v="209.74"/>
    <n v="760.86"/>
    <x v="1"/>
    <n v="0"/>
    <n v="94.24"/>
    <n v="352"/>
    <n v="388"/>
  </r>
  <r>
    <s v="O1000672"/>
    <s v="C9526"/>
    <x v="562"/>
    <d v="2020-10-09T00:00:00"/>
    <x v="2"/>
    <x v="1"/>
    <x v="1"/>
    <s v="New York"/>
    <s v="TEC-PH-10002115"/>
    <s v="Technology"/>
    <s v="Phones"/>
    <s v="Plantronics 81402"/>
    <n v="237.43"/>
    <n v="14"/>
    <s v="S432"/>
    <x v="1"/>
    <s v="W13"/>
    <x v="2"/>
    <s v="BlueDart"/>
    <s v="São Paulo-Beijing"/>
    <n v="1960"/>
    <n v="181"/>
    <n v="9"/>
    <n v="1343.01"/>
    <n v="243.8"/>
    <n v="1586.81"/>
    <x v="1"/>
    <n v="0"/>
    <n v="72.150000000000006"/>
    <n v="222"/>
    <n v="212"/>
  </r>
  <r>
    <s v="O1000673"/>
    <s v="C9954"/>
    <x v="563"/>
    <d v="2023-11-25T00:00:00"/>
    <x v="0"/>
    <x v="4"/>
    <x v="7"/>
    <s v="New York"/>
    <s v="FUR-TA-10001039"/>
    <s v="Furniture"/>
    <s v="Tables"/>
    <s v="KI Adjustable-Height Table"/>
    <n v="240.85"/>
    <n v="91"/>
    <s v="S964"/>
    <x v="4"/>
    <s v="W36"/>
    <x v="0"/>
    <s v="UPS"/>
    <s v="Mumbai-Mumbai"/>
    <n v="3454"/>
    <n v="226"/>
    <n v="25"/>
    <n v="1826.94"/>
    <n v="357.49"/>
    <n v="2184.4299999999998"/>
    <x v="1"/>
    <n v="0"/>
    <n v="74.239999999999995"/>
    <n v="150"/>
    <n v="195"/>
  </r>
  <r>
    <s v="O1000674"/>
    <s v="C9430"/>
    <x v="564"/>
    <d v="2024-07-26T00:00:00"/>
    <x v="2"/>
    <x v="0"/>
    <x v="3"/>
    <s v="Cape Town"/>
    <s v="OFF-ST-10004337"/>
    <s v="Office Supplies"/>
    <s v="Storage"/>
    <s v="SAFCO Commercial Wire Shelving, 72h"/>
    <n v="282.7"/>
    <n v="41"/>
    <s v="S269"/>
    <x v="1"/>
    <s v="W5"/>
    <x v="1"/>
    <s v="Maersk"/>
    <s v="São Paulo-Berlin"/>
    <n v="930"/>
    <n v="76"/>
    <n v="6"/>
    <n v="1353.78"/>
    <n v="258.94"/>
    <n v="1612.72"/>
    <x v="1"/>
    <n v="0"/>
    <n v="79.28"/>
    <n v="235"/>
    <n v="219"/>
  </r>
  <r>
    <s v="O1000675"/>
    <s v="C4102"/>
    <x v="565"/>
    <d v="2022-05-08T00:00:00"/>
    <x v="1"/>
    <x v="3"/>
    <x v="7"/>
    <s v="Mumbai"/>
    <s v="TEC-AC-10000109"/>
    <s v="Technology"/>
    <s v="Accessories"/>
    <s v="Sony Micro Vault Click 16 GB USB 2.0 Flash Drive"/>
    <n v="40.340000000000003"/>
    <n v="15"/>
    <s v="S959"/>
    <x v="3"/>
    <s v="W3"/>
    <x v="0"/>
    <s v="UPS"/>
    <s v="London-Cape Town"/>
    <n v="1330"/>
    <n v="198"/>
    <n v="15"/>
    <n v="1286.5899999999999"/>
    <n v="123.66"/>
    <n v="1410.25"/>
    <x v="1"/>
    <n v="0"/>
    <n v="77.61"/>
    <n v="195"/>
    <n v="159"/>
  </r>
  <r>
    <s v="O1000676"/>
    <s v="C9186"/>
    <x v="189"/>
    <d v="2023-11-04T00:00:00"/>
    <x v="0"/>
    <x v="3"/>
    <x v="1"/>
    <s v="Berlin"/>
    <s v="FUR-CH-10001394"/>
    <s v="Furniture"/>
    <s v="Chairs"/>
    <s v="Global Leather Executive Chair"/>
    <n v="10.039999999999999"/>
    <n v="51"/>
    <s v="S508"/>
    <x v="1"/>
    <s v="W12"/>
    <x v="3"/>
    <s v="Maersk"/>
    <s v="São Paulo-Mumbai"/>
    <n v="1153"/>
    <n v="348"/>
    <n v="10"/>
    <n v="1298.67"/>
    <n v="280.16000000000003"/>
    <n v="1578.83"/>
    <x v="1"/>
    <n v="0"/>
    <n v="85.9"/>
    <n v="282"/>
    <n v="280"/>
  </r>
  <r>
    <s v="O1000677"/>
    <s v="C5918"/>
    <x v="566"/>
    <d v="2024-10-10T00:00:00"/>
    <x v="2"/>
    <x v="1"/>
    <x v="7"/>
    <s v="Mumbai"/>
    <s v="OFF-BI-10003094"/>
    <s v="Office Supplies"/>
    <s v="Binders"/>
    <s v="Self-Adhesive Ring Binder Labels"/>
    <n v="241.72"/>
    <n v="35"/>
    <s v="S975"/>
    <x v="4"/>
    <s v="W43"/>
    <x v="2"/>
    <s v="DHL"/>
    <s v="São Paulo-Beijing"/>
    <n v="149"/>
    <n v="288"/>
    <n v="4"/>
    <n v="1241.0999999999999"/>
    <n v="147.41999999999999"/>
    <n v="1388.52"/>
    <x v="1"/>
    <n v="0"/>
    <n v="89.31"/>
    <n v="368"/>
    <n v="380"/>
  </r>
  <r>
    <s v="O1000678"/>
    <s v="C3673"/>
    <x v="567"/>
    <d v="2024-02-20T00:00:00"/>
    <x v="2"/>
    <x v="1"/>
    <x v="2"/>
    <s v="London"/>
    <s v="OFF-BI-10004230"/>
    <s v="Office Supplies"/>
    <s v="Binders"/>
    <s v="GBC Recycled Grain Textured Covers"/>
    <n v="134.72"/>
    <n v="66"/>
    <s v="S270"/>
    <x v="4"/>
    <s v="W5"/>
    <x v="3"/>
    <s v="BlueDart"/>
    <s v="London-New York"/>
    <n v="2111"/>
    <n v="241"/>
    <n v="17"/>
    <n v="518.37"/>
    <n v="327.12"/>
    <n v="845.49"/>
    <x v="1"/>
    <n v="0"/>
    <n v="84.41"/>
    <n v="364"/>
    <n v="363"/>
  </r>
  <r>
    <s v="O1000679"/>
    <s v="C2048"/>
    <x v="568"/>
    <d v="2020-09-23T00:00:00"/>
    <x v="2"/>
    <x v="3"/>
    <x v="1"/>
    <s v="Berlin"/>
    <s v="OFF-FA-10003495"/>
    <s v="Office Supplies"/>
    <s v="Fasteners"/>
    <s v="Staples"/>
    <n v="289.66000000000003"/>
    <n v="85"/>
    <s v="S769"/>
    <x v="4"/>
    <s v="W37"/>
    <x v="1"/>
    <s v="FedEx"/>
    <s v="Berlin-New York"/>
    <n v="617"/>
    <n v="96"/>
    <n v="15"/>
    <n v="340.7"/>
    <n v="68.41"/>
    <n v="409.11"/>
    <x v="1"/>
    <n v="0"/>
    <n v="92.98"/>
    <n v="412"/>
    <n v="386"/>
  </r>
  <r>
    <s v="O1000680"/>
    <s v="C5154"/>
    <x v="569"/>
    <d v="2021-01-06T00:00:00"/>
    <x v="2"/>
    <x v="0"/>
    <x v="2"/>
    <s v="Beijing"/>
    <s v="OFF-PA-10000304"/>
    <s v="Office Supplies"/>
    <s v="Paper"/>
    <s v="Xerox 1995"/>
    <n v="458.84"/>
    <n v="17"/>
    <s v="S952"/>
    <x v="0"/>
    <s v="W5"/>
    <x v="1"/>
    <s v="DHL"/>
    <s v="London-New York"/>
    <n v="1149"/>
    <n v="161"/>
    <n v="22"/>
    <n v="824.68"/>
    <n v="475.25"/>
    <n v="1299.93"/>
    <x v="1"/>
    <n v="0"/>
    <n v="75"/>
    <n v="495"/>
    <n v="467"/>
  </r>
  <r>
    <s v="O1000681"/>
    <s v="C3564"/>
    <x v="570"/>
    <d v="2020-12-07T00:00:00"/>
    <x v="2"/>
    <x v="3"/>
    <x v="3"/>
    <s v="Cape Town"/>
    <s v="OFF-PA-10003395"/>
    <s v="Office Supplies"/>
    <s v="Paper"/>
    <s v="Xerox 1941"/>
    <n v="231.96"/>
    <n v="90"/>
    <s v="S988"/>
    <x v="1"/>
    <s v="W11"/>
    <x v="0"/>
    <s v="Maersk"/>
    <s v="Berlin-São Paulo"/>
    <n v="2695"/>
    <n v="240"/>
    <n v="25"/>
    <n v="1011.7"/>
    <n v="339.39"/>
    <n v="1351.09"/>
    <x v="1"/>
    <n v="0"/>
    <n v="83.94"/>
    <n v="243"/>
    <n v="222"/>
  </r>
  <r>
    <s v="O1000682"/>
    <s v="C4633"/>
    <x v="571"/>
    <d v="2024-01-10T00:00:00"/>
    <x v="2"/>
    <x v="4"/>
    <x v="6"/>
    <s v="London"/>
    <s v="OFF-AR-10003405"/>
    <s v="Office Supplies"/>
    <s v="Art"/>
    <s v="Dixon My First Ticonderoga Pencil, #2"/>
    <n v="122.06"/>
    <n v="45"/>
    <s v="S760"/>
    <x v="1"/>
    <s v="W11"/>
    <x v="2"/>
    <s v="FedEx"/>
    <s v="Cape Town-São Paulo"/>
    <n v="1933"/>
    <n v="457"/>
    <n v="18"/>
    <n v="1001.18"/>
    <n v="75.69"/>
    <n v="1076.8699999999999"/>
    <x v="1"/>
    <n v="0"/>
    <n v="79.180000000000007"/>
    <n v="240"/>
    <n v="205"/>
  </r>
  <r>
    <s v="O1000683"/>
    <s v="C9119"/>
    <x v="572"/>
    <d v="2024-08-19T00:00:00"/>
    <x v="2"/>
    <x v="2"/>
    <x v="5"/>
    <s v="London"/>
    <s v="OFF-BI-10000174"/>
    <s v="Office Supplies"/>
    <s v="Binders"/>
    <s v="Wilson Jones Clip &amp; Carry Folder Binder Tool for Ring Binders, Clear"/>
    <n v="357.66"/>
    <n v="88"/>
    <s v="S222"/>
    <x v="2"/>
    <s v="W36"/>
    <x v="1"/>
    <s v="Maersk"/>
    <s v="São Paulo-New York"/>
    <n v="4334"/>
    <n v="459"/>
    <n v="8"/>
    <n v="1230.2"/>
    <n v="145.69999999999999"/>
    <n v="1375.9"/>
    <x v="1"/>
    <n v="0"/>
    <n v="94.28"/>
    <n v="186"/>
    <n v="216"/>
  </r>
  <r>
    <s v="O1000684"/>
    <s v="C1087"/>
    <x v="52"/>
    <d v="2023-08-12T00:00:00"/>
    <x v="1"/>
    <x v="1"/>
    <x v="0"/>
    <s v="Cape Town"/>
    <s v="OFF-AR-10001026"/>
    <s v="Office Supplies"/>
    <s v="Art"/>
    <s v="Sanford Uni-Blazer View Highlighters, Chisel Tip, Yellow"/>
    <n v="355.08"/>
    <n v="6"/>
    <s v="S434"/>
    <x v="0"/>
    <s v="W5"/>
    <x v="2"/>
    <s v="BlueDart"/>
    <s v="New York-London"/>
    <n v="4788"/>
    <n v="167"/>
    <n v="28"/>
    <n v="97.83"/>
    <n v="95.62"/>
    <n v="193.45"/>
    <x v="1"/>
    <n v="0"/>
    <n v="93.93"/>
    <n v="293"/>
    <n v="276"/>
  </r>
  <r>
    <s v="O1000685"/>
    <s v="C3301"/>
    <x v="327"/>
    <d v="2023-03-04T00:00:00"/>
    <x v="0"/>
    <x v="4"/>
    <x v="0"/>
    <s v="Mumbai"/>
    <s v="OFF-AR-10001374"/>
    <s v="Office Supplies"/>
    <s v="Art"/>
    <s v="BIC Brite Liner Highlighters, Chisel Tip"/>
    <n v="412.51"/>
    <n v="37"/>
    <s v="S866"/>
    <x v="0"/>
    <s v="W39"/>
    <x v="1"/>
    <s v="FedEx"/>
    <s v="Berlin-Toronto"/>
    <n v="1360"/>
    <n v="395"/>
    <n v="20"/>
    <n v="1179.82"/>
    <n v="122.48"/>
    <n v="1302.3"/>
    <x v="1"/>
    <n v="0"/>
    <n v="77.959999999999994"/>
    <n v="488"/>
    <n v="531"/>
  </r>
  <r>
    <s v="O1000686"/>
    <s v="C2936"/>
    <x v="573"/>
    <d v="2024-02-21T00:00:00"/>
    <x v="2"/>
    <x v="0"/>
    <x v="0"/>
    <s v="São Paulo"/>
    <s v="OFF-AR-10004582"/>
    <s v="Office Supplies"/>
    <s v="Art"/>
    <s v="BIC Brite Liner Grip Highlighters"/>
    <n v="319.37"/>
    <n v="96"/>
    <s v="S464"/>
    <x v="4"/>
    <s v="W20"/>
    <x v="3"/>
    <s v="FedEx"/>
    <s v="Mumbai-Mumbai"/>
    <n v="3102"/>
    <n v="447"/>
    <n v="11"/>
    <n v="635.20000000000005"/>
    <n v="98.26"/>
    <n v="733.46"/>
    <x v="1"/>
    <n v="0"/>
    <n v="70.02"/>
    <n v="297"/>
    <n v="308"/>
  </r>
  <r>
    <s v="O1000687"/>
    <s v="C3066"/>
    <x v="574"/>
    <d v="2023-08-08T00:00:00"/>
    <x v="1"/>
    <x v="4"/>
    <x v="0"/>
    <s v="London"/>
    <s v="OFF-BI-10002867"/>
    <s v="Office Supplies"/>
    <s v="Binders"/>
    <s v="GBC Recycled Regency Composition Covers"/>
    <n v="140.46"/>
    <n v="59"/>
    <s v="S297"/>
    <x v="0"/>
    <s v="W29"/>
    <x v="2"/>
    <s v="FedEx"/>
    <s v="London-Berlin"/>
    <n v="2150"/>
    <n v="351"/>
    <n v="28"/>
    <n v="56.14"/>
    <n v="237.94"/>
    <n v="294.08"/>
    <x v="1"/>
    <n v="0"/>
    <n v="87.74"/>
    <n v="322"/>
    <n v="353"/>
  </r>
  <r>
    <s v="O1000688"/>
    <s v="C7763"/>
    <x v="427"/>
    <d v="2024-10-24T00:00:00"/>
    <x v="2"/>
    <x v="2"/>
    <x v="0"/>
    <s v="Beijing"/>
    <s v="OFF-BI-10004528"/>
    <s v="Office Supplies"/>
    <s v="Binders"/>
    <s v="Cardinal Poly Pocket Divider Pockets for Ring Binders"/>
    <n v="93.55"/>
    <n v="84"/>
    <s v="S440"/>
    <x v="4"/>
    <s v="W29"/>
    <x v="1"/>
    <s v="UPS"/>
    <s v="London-Beijing"/>
    <n v="2138"/>
    <n v="343"/>
    <n v="12"/>
    <n v="717.52"/>
    <n v="341.98"/>
    <n v="1059.5"/>
    <x v="0"/>
    <n v="5"/>
    <n v="98.1"/>
    <n v="379"/>
    <n v="397"/>
  </r>
  <r>
    <s v="O1000689"/>
    <s v="C6318"/>
    <x v="575"/>
    <d v="2021-01-16T00:00:00"/>
    <x v="1"/>
    <x v="1"/>
    <x v="6"/>
    <s v="London"/>
    <s v="OFF-FA-10002815"/>
    <s v="Office Supplies"/>
    <s v="Fasteners"/>
    <s v="Staples"/>
    <n v="285.3"/>
    <n v="68"/>
    <s v="S672"/>
    <x v="1"/>
    <s v="W38"/>
    <x v="1"/>
    <s v="BlueDart"/>
    <s v="São Paulo-London"/>
    <n v="1417"/>
    <n v="181"/>
    <n v="23"/>
    <n v="541.85"/>
    <n v="62.25"/>
    <n v="604.1"/>
    <x v="1"/>
    <n v="0"/>
    <n v="88.8"/>
    <n v="324"/>
    <n v="350"/>
  </r>
  <r>
    <s v="O1000690"/>
    <s v="C3562"/>
    <x v="232"/>
    <d v="2021-08-27T00:00:00"/>
    <x v="2"/>
    <x v="2"/>
    <x v="4"/>
    <s v="London"/>
    <s v="OFF-PA-10001144"/>
    <s v="Office Supplies"/>
    <s v="Paper"/>
    <s v="Xerox 1913"/>
    <n v="343.43"/>
    <n v="43"/>
    <s v="S380"/>
    <x v="1"/>
    <s v="W15"/>
    <x v="3"/>
    <s v="BlueDart"/>
    <s v="São Paulo-Toronto"/>
    <n v="2803"/>
    <n v="89"/>
    <n v="29"/>
    <n v="785.64"/>
    <n v="332.78"/>
    <n v="1118.42"/>
    <x v="1"/>
    <n v="0"/>
    <n v="72.790000000000006"/>
    <n v="113"/>
    <n v="131"/>
  </r>
  <r>
    <s v="O1000691"/>
    <s v="C7083"/>
    <x v="418"/>
    <d v="2024-12-27T00:00:00"/>
    <x v="2"/>
    <x v="0"/>
    <x v="7"/>
    <s v="Beijing"/>
    <s v="OFF-PA-10002005"/>
    <s v="Office Supplies"/>
    <s v="Paper"/>
    <s v="Xerox 225"/>
    <n v="424.16"/>
    <n v="17"/>
    <s v="S826"/>
    <x v="2"/>
    <s v="W28"/>
    <x v="1"/>
    <s v="Maersk"/>
    <s v="New York-Cape Town"/>
    <n v="3035"/>
    <n v="455"/>
    <n v="27"/>
    <n v="521.45000000000005"/>
    <n v="460.31"/>
    <n v="981.76"/>
    <x v="1"/>
    <n v="0"/>
    <n v="92.95"/>
    <n v="70"/>
    <n v="83"/>
  </r>
  <r>
    <s v="O1000692"/>
    <s v="C6352"/>
    <x v="576"/>
    <d v="2022-10-01T00:00:00"/>
    <x v="2"/>
    <x v="0"/>
    <x v="7"/>
    <s v="Berlin"/>
    <s v="OFF-BI-10000546"/>
    <s v="Office Supplies"/>
    <s v="Binders"/>
    <s v="Avery Durable Binders"/>
    <n v="38.67"/>
    <n v="54"/>
    <s v="S544"/>
    <x v="2"/>
    <s v="W9"/>
    <x v="0"/>
    <s v="BlueDart"/>
    <s v="São Paulo-Beijing"/>
    <n v="192"/>
    <n v="188"/>
    <n v="11"/>
    <n v="614.74"/>
    <n v="460.63"/>
    <n v="1075.3699999999999"/>
    <x v="1"/>
    <n v="0"/>
    <n v="98.82"/>
    <n v="333"/>
    <n v="382"/>
  </r>
  <r>
    <s v="O1000693"/>
    <s v="C7354"/>
    <x v="399"/>
    <d v="2021-04-10T00:00:00"/>
    <x v="2"/>
    <x v="2"/>
    <x v="6"/>
    <s v="Beijing"/>
    <s v="OFF-BI-10003355"/>
    <s v="Office Supplies"/>
    <s v="Binders"/>
    <s v="Cardinal Holdit Business Card Pockets"/>
    <n v="278.05"/>
    <n v="29"/>
    <s v="S811"/>
    <x v="4"/>
    <s v="W44"/>
    <x v="3"/>
    <s v="DHL"/>
    <s v="New York-Mumbai"/>
    <n v="3021"/>
    <n v="358"/>
    <n v="17"/>
    <n v="247.57"/>
    <n v="250.13"/>
    <n v="497.7"/>
    <x v="1"/>
    <n v="0"/>
    <n v="74.709999999999994"/>
    <n v="211"/>
    <n v="238"/>
  </r>
  <r>
    <s v="O1000694"/>
    <s v="C8006"/>
    <x v="577"/>
    <d v="2022-10-04T00:00:00"/>
    <x v="2"/>
    <x v="3"/>
    <x v="7"/>
    <s v="Mumbai"/>
    <s v="TEC-PH-10004586"/>
    <s v="Technology"/>
    <s v="Phones"/>
    <s v="Wilson SignalBoost 841262 DB PRO Amplifier Kit"/>
    <n v="385.4"/>
    <n v="57"/>
    <s v="S708"/>
    <x v="1"/>
    <s v="W8"/>
    <x v="3"/>
    <s v="UPS"/>
    <s v="New York-Mumbai"/>
    <n v="751"/>
    <n v="102"/>
    <n v="4"/>
    <n v="1987.37"/>
    <n v="384.01"/>
    <n v="2371.38"/>
    <x v="1"/>
    <n v="0"/>
    <n v="78.540000000000006"/>
    <n v="295"/>
    <n v="327"/>
  </r>
  <r>
    <s v="O1000695"/>
    <s v="C5001"/>
    <x v="578"/>
    <d v="2023-09-12T00:00:00"/>
    <x v="2"/>
    <x v="0"/>
    <x v="7"/>
    <s v="Beijing"/>
    <s v="OFF-AR-10000716"/>
    <s v="Office Supplies"/>
    <s v="Art"/>
    <s v="DIXON Ticonderoga Erasable Checking Pencils"/>
    <n v="223.43"/>
    <n v="71"/>
    <s v="S691"/>
    <x v="0"/>
    <s v="W3"/>
    <x v="0"/>
    <s v="Maersk"/>
    <s v="Berlin-New York"/>
    <n v="1460"/>
    <n v="486"/>
    <n v="9"/>
    <n v="1891.96"/>
    <n v="494.16"/>
    <n v="2386.12"/>
    <x v="1"/>
    <n v="0"/>
    <n v="70.52"/>
    <n v="303"/>
    <n v="262"/>
  </r>
  <r>
    <s v="O1000696"/>
    <s v="C4842"/>
    <x v="492"/>
    <d v="2022-02-25T00:00:00"/>
    <x v="2"/>
    <x v="1"/>
    <x v="0"/>
    <s v="São Paulo"/>
    <s v="TEC-PH-10002923"/>
    <s v="Technology"/>
    <s v="Phones"/>
    <s v="Logitech B530 USB Headset - headset - Full size, Binaural"/>
    <n v="392.82"/>
    <n v="19"/>
    <s v="S266"/>
    <x v="4"/>
    <s v="W46"/>
    <x v="0"/>
    <s v="Maersk"/>
    <s v="Mumbai-Berlin"/>
    <n v="1252"/>
    <n v="184"/>
    <n v="29"/>
    <n v="1819.46"/>
    <n v="383.08"/>
    <n v="2202.54"/>
    <x v="1"/>
    <n v="0"/>
    <n v="99.35"/>
    <n v="455"/>
    <n v="498"/>
  </r>
  <r>
    <s v="O1000697"/>
    <s v="C3953"/>
    <x v="579"/>
    <d v="2022-12-04T00:00:00"/>
    <x v="0"/>
    <x v="0"/>
    <x v="1"/>
    <s v="Cape Town"/>
    <s v="OFF-AP-10000692"/>
    <s v="Office Supplies"/>
    <s v="Appliances"/>
    <s v="Fellowes Mighty 8 Compact Surge Protector"/>
    <n v="347.54"/>
    <n v="90"/>
    <s v="S252"/>
    <x v="1"/>
    <s v="W18"/>
    <x v="0"/>
    <s v="FedEx"/>
    <s v="Beijing-New York"/>
    <n v="745"/>
    <n v="132"/>
    <n v="25"/>
    <n v="1759.93"/>
    <n v="412.56"/>
    <n v="2172.4899999999998"/>
    <x v="0"/>
    <n v="12"/>
    <n v="83.48"/>
    <n v="444"/>
    <n v="434"/>
  </r>
  <r>
    <s v="O1000698"/>
    <s v="C1879"/>
    <x v="580"/>
    <d v="2022-11-11T00:00:00"/>
    <x v="2"/>
    <x v="3"/>
    <x v="3"/>
    <s v="Cape Town"/>
    <s v="OFF-BI-10000145"/>
    <s v="Office Supplies"/>
    <s v="Binders"/>
    <s v="Zipper Ring Binder Pockets"/>
    <n v="338.79"/>
    <n v="12"/>
    <s v="S820"/>
    <x v="0"/>
    <s v="W15"/>
    <x v="3"/>
    <s v="FedEx"/>
    <s v="New York-Toronto"/>
    <n v="230"/>
    <n v="427"/>
    <n v="26"/>
    <n v="1020.87"/>
    <n v="49.4"/>
    <n v="1070.27"/>
    <x v="1"/>
    <n v="0"/>
    <n v="92.74"/>
    <n v="101"/>
    <n v="90"/>
  </r>
  <r>
    <s v="O1000699"/>
    <s v="C6987"/>
    <x v="581"/>
    <d v="2021-04-26T00:00:00"/>
    <x v="1"/>
    <x v="0"/>
    <x v="0"/>
    <s v="Mumbai"/>
    <s v="OFF-PA-10001977"/>
    <s v="Office Supplies"/>
    <s v="Paper"/>
    <s v="Xerox 194"/>
    <n v="444.27"/>
    <n v="53"/>
    <s v="S488"/>
    <x v="1"/>
    <s v="W19"/>
    <x v="1"/>
    <s v="FedEx"/>
    <s v="São Paulo-Mumbai"/>
    <n v="3111"/>
    <n v="239"/>
    <n v="20"/>
    <n v="1509.59"/>
    <n v="385.18"/>
    <n v="1894.77"/>
    <x v="1"/>
    <n v="0"/>
    <n v="93.24"/>
    <n v="186"/>
    <n v="215"/>
  </r>
  <r>
    <s v="O1000700"/>
    <s v="C5868"/>
    <x v="21"/>
    <d v="2021-11-08T00:00:00"/>
    <x v="0"/>
    <x v="0"/>
    <x v="5"/>
    <s v="Cape Town"/>
    <s v="OFF-PA-10004734"/>
    <s v="Office Supplies"/>
    <s v="Paper"/>
    <s v="Southworth Structures Collection"/>
    <n v="91.73"/>
    <n v="12"/>
    <s v="S997"/>
    <x v="3"/>
    <s v="W4"/>
    <x v="1"/>
    <s v="FedEx"/>
    <s v="Beijing-Cape Town"/>
    <n v="1434"/>
    <n v="332"/>
    <n v="17"/>
    <n v="1157.67"/>
    <n v="469.65"/>
    <n v="1627.32"/>
    <x v="1"/>
    <n v="0"/>
    <n v="76.239999999999995"/>
    <n v="327"/>
    <n v="335"/>
  </r>
  <r>
    <s v="O1000701"/>
    <s v="C6914"/>
    <x v="582"/>
    <d v="2023-10-05T00:00:00"/>
    <x v="2"/>
    <x v="0"/>
    <x v="0"/>
    <s v="Toronto"/>
    <s v="FUR-FU-10001591"/>
    <s v="Furniture"/>
    <s v="Furnishings"/>
    <s v="Advantus Panel Wall Certificate Holder - 8.5x11"/>
    <n v="152.71"/>
    <n v="93"/>
    <s v="S821"/>
    <x v="1"/>
    <s v="W26"/>
    <x v="1"/>
    <s v="DHL"/>
    <s v="São Paulo-London"/>
    <n v="4501"/>
    <n v="220"/>
    <n v="3"/>
    <n v="416.38"/>
    <n v="34.200000000000003"/>
    <n v="450.58"/>
    <x v="1"/>
    <n v="0"/>
    <n v="71.28"/>
    <n v="88"/>
    <n v="99"/>
  </r>
  <r>
    <s v="O1000702"/>
    <s v="C3562"/>
    <x v="583"/>
    <d v="2024-05-19T00:00:00"/>
    <x v="2"/>
    <x v="0"/>
    <x v="0"/>
    <s v="Cape Town"/>
    <s v="FUR-FU-10003192"/>
    <s v="Furniture"/>
    <s v="Furnishings"/>
    <s v="Luxo Adjustable Task Clamp Lamp"/>
    <n v="86.46"/>
    <n v="4"/>
    <s v="S680"/>
    <x v="0"/>
    <s v="W31"/>
    <x v="3"/>
    <s v="BlueDart"/>
    <s v="São Paulo-London"/>
    <n v="1684"/>
    <n v="481"/>
    <n v="4"/>
    <n v="1512.51"/>
    <n v="200.92"/>
    <n v="1713.43"/>
    <x v="1"/>
    <n v="0"/>
    <n v="89.71"/>
    <n v="249"/>
    <n v="242"/>
  </r>
  <r>
    <s v="O1000703"/>
    <s v="C4755"/>
    <x v="584"/>
    <d v="2020-05-14T00:00:00"/>
    <x v="2"/>
    <x v="3"/>
    <x v="7"/>
    <s v="Beijing"/>
    <s v="OFF-AR-10002833"/>
    <s v="Office Supplies"/>
    <s v="Art"/>
    <s v="Newell 322"/>
    <n v="247.03"/>
    <n v="81"/>
    <s v="S147"/>
    <x v="3"/>
    <s v="W34"/>
    <x v="0"/>
    <s v="Maersk"/>
    <s v="Berlin-Toronto"/>
    <n v="724"/>
    <n v="475"/>
    <n v="28"/>
    <n v="796.86"/>
    <n v="19.55"/>
    <n v="816.41"/>
    <x v="1"/>
    <n v="0"/>
    <n v="95.94"/>
    <n v="245"/>
    <n v="251"/>
  </r>
  <r>
    <s v="O1000704"/>
    <s v="C2590"/>
    <x v="585"/>
    <d v="2024-07-26T00:00:00"/>
    <x v="2"/>
    <x v="3"/>
    <x v="6"/>
    <s v="Toronto"/>
    <s v="OFF-BI-10001670"/>
    <s v="Office Supplies"/>
    <s v="Binders"/>
    <s v="Vinyl Sectional Post Binders"/>
    <n v="33.39"/>
    <n v="48"/>
    <s v="S706"/>
    <x v="1"/>
    <s v="W46"/>
    <x v="0"/>
    <s v="FedEx"/>
    <s v="Toronto-São Paulo"/>
    <n v="1342"/>
    <n v="491"/>
    <n v="12"/>
    <n v="762.39"/>
    <n v="236.05"/>
    <n v="998.44"/>
    <x v="1"/>
    <n v="0"/>
    <n v="71.260000000000005"/>
    <n v="267"/>
    <n v="222"/>
  </r>
  <r>
    <s v="O1000705"/>
    <s v="C7085"/>
    <x v="210"/>
    <d v="2021-03-18T00:00:00"/>
    <x v="1"/>
    <x v="4"/>
    <x v="4"/>
    <s v="São Paulo"/>
    <s v="OFF-BI-10001787"/>
    <s v="Office Supplies"/>
    <s v="Binders"/>
    <s v="Wilson Jones Four-Pocket Poly Binders"/>
    <n v="449.63"/>
    <n v="2"/>
    <s v="S630"/>
    <x v="1"/>
    <s v="W20"/>
    <x v="2"/>
    <s v="FedEx"/>
    <s v="São Paulo-Berlin"/>
    <n v="2043"/>
    <n v="281"/>
    <n v="4"/>
    <n v="610.55999999999995"/>
    <n v="269.86"/>
    <n v="880.42"/>
    <x v="1"/>
    <n v="0"/>
    <n v="75.39"/>
    <n v="204"/>
    <n v="163"/>
  </r>
  <r>
    <s v="O1000706"/>
    <s v="C9053"/>
    <x v="586"/>
    <d v="2021-06-06T00:00:00"/>
    <x v="1"/>
    <x v="1"/>
    <x v="1"/>
    <s v="São Paulo"/>
    <s v="OFF-LA-10001934"/>
    <s v="Office Supplies"/>
    <s v="Labels"/>
    <s v="Avery 516"/>
    <n v="39.17"/>
    <n v="41"/>
    <s v="S494"/>
    <x v="1"/>
    <s v="W4"/>
    <x v="3"/>
    <s v="Maersk"/>
    <s v="Beijing-Beijing"/>
    <n v="1020"/>
    <n v="171"/>
    <n v="6"/>
    <n v="1836.31"/>
    <n v="263.61"/>
    <n v="2099.92"/>
    <x v="0"/>
    <n v="9"/>
    <n v="76.56"/>
    <n v="203"/>
    <n v="221"/>
  </r>
  <r>
    <s v="O1000707"/>
    <s v="C1011"/>
    <x v="587"/>
    <d v="2020-01-19T00:00:00"/>
    <x v="2"/>
    <x v="2"/>
    <x v="1"/>
    <s v="Toronto"/>
    <s v="OFF-PA-10000304"/>
    <s v="Office Supplies"/>
    <s v="Paper"/>
    <s v="Xerox 1995"/>
    <n v="51.25"/>
    <n v="2"/>
    <s v="S408"/>
    <x v="3"/>
    <s v="W38"/>
    <x v="1"/>
    <s v="UPS"/>
    <s v="Beijing-Toronto"/>
    <n v="3006"/>
    <n v="163"/>
    <n v="15"/>
    <n v="1863.42"/>
    <n v="173.7"/>
    <n v="2037.12"/>
    <x v="1"/>
    <n v="0"/>
    <n v="78.650000000000006"/>
    <n v="376"/>
    <n v="365"/>
  </r>
  <r>
    <s v="O1000708"/>
    <s v="C2429"/>
    <x v="588"/>
    <d v="2024-10-30T00:00:00"/>
    <x v="2"/>
    <x v="1"/>
    <x v="5"/>
    <s v="Mumbai"/>
    <s v="OFF-ST-10000563"/>
    <s v="Office Supplies"/>
    <s v="Storage"/>
    <s v="Fellowes Bankers Box Stor/Drawer Steel Plus"/>
    <n v="123.98"/>
    <n v="65"/>
    <s v="S801"/>
    <x v="3"/>
    <s v="W3"/>
    <x v="1"/>
    <s v="BlueDart"/>
    <s v="São Paulo-Toronto"/>
    <n v="163"/>
    <n v="105"/>
    <n v="7"/>
    <n v="970.37"/>
    <n v="190.58"/>
    <n v="1160.95"/>
    <x v="1"/>
    <n v="0"/>
    <n v="79.739999999999995"/>
    <n v="444"/>
    <n v="472"/>
  </r>
  <r>
    <s v="O1000709"/>
    <s v="C9378"/>
    <x v="241"/>
    <d v="2020-04-10T00:00:00"/>
    <x v="2"/>
    <x v="3"/>
    <x v="7"/>
    <s v="Beijing"/>
    <s v="OFF-ST-10001522"/>
    <s v="Office Supplies"/>
    <s v="Storage"/>
    <s v="Gould Plastics 18-Pocket Panel Bin, 34w x 5-1/4d x 20-1/2h"/>
    <n v="444.21"/>
    <n v="3"/>
    <s v="S570"/>
    <x v="1"/>
    <s v="W28"/>
    <x v="2"/>
    <s v="BlueDart"/>
    <s v="Beijing-Toronto"/>
    <n v="1903"/>
    <n v="477"/>
    <n v="19"/>
    <n v="906.1"/>
    <n v="432"/>
    <n v="1338.1"/>
    <x v="1"/>
    <n v="0"/>
    <n v="70.27"/>
    <n v="360"/>
    <n v="340"/>
  </r>
  <r>
    <s v="O1000710"/>
    <s v="C1647"/>
    <x v="73"/>
    <d v="2021-02-06T00:00:00"/>
    <x v="2"/>
    <x v="1"/>
    <x v="0"/>
    <s v="Cape Town"/>
    <s v="TEC-AC-10003911"/>
    <s v="Technology"/>
    <s v="Accessories"/>
    <s v="NETGEAR AC1750 Dual Band Gigabit Smart WiFi Router"/>
    <n v="407.33"/>
    <n v="29"/>
    <s v="S346"/>
    <x v="0"/>
    <s v="W22"/>
    <x v="2"/>
    <s v="FedEx"/>
    <s v="Cape Town-Cape Town"/>
    <n v="119"/>
    <n v="306"/>
    <n v="3"/>
    <n v="1365.35"/>
    <n v="298.22000000000003"/>
    <n v="1663.57"/>
    <x v="1"/>
    <n v="0"/>
    <n v="76.52"/>
    <n v="143"/>
    <n v="187"/>
  </r>
  <r>
    <s v="O1000711"/>
    <s v="C1856"/>
    <x v="419"/>
    <d v="2020-02-29T00:00:00"/>
    <x v="2"/>
    <x v="3"/>
    <x v="4"/>
    <s v="São Paulo"/>
    <s v="FUR-CH-10000155"/>
    <s v="Furniture"/>
    <s v="Chairs"/>
    <s v="Global Comet Stacking Armless Chair"/>
    <n v="206.34"/>
    <n v="40"/>
    <s v="S683"/>
    <x v="0"/>
    <s v="W15"/>
    <x v="1"/>
    <s v="BlueDart"/>
    <s v="Mumbai-Berlin"/>
    <n v="1990"/>
    <n v="387"/>
    <n v="25"/>
    <n v="1423.77"/>
    <n v="310.62"/>
    <n v="1734.39"/>
    <x v="1"/>
    <n v="0"/>
    <n v="71.81"/>
    <n v="52"/>
    <n v="88"/>
  </r>
  <r>
    <s v="O1000712"/>
    <s v="C8162"/>
    <x v="589"/>
    <d v="2024-06-24T00:00:00"/>
    <x v="1"/>
    <x v="2"/>
    <x v="4"/>
    <s v="New York"/>
    <s v="TEC-CO-10001046"/>
    <s v="Technology"/>
    <s v="Copiers"/>
    <s v="Canon Imageclass D680 Copier / Fax"/>
    <n v="105.05"/>
    <n v="44"/>
    <s v="S383"/>
    <x v="4"/>
    <s v="W17"/>
    <x v="3"/>
    <s v="BlueDart"/>
    <s v="Cape Town-Beijing"/>
    <n v="4117"/>
    <n v="479"/>
    <n v="8"/>
    <n v="1201.5"/>
    <n v="243.26"/>
    <n v="1444.76"/>
    <x v="1"/>
    <n v="0"/>
    <n v="84.56"/>
    <n v="64"/>
    <n v="49"/>
  </r>
  <r>
    <s v="O1000713"/>
    <s v="C2895"/>
    <x v="590"/>
    <d v="2023-05-28T00:00:00"/>
    <x v="2"/>
    <x v="3"/>
    <x v="6"/>
    <s v="Berlin"/>
    <s v="FUR-CH-10002880"/>
    <s v="Furniture"/>
    <s v="Chairs"/>
    <s v="Global High-Back Leather Tilter, Burgundy"/>
    <n v="448.06"/>
    <n v="63"/>
    <s v="S439"/>
    <x v="0"/>
    <s v="W32"/>
    <x v="1"/>
    <s v="BlueDart"/>
    <s v="Cape Town-New York"/>
    <n v="168"/>
    <n v="417"/>
    <n v="13"/>
    <n v="149.76"/>
    <n v="356.28"/>
    <n v="506.04"/>
    <x v="1"/>
    <n v="0"/>
    <n v="79.7"/>
    <n v="195"/>
    <n v="194"/>
  </r>
  <r>
    <s v="O1000714"/>
    <s v="C3661"/>
    <x v="591"/>
    <d v="2024-09-13T00:00:00"/>
    <x v="2"/>
    <x v="0"/>
    <x v="7"/>
    <s v="London"/>
    <s v="FUR-FU-10003039"/>
    <s v="Furniture"/>
    <s v="Furnishings"/>
    <s v="Howard Miller 11-1/2&quot; Diameter Grantwood Wall Clock"/>
    <n v="282.31"/>
    <n v="88"/>
    <s v="S920"/>
    <x v="0"/>
    <s v="W32"/>
    <x v="3"/>
    <s v="Maersk"/>
    <s v="Cape Town-London"/>
    <n v="1373"/>
    <n v="483"/>
    <n v="1"/>
    <n v="687.32"/>
    <n v="176.73"/>
    <n v="864.05000000000007"/>
    <x v="1"/>
    <n v="0"/>
    <n v="77.849999999999994"/>
    <n v="336"/>
    <n v="338"/>
  </r>
  <r>
    <s v="O1000715"/>
    <s v="C8905"/>
    <x v="354"/>
    <d v="2021-09-29T00:00:00"/>
    <x v="0"/>
    <x v="0"/>
    <x v="1"/>
    <s v="London"/>
    <s v="FUR-CH-10002647"/>
    <s v="Furniture"/>
    <s v="Chairs"/>
    <s v="Situations Contoured Folding Chairs, 4/Set"/>
    <n v="17.37"/>
    <n v="18"/>
    <s v="S596"/>
    <x v="3"/>
    <s v="W42"/>
    <x v="3"/>
    <s v="DHL"/>
    <s v="Beijing-Beijing"/>
    <n v="3696"/>
    <n v="221"/>
    <n v="12"/>
    <n v="769.9"/>
    <n v="391.29"/>
    <n v="1161.19"/>
    <x v="1"/>
    <n v="0"/>
    <n v="74.47"/>
    <n v="188"/>
    <n v="169"/>
  </r>
  <r>
    <s v="O1000716"/>
    <s v="C4212"/>
    <x v="592"/>
    <d v="2024-10-02T00:00:00"/>
    <x v="2"/>
    <x v="1"/>
    <x v="4"/>
    <s v="Berlin"/>
    <s v="FUR-TA-10003715"/>
    <s v="Furniture"/>
    <s v="Tables"/>
    <s v="Hon 2111 Invitation Series Corner Table"/>
    <n v="407.11"/>
    <n v="75"/>
    <s v="S188"/>
    <x v="1"/>
    <s v="W35"/>
    <x v="0"/>
    <s v="BlueDart"/>
    <s v="Toronto-Mumbai"/>
    <n v="2120"/>
    <n v="94"/>
    <n v="2"/>
    <n v="1410.11"/>
    <n v="373.17"/>
    <n v="1783.28"/>
    <x v="0"/>
    <n v="3"/>
    <n v="89.15"/>
    <n v="320"/>
    <n v="368"/>
  </r>
  <r>
    <s v="O1000717"/>
    <s v="C2181"/>
    <x v="593"/>
    <d v="2023-04-17T00:00:00"/>
    <x v="2"/>
    <x v="4"/>
    <x v="1"/>
    <s v="Beijing"/>
    <s v="OFF-BI-10001597"/>
    <s v="Office Supplies"/>
    <s v="Binders"/>
    <s v="Wilson Jones Ledger-Size, Piano-Hinge Binder, 2&quot;, Blue"/>
    <n v="99.05"/>
    <n v="11"/>
    <s v="S280"/>
    <x v="4"/>
    <s v="W9"/>
    <x v="1"/>
    <s v="UPS"/>
    <s v="Mumbai-Beijing"/>
    <n v="811"/>
    <n v="226"/>
    <n v="6"/>
    <n v="183.85"/>
    <n v="44.22"/>
    <n v="228.07"/>
    <x v="1"/>
    <n v="0"/>
    <n v="70.31"/>
    <n v="434"/>
    <n v="406"/>
  </r>
  <r>
    <s v="O1000718"/>
    <s v="C3897"/>
    <x v="562"/>
    <d v="2024-02-28T00:00:00"/>
    <x v="2"/>
    <x v="1"/>
    <x v="3"/>
    <s v="Beijing"/>
    <s v="FUR-BO-10004218"/>
    <s v="Furniture"/>
    <s v="Bookcases"/>
    <s v="Bush Heritage Pine Collection 5-Shelf Bookcase, Albany Pine Finish, *Special Order"/>
    <n v="259.32"/>
    <n v="86"/>
    <s v="S896"/>
    <x v="0"/>
    <s v="W29"/>
    <x v="1"/>
    <s v="BlueDart"/>
    <s v="London-New York"/>
    <n v="3606"/>
    <n v="482"/>
    <n v="15"/>
    <n v="1841.16"/>
    <n v="274.52"/>
    <n v="2115.6799999999998"/>
    <x v="1"/>
    <n v="0"/>
    <n v="84.97"/>
    <n v="484"/>
    <n v="502"/>
  </r>
  <r>
    <s v="O1000719"/>
    <s v="C7929"/>
    <x v="294"/>
    <d v="2021-08-22T00:00:00"/>
    <x v="2"/>
    <x v="1"/>
    <x v="6"/>
    <s v="London"/>
    <s v="OFF-AR-10003251"/>
    <s v="Office Supplies"/>
    <s v="Art"/>
    <s v="Prang Drawing Pencil Set"/>
    <n v="93.29"/>
    <n v="77"/>
    <s v="S243"/>
    <x v="4"/>
    <s v="W6"/>
    <x v="0"/>
    <s v="BlueDart"/>
    <s v="New York-Mumbai"/>
    <n v="3231"/>
    <n v="64"/>
    <n v="26"/>
    <n v="1161.1199999999999"/>
    <n v="361.54"/>
    <n v="1522.66"/>
    <x v="1"/>
    <n v="0"/>
    <n v="87.19"/>
    <n v="156"/>
    <n v="178"/>
  </r>
  <r>
    <s v="O1000720"/>
    <s v="C7966"/>
    <x v="594"/>
    <d v="2024-10-10T00:00:00"/>
    <x v="2"/>
    <x v="0"/>
    <x v="3"/>
    <s v="Cape Town"/>
    <s v="OFF-BI-10002609"/>
    <s v="Office Supplies"/>
    <s v="Binders"/>
    <s v="Avery Hidden Tab Dividers for Binding Systems"/>
    <n v="467.8"/>
    <n v="15"/>
    <s v="S231"/>
    <x v="1"/>
    <s v="W2"/>
    <x v="2"/>
    <s v="UPS"/>
    <s v="London-Beijing"/>
    <n v="3915"/>
    <n v="440"/>
    <n v="16"/>
    <n v="1259.19"/>
    <n v="124.5"/>
    <n v="1383.69"/>
    <x v="0"/>
    <n v="13"/>
    <n v="71.36"/>
    <n v="461"/>
    <n v="489"/>
  </r>
  <r>
    <s v="O1000721"/>
    <s v="C9746"/>
    <x v="595"/>
    <d v="2020-08-22T00:00:00"/>
    <x v="1"/>
    <x v="0"/>
    <x v="7"/>
    <s v="Mumbai"/>
    <s v="OFF-BI-10003291"/>
    <s v="Office Supplies"/>
    <s v="Binders"/>
    <s v="Wilson Jones Leather-Like Binders with DublLock Round Rings"/>
    <n v="393.51"/>
    <n v="66"/>
    <s v="S224"/>
    <x v="2"/>
    <s v="W40"/>
    <x v="0"/>
    <s v="BlueDart"/>
    <s v="São Paulo-Mumbai"/>
    <n v="1738"/>
    <n v="247"/>
    <n v="17"/>
    <n v="1299.0999999999999"/>
    <n v="185.45"/>
    <n v="1484.55"/>
    <x v="1"/>
    <n v="0"/>
    <n v="77.650000000000006"/>
    <n v="379"/>
    <n v="386"/>
  </r>
  <r>
    <s v="O1000722"/>
    <s v="C5598"/>
    <x v="596"/>
    <d v="2022-07-13T00:00:00"/>
    <x v="0"/>
    <x v="2"/>
    <x v="1"/>
    <s v="Beijing"/>
    <s v="OFF-LA-10004559"/>
    <s v="Office Supplies"/>
    <s v="Labels"/>
    <s v="Avery 49"/>
    <n v="377.76"/>
    <n v="31"/>
    <s v="S168"/>
    <x v="0"/>
    <s v="W22"/>
    <x v="2"/>
    <s v="DHL"/>
    <s v="London-Mumbai"/>
    <n v="4547"/>
    <n v="292"/>
    <n v="29"/>
    <n v="1841.9"/>
    <n v="34.1"/>
    <n v="1876"/>
    <x v="1"/>
    <n v="0"/>
    <n v="71.03"/>
    <n v="251"/>
    <n v="278"/>
  </r>
  <r>
    <s v="O1000723"/>
    <s v="C1554"/>
    <x v="418"/>
    <d v="2020-08-27T00:00:00"/>
    <x v="2"/>
    <x v="3"/>
    <x v="5"/>
    <s v="São Paulo"/>
    <s v="OFF-PA-10002245"/>
    <s v="Office Supplies"/>
    <s v="Paper"/>
    <s v="Xerox 1895"/>
    <n v="340.31"/>
    <n v="47"/>
    <s v="S471"/>
    <x v="1"/>
    <s v="W31"/>
    <x v="0"/>
    <s v="Maersk"/>
    <s v="Mumbai-São Paulo"/>
    <n v="225"/>
    <n v="220"/>
    <n v="6"/>
    <n v="324.87"/>
    <n v="426.26"/>
    <n v="751.13"/>
    <x v="1"/>
    <n v="0"/>
    <n v="89.76"/>
    <n v="434"/>
    <n v="446"/>
  </r>
  <r>
    <s v="O1000724"/>
    <s v="C8330"/>
    <x v="597"/>
    <d v="2020-08-12T00:00:00"/>
    <x v="2"/>
    <x v="1"/>
    <x v="0"/>
    <s v="Mumbai"/>
    <s v="OFF-PA-10002365"/>
    <s v="Office Supplies"/>
    <s v="Paper"/>
    <s v="Xerox 1967"/>
    <n v="473.42"/>
    <n v="9"/>
    <s v="S515"/>
    <x v="0"/>
    <s v="W15"/>
    <x v="1"/>
    <s v="BlueDart"/>
    <s v="Beijing-Beijing"/>
    <n v="1052"/>
    <n v="268"/>
    <n v="24"/>
    <n v="439.48"/>
    <n v="304.36"/>
    <n v="743.84"/>
    <x v="1"/>
    <n v="0"/>
    <n v="90.91"/>
    <n v="169"/>
    <n v="216"/>
  </r>
  <r>
    <s v="O1000725"/>
    <s v="C8116"/>
    <x v="274"/>
    <d v="2022-01-06T00:00:00"/>
    <x v="2"/>
    <x v="0"/>
    <x v="3"/>
    <s v="Cape Town"/>
    <s v="OFF-PA-10003072"/>
    <s v="Office Supplies"/>
    <s v="Paper"/>
    <s v="Eureka Recycled Copy Paper 8 1/2&quot; x 11&quot;, Ream"/>
    <n v="148.03"/>
    <n v="45"/>
    <s v="S156"/>
    <x v="4"/>
    <s v="W44"/>
    <x v="0"/>
    <s v="FedEx"/>
    <s v="Beijing-Berlin"/>
    <n v="1757"/>
    <n v="111"/>
    <n v="6"/>
    <n v="490.04"/>
    <n v="89.22"/>
    <n v="579.26"/>
    <x v="1"/>
    <n v="0"/>
    <n v="72.12"/>
    <n v="80"/>
    <n v="68"/>
  </r>
  <r>
    <s v="O1000726"/>
    <s v="C5207"/>
    <x v="37"/>
    <d v="2021-12-31T00:00:00"/>
    <x v="1"/>
    <x v="2"/>
    <x v="2"/>
    <s v="New York"/>
    <s v="OFF-ST-10001505"/>
    <s v="Office Supplies"/>
    <s v="Storage"/>
    <s v="Perma STOR-ALL Hanging File Box, 13 1/8&quot;W x 12 1/4&quot;D x 10 1/2&quot;H"/>
    <n v="145.82"/>
    <n v="12"/>
    <s v="S624"/>
    <x v="0"/>
    <s v="W46"/>
    <x v="3"/>
    <s v="FedEx"/>
    <s v="Toronto-New York"/>
    <n v="2888"/>
    <n v="424"/>
    <n v="9"/>
    <n v="1521.87"/>
    <n v="342.97"/>
    <n v="1864.84"/>
    <x v="1"/>
    <n v="0"/>
    <n v="89.52"/>
    <n v="493"/>
    <n v="502"/>
  </r>
  <r>
    <s v="O1000727"/>
    <s v="C8122"/>
    <x v="598"/>
    <d v="2021-06-28T00:00:00"/>
    <x v="2"/>
    <x v="4"/>
    <x v="4"/>
    <s v="Cape Town"/>
    <s v="FUR-CH-10003379"/>
    <s v="Furniture"/>
    <s v="Chairs"/>
    <s v="Global Commerce Series High-Back Swivel/Tilt Chairs"/>
    <n v="258.77"/>
    <n v="32"/>
    <s v="S260"/>
    <x v="2"/>
    <s v="W9"/>
    <x v="1"/>
    <s v="Maersk"/>
    <s v="Mumbai-Beijing"/>
    <n v="4312"/>
    <n v="232"/>
    <n v="1"/>
    <n v="948.87"/>
    <n v="159.35"/>
    <n v="1108.22"/>
    <x v="1"/>
    <n v="0"/>
    <n v="92.41"/>
    <n v="416"/>
    <n v="431"/>
  </r>
  <r>
    <s v="O1000728"/>
    <s v="C2700"/>
    <x v="294"/>
    <d v="2021-09-03T00:00:00"/>
    <x v="2"/>
    <x v="1"/>
    <x v="3"/>
    <s v="Berlin"/>
    <s v="FUR-FU-10000629"/>
    <s v="Furniture"/>
    <s v="Furnishings"/>
    <s v="9-3/4 Diameter Round Wall Clock"/>
    <n v="189.54"/>
    <n v="12"/>
    <s v="S539"/>
    <x v="2"/>
    <s v="W2"/>
    <x v="0"/>
    <s v="FedEx"/>
    <s v="New York-Berlin"/>
    <n v="32"/>
    <n v="427"/>
    <n v="7"/>
    <n v="309.01"/>
    <n v="171.3"/>
    <n v="480.31"/>
    <x v="1"/>
    <n v="0"/>
    <n v="76.88"/>
    <n v="437"/>
    <n v="412"/>
  </r>
  <r>
    <s v="O1000729"/>
    <s v="C5440"/>
    <x v="333"/>
    <d v="2021-10-17T00:00:00"/>
    <x v="2"/>
    <x v="0"/>
    <x v="5"/>
    <s v="London"/>
    <s v="OFF-BI-10002954"/>
    <s v="Office Supplies"/>
    <s v="Binders"/>
    <s v="Newell 3-Hole Punched Plastic Slotted Magazine Holders for Binders"/>
    <n v="295.95"/>
    <n v="43"/>
    <s v="S528"/>
    <x v="2"/>
    <s v="W42"/>
    <x v="1"/>
    <s v="Maersk"/>
    <s v="Mumbai-Toronto"/>
    <n v="1154"/>
    <n v="194"/>
    <n v="9"/>
    <n v="106.49"/>
    <n v="123.51"/>
    <n v="230"/>
    <x v="1"/>
    <n v="0"/>
    <n v="78.930000000000007"/>
    <n v="469"/>
    <n v="423"/>
  </r>
  <r>
    <s v="O1000730"/>
    <s v="C1675"/>
    <x v="599"/>
    <d v="2021-08-17T00:00:00"/>
    <x v="2"/>
    <x v="1"/>
    <x v="0"/>
    <s v="London"/>
    <s v="OFF-LA-10001175"/>
    <s v="Office Supplies"/>
    <s v="Labels"/>
    <s v="Avery 514"/>
    <n v="114.26"/>
    <n v="4"/>
    <s v="S424"/>
    <x v="3"/>
    <s v="W1"/>
    <x v="2"/>
    <s v="UPS"/>
    <s v="São Paulo-New York"/>
    <n v="4767"/>
    <n v="297"/>
    <n v="27"/>
    <n v="1095.25"/>
    <n v="120.39"/>
    <n v="1215.6400000000001"/>
    <x v="0"/>
    <n v="11"/>
    <n v="83.49"/>
    <n v="101"/>
    <n v="59"/>
  </r>
  <r>
    <s v="O1000731"/>
    <s v="C2208"/>
    <x v="272"/>
    <d v="2021-12-21T00:00:00"/>
    <x v="1"/>
    <x v="2"/>
    <x v="0"/>
    <s v="Toronto"/>
    <s v="OFF-PA-10000474"/>
    <s v="Office Supplies"/>
    <s v="Paper"/>
    <s v="Easy-staple paper"/>
    <n v="276.55"/>
    <n v="92"/>
    <s v="S433"/>
    <x v="4"/>
    <s v="W44"/>
    <x v="0"/>
    <s v="BlueDart"/>
    <s v="Toronto-São Paulo"/>
    <n v="676"/>
    <n v="473"/>
    <n v="26"/>
    <n v="622.55999999999995"/>
    <n v="22.22"/>
    <n v="644.78"/>
    <x v="1"/>
    <n v="0"/>
    <n v="96.24"/>
    <n v="58"/>
    <n v="101"/>
  </r>
  <r>
    <s v="O1000732"/>
    <s v="C7424"/>
    <x v="600"/>
    <d v="2023-03-18T00:00:00"/>
    <x v="1"/>
    <x v="0"/>
    <x v="6"/>
    <s v="Mumbai"/>
    <s v="OFF-PA-10000552"/>
    <s v="Office Supplies"/>
    <s v="Paper"/>
    <s v="Xerox 200"/>
    <n v="128.09"/>
    <n v="39"/>
    <s v="S912"/>
    <x v="3"/>
    <s v="W6"/>
    <x v="3"/>
    <s v="UPS"/>
    <s v="Toronto-Beijing"/>
    <n v="2572"/>
    <n v="463"/>
    <n v="28"/>
    <n v="305.69"/>
    <n v="476.01"/>
    <n v="781.7"/>
    <x v="0"/>
    <n v="5"/>
    <n v="85.57"/>
    <n v="371"/>
    <n v="387"/>
  </r>
  <r>
    <s v="O1000733"/>
    <s v="C7595"/>
    <x v="601"/>
    <d v="2021-05-14T00:00:00"/>
    <x v="2"/>
    <x v="2"/>
    <x v="5"/>
    <s v="Cape Town"/>
    <s v="OFF-PA-10001970"/>
    <s v="Office Supplies"/>
    <s v="Paper"/>
    <s v="Xerox 1881"/>
    <n v="264.52999999999997"/>
    <n v="19"/>
    <s v="S600"/>
    <x v="2"/>
    <s v="W47"/>
    <x v="3"/>
    <s v="UPS"/>
    <s v="Toronto-New York"/>
    <n v="1522"/>
    <n v="299"/>
    <n v="6"/>
    <n v="88.1"/>
    <n v="288.42"/>
    <n v="376.52"/>
    <x v="1"/>
    <n v="0"/>
    <n v="82.37"/>
    <n v="81"/>
    <n v="52"/>
  </r>
  <r>
    <s v="O1000734"/>
    <s v="C1254"/>
    <x v="602"/>
    <d v="2023-06-14T00:00:00"/>
    <x v="2"/>
    <x v="2"/>
    <x v="7"/>
    <s v="New York"/>
    <s v="TEC-PH-10000895"/>
    <s v="Technology"/>
    <s v="Phones"/>
    <s v="Polycom VVX 310 VoIP phone"/>
    <n v="251.22"/>
    <n v="23"/>
    <s v="S312"/>
    <x v="3"/>
    <s v="W15"/>
    <x v="0"/>
    <s v="FedEx"/>
    <s v="Mumbai-São Paulo"/>
    <n v="548"/>
    <n v="98"/>
    <n v="29"/>
    <n v="1407.31"/>
    <n v="181.74"/>
    <n v="1589.05"/>
    <x v="1"/>
    <n v="0"/>
    <n v="95.94"/>
    <n v="218"/>
    <n v="245"/>
  </r>
  <r>
    <s v="O1000735"/>
    <s v="C7745"/>
    <x v="251"/>
    <d v="2024-06-12T00:00:00"/>
    <x v="2"/>
    <x v="2"/>
    <x v="5"/>
    <s v="Cape Town"/>
    <s v="TEC-PH-10003885"/>
    <s v="Technology"/>
    <s v="Phones"/>
    <s v="Cisco SPA508G"/>
    <n v="109.84"/>
    <n v="58"/>
    <s v="S955"/>
    <x v="4"/>
    <s v="W27"/>
    <x v="0"/>
    <s v="Maersk"/>
    <s v="Cape Town-Mumbai"/>
    <n v="3221"/>
    <n v="351"/>
    <n v="9"/>
    <n v="138.69999999999999"/>
    <n v="153.74"/>
    <n v="292.44"/>
    <x v="1"/>
    <n v="0"/>
    <n v="82.81"/>
    <n v="422"/>
    <n v="378"/>
  </r>
  <r>
    <s v="O1000736"/>
    <s v="C3829"/>
    <x v="603"/>
    <d v="2024-12-15T00:00:00"/>
    <x v="2"/>
    <x v="0"/>
    <x v="2"/>
    <s v="Berlin"/>
    <s v="TEC-PH-10004912"/>
    <s v="Technology"/>
    <s v="Phones"/>
    <s v="Cisco SPA112 2 Port Phone Adapter"/>
    <n v="322.3"/>
    <n v="12"/>
    <s v="S742"/>
    <x v="1"/>
    <s v="W48"/>
    <x v="3"/>
    <s v="FedEx"/>
    <s v="Cape Town-Berlin"/>
    <n v="426"/>
    <n v="153"/>
    <n v="5"/>
    <n v="671.13"/>
    <n v="219.86"/>
    <n v="890.99"/>
    <x v="1"/>
    <n v="0"/>
    <n v="75.790000000000006"/>
    <n v="497"/>
    <n v="492"/>
  </r>
  <r>
    <s v="O1000737"/>
    <s v="C9303"/>
    <x v="537"/>
    <d v="2021-06-16T00:00:00"/>
    <x v="2"/>
    <x v="1"/>
    <x v="3"/>
    <s v="Berlin"/>
    <s v="FUR-CH-10001797"/>
    <s v="Furniture"/>
    <s v="Chairs"/>
    <s v="Safco Chair Connectors, 6/Carton"/>
    <n v="33.6"/>
    <n v="6"/>
    <s v="S382"/>
    <x v="0"/>
    <s v="W27"/>
    <x v="1"/>
    <s v="FedEx"/>
    <s v="Cape Town-São Paulo"/>
    <n v="3815"/>
    <n v="195"/>
    <n v="18"/>
    <n v="114.27"/>
    <n v="419.71"/>
    <n v="533.98"/>
    <x v="1"/>
    <n v="0"/>
    <n v="90.65"/>
    <n v="357"/>
    <n v="371"/>
  </r>
  <r>
    <s v="O1000738"/>
    <s v="C5214"/>
    <x v="604"/>
    <d v="2020-11-11T00:00:00"/>
    <x v="2"/>
    <x v="2"/>
    <x v="6"/>
    <s v="Cape Town"/>
    <s v="FUR-CH-10002126"/>
    <s v="Furniture"/>
    <s v="Chairs"/>
    <s v="Hon Deluxe Fabric Upholstered Stacking Chairs"/>
    <n v="361.76"/>
    <n v="1"/>
    <s v="S223"/>
    <x v="0"/>
    <s v="W44"/>
    <x v="0"/>
    <s v="BlueDart"/>
    <s v="Cape Town-Mumbai"/>
    <n v="1440"/>
    <n v="384"/>
    <n v="4"/>
    <n v="781.84"/>
    <n v="454.11"/>
    <n v="1235.95"/>
    <x v="1"/>
    <n v="0"/>
    <n v="82.89"/>
    <n v="428"/>
    <n v="477"/>
  </r>
  <r>
    <s v="O1000739"/>
    <s v="C6397"/>
    <x v="605"/>
    <d v="2022-10-26T00:00:00"/>
    <x v="1"/>
    <x v="0"/>
    <x v="0"/>
    <s v="Mumbai"/>
    <s v="FUR-TA-10004575"/>
    <s v="Furniture"/>
    <s v="Tables"/>
    <s v="Hon 5100 Series Wood Tables"/>
    <n v="424.26"/>
    <n v="27"/>
    <s v="S710"/>
    <x v="3"/>
    <s v="W21"/>
    <x v="2"/>
    <s v="Maersk"/>
    <s v="New York-London"/>
    <n v="1293"/>
    <n v="456"/>
    <n v="16"/>
    <n v="1830.9"/>
    <n v="282.63"/>
    <n v="2113.5300000000002"/>
    <x v="1"/>
    <n v="0"/>
    <n v="83.49"/>
    <n v="206"/>
    <n v="159"/>
  </r>
  <r>
    <s v="O1000740"/>
    <s v="C9817"/>
    <x v="606"/>
    <d v="2024-04-16T00:00:00"/>
    <x v="1"/>
    <x v="0"/>
    <x v="7"/>
    <s v="Beijing"/>
    <s v="OFF-AR-10003158"/>
    <s v="Office Supplies"/>
    <s v="Art"/>
    <s v="Fluorescent Highlighters by Dixon"/>
    <n v="358.62"/>
    <n v="63"/>
    <s v="S542"/>
    <x v="3"/>
    <s v="W27"/>
    <x v="1"/>
    <s v="BlueDart"/>
    <s v="Cape Town-Toronto"/>
    <n v="153"/>
    <n v="317"/>
    <n v="17"/>
    <n v="1258.8499999999999"/>
    <n v="490.03"/>
    <n v="1748.88"/>
    <x v="1"/>
    <n v="0"/>
    <n v="73.05"/>
    <n v="170"/>
    <n v="153"/>
  </r>
  <r>
    <s v="O1000741"/>
    <s v="C4458"/>
    <x v="607"/>
    <d v="2023-02-07T00:00:00"/>
    <x v="1"/>
    <x v="4"/>
    <x v="7"/>
    <s v="Berlin"/>
    <s v="OFF-BI-10003094"/>
    <s v="Office Supplies"/>
    <s v="Binders"/>
    <s v="Self-Adhesive Ring Binder Labels"/>
    <n v="458.08"/>
    <n v="55"/>
    <s v="S984"/>
    <x v="4"/>
    <s v="W10"/>
    <x v="3"/>
    <s v="DHL"/>
    <s v="London-São Paulo"/>
    <n v="4437"/>
    <n v="438"/>
    <n v="2"/>
    <n v="836.57"/>
    <n v="341.12"/>
    <n v="1177.69"/>
    <x v="1"/>
    <n v="0"/>
    <n v="72.27"/>
    <n v="116"/>
    <n v="133"/>
  </r>
  <r>
    <s v="O1000742"/>
    <s v="C6879"/>
    <x v="608"/>
    <d v="2021-11-19T00:00:00"/>
    <x v="2"/>
    <x v="4"/>
    <x v="5"/>
    <s v="London"/>
    <s v="OFF-BI-10003314"/>
    <s v="Office Supplies"/>
    <s v="Binders"/>
    <s v="Tuff Stuff Recycled Round Ring Binders"/>
    <n v="53.36"/>
    <n v="84"/>
    <s v="S352"/>
    <x v="2"/>
    <s v="W38"/>
    <x v="0"/>
    <s v="FedEx"/>
    <s v="São Paulo-Berlin"/>
    <n v="4959"/>
    <n v="63"/>
    <n v="7"/>
    <n v="1828.81"/>
    <n v="127.38"/>
    <n v="1956.19"/>
    <x v="1"/>
    <n v="0"/>
    <n v="86.36"/>
    <n v="425"/>
    <n v="443"/>
  </r>
  <r>
    <s v="O1000743"/>
    <s v="C5863"/>
    <x v="609"/>
    <d v="2023-10-20T00:00:00"/>
    <x v="2"/>
    <x v="0"/>
    <x v="3"/>
    <s v="New York"/>
    <s v="OFF-FA-10001561"/>
    <s v="Office Supplies"/>
    <s v="Fasteners"/>
    <s v="Stockwell Push Pins"/>
    <n v="487.95"/>
    <n v="93"/>
    <s v="S667"/>
    <x v="1"/>
    <s v="W29"/>
    <x v="0"/>
    <s v="UPS"/>
    <s v="Berlin-Cape Town"/>
    <n v="398"/>
    <n v="374"/>
    <n v="3"/>
    <n v="1447.69"/>
    <n v="468.76"/>
    <n v="1916.45"/>
    <x v="1"/>
    <n v="0"/>
    <n v="74.150000000000006"/>
    <n v="460"/>
    <n v="501"/>
  </r>
  <r>
    <s v="O1000744"/>
    <s v="C3063"/>
    <x v="610"/>
    <d v="2021-10-20T00:00:00"/>
    <x v="1"/>
    <x v="0"/>
    <x v="0"/>
    <s v="Toronto"/>
    <s v="OFF-PA-10001526"/>
    <s v="Office Supplies"/>
    <s v="Paper"/>
    <s v="Xerox 1949"/>
    <n v="461.8"/>
    <n v="79"/>
    <s v="S626"/>
    <x v="1"/>
    <s v="W48"/>
    <x v="2"/>
    <s v="BlueDart"/>
    <s v="New York-New York"/>
    <n v="3308"/>
    <n v="376"/>
    <n v="21"/>
    <n v="92.08"/>
    <n v="262.56"/>
    <n v="354.64"/>
    <x v="1"/>
    <n v="0"/>
    <n v="73.86"/>
    <n v="85"/>
    <n v="122"/>
  </r>
  <r>
    <s v="O1000745"/>
    <s v="C1921"/>
    <x v="611"/>
    <d v="2023-07-10T00:00:00"/>
    <x v="2"/>
    <x v="0"/>
    <x v="2"/>
    <s v="Cape Town"/>
    <s v="OFF-PA-10001804"/>
    <s v="Office Supplies"/>
    <s v="Paper"/>
    <s v="Xerox 195"/>
    <n v="335.21"/>
    <n v="32"/>
    <s v="S664"/>
    <x v="0"/>
    <s v="W27"/>
    <x v="2"/>
    <s v="BlueDart"/>
    <s v="Cape Town-Mumbai"/>
    <n v="2668"/>
    <n v="142"/>
    <n v="13"/>
    <n v="910.99"/>
    <n v="137.4"/>
    <n v="1048.3900000000001"/>
    <x v="1"/>
    <n v="0"/>
    <n v="75.069999999999993"/>
    <n v="407"/>
    <n v="378"/>
  </r>
  <r>
    <s v="O1000746"/>
    <s v="C8415"/>
    <x v="612"/>
    <d v="2021-08-31T00:00:00"/>
    <x v="1"/>
    <x v="2"/>
    <x v="7"/>
    <s v="Mumbai"/>
    <s v="OFF-ST-10000107"/>
    <s v="Office Supplies"/>
    <s v="Storage"/>
    <s v="Fellowes Super Stor/Drawer"/>
    <n v="431.66"/>
    <n v="91"/>
    <s v="S892"/>
    <x v="4"/>
    <s v="W16"/>
    <x v="2"/>
    <s v="Maersk"/>
    <s v="Cape Town-London"/>
    <n v="4277"/>
    <n v="461"/>
    <n v="15"/>
    <n v="1548.87"/>
    <n v="363.11"/>
    <n v="1911.98"/>
    <x v="1"/>
    <n v="0"/>
    <n v="84.44"/>
    <n v="442"/>
    <n v="426"/>
  </r>
  <r>
    <s v="O1000747"/>
    <s v="C3712"/>
    <x v="104"/>
    <d v="2021-09-15T00:00:00"/>
    <x v="2"/>
    <x v="1"/>
    <x v="7"/>
    <s v="London"/>
    <s v="TEC-AC-10002857"/>
    <s v="Technology"/>
    <s v="Accessories"/>
    <s v="Verbatim 25 GB 6x Blu-ray Single Layer Recordable Disc, 1/Pack"/>
    <n v="368.67"/>
    <n v="49"/>
    <s v="S377"/>
    <x v="3"/>
    <s v="W19"/>
    <x v="0"/>
    <s v="BlueDart"/>
    <s v="São Paulo-New York"/>
    <n v="2691"/>
    <n v="74"/>
    <n v="4"/>
    <n v="566.82000000000005"/>
    <n v="369.7"/>
    <n v="936.52"/>
    <x v="1"/>
    <n v="0"/>
    <n v="97.16"/>
    <n v="459"/>
    <n v="489"/>
  </r>
  <r>
    <s v="O1000748"/>
    <s v="C9254"/>
    <x v="447"/>
    <d v="2022-08-16T00:00:00"/>
    <x v="2"/>
    <x v="3"/>
    <x v="4"/>
    <s v="São Paulo"/>
    <s v="TEC-PH-10000439"/>
    <s v="Technology"/>
    <s v="Phones"/>
    <s v="GE DSL Phone Line Filter"/>
    <n v="412.17"/>
    <n v="81"/>
    <s v="S838"/>
    <x v="4"/>
    <s v="W43"/>
    <x v="2"/>
    <s v="BlueDart"/>
    <s v="Beijing-Mumbai"/>
    <n v="2668"/>
    <n v="341"/>
    <n v="16"/>
    <n v="756.15"/>
    <n v="469.87"/>
    <n v="1226.02"/>
    <x v="1"/>
    <n v="0"/>
    <n v="77.489999999999995"/>
    <n v="308"/>
    <n v="283"/>
  </r>
  <r>
    <s v="O1000749"/>
    <s v="C9139"/>
    <x v="613"/>
    <d v="2021-05-05T00:00:00"/>
    <x v="2"/>
    <x v="2"/>
    <x v="6"/>
    <s v="Mumbai"/>
    <s v="FUR-TA-10002855"/>
    <s v="Furniture"/>
    <s v="Tables"/>
    <s v="Bevis Round Conference Table Top &amp; Single Column Base"/>
    <n v="26.47"/>
    <n v="56"/>
    <s v="S979"/>
    <x v="1"/>
    <s v="W44"/>
    <x v="2"/>
    <s v="UPS"/>
    <s v="Beijing-Beijing"/>
    <n v="1915"/>
    <n v="466"/>
    <n v="2"/>
    <n v="272.56"/>
    <n v="309.7"/>
    <n v="582.26"/>
    <x v="1"/>
    <n v="0"/>
    <n v="79.75"/>
    <n v="453"/>
    <n v="443"/>
  </r>
  <r>
    <s v="O1000750"/>
    <s v="C5029"/>
    <x v="291"/>
    <d v="2023-05-01T00:00:00"/>
    <x v="1"/>
    <x v="0"/>
    <x v="6"/>
    <s v="Mumbai"/>
    <s v="FUR-FU-10001057"/>
    <s v="Furniture"/>
    <s v="Furnishings"/>
    <s v="Tensor Track Tree Floor Lamp"/>
    <n v="368.36"/>
    <n v="70"/>
    <s v="S960"/>
    <x v="3"/>
    <s v="W34"/>
    <x v="3"/>
    <s v="UPS"/>
    <s v="London-New York"/>
    <n v="1577"/>
    <n v="61"/>
    <n v="12"/>
    <n v="797.96"/>
    <n v="35.03"/>
    <n v="832.99"/>
    <x v="1"/>
    <n v="0"/>
    <n v="77.069999999999993"/>
    <n v="97"/>
    <n v="120"/>
  </r>
  <r>
    <s v="O1000751"/>
    <s v="C1414"/>
    <x v="614"/>
    <d v="2024-01-01T00:00:00"/>
    <x v="1"/>
    <x v="0"/>
    <x v="4"/>
    <s v="Toronto"/>
    <s v="OFF-AP-10000576"/>
    <s v="Office Supplies"/>
    <s v="Appliances"/>
    <s v="Belkin 7 Outlet SurgeMaster II"/>
    <n v="387.21"/>
    <n v="74"/>
    <s v="S528"/>
    <x v="2"/>
    <s v="W25"/>
    <x v="3"/>
    <s v="DHL"/>
    <s v="São Paulo-Mumbai"/>
    <n v="4182"/>
    <n v="166"/>
    <n v="24"/>
    <n v="361.64"/>
    <n v="140.94"/>
    <n v="502.58"/>
    <x v="1"/>
    <n v="0"/>
    <n v="70.56"/>
    <n v="232"/>
    <n v="188"/>
  </r>
  <r>
    <s v="O1000752"/>
    <s v="C7883"/>
    <x v="615"/>
    <d v="2021-03-10T00:00:00"/>
    <x v="2"/>
    <x v="1"/>
    <x v="4"/>
    <s v="Cape Town"/>
    <s v="OFF-AR-10001044"/>
    <s v="Office Supplies"/>
    <s v="Art"/>
    <s v="BOSTON Ranger #55 Pencil Sharpener, Black"/>
    <n v="200.29"/>
    <n v="36"/>
    <s v="S153"/>
    <x v="3"/>
    <s v="W40"/>
    <x v="3"/>
    <s v="BlueDart"/>
    <s v="Toronto-São Paulo"/>
    <n v="3758"/>
    <n v="335"/>
    <n v="29"/>
    <n v="810.91"/>
    <n v="269.94"/>
    <n v="1080.8499999999999"/>
    <x v="0"/>
    <n v="1"/>
    <n v="98.38"/>
    <n v="321"/>
    <n v="292"/>
  </r>
  <r>
    <s v="O1000753"/>
    <s v="C9621"/>
    <x v="616"/>
    <d v="2021-01-29T00:00:00"/>
    <x v="2"/>
    <x v="4"/>
    <x v="1"/>
    <s v="Beijing"/>
    <s v="OFF-AR-10004999"/>
    <s v="Office Supplies"/>
    <s v="Art"/>
    <s v="Newell 315"/>
    <n v="120.06"/>
    <n v="1"/>
    <s v="S876"/>
    <x v="0"/>
    <s v="W48"/>
    <x v="1"/>
    <s v="FedEx"/>
    <s v="Berlin-Beijing"/>
    <n v="231"/>
    <n v="238"/>
    <n v="4"/>
    <n v="1761.25"/>
    <n v="484.39"/>
    <n v="2245.64"/>
    <x v="1"/>
    <n v="0"/>
    <n v="84.67"/>
    <n v="244"/>
    <n v="198"/>
  </r>
  <r>
    <s v="O1000754"/>
    <s v="C2076"/>
    <x v="6"/>
    <d v="2024-03-06T00:00:00"/>
    <x v="1"/>
    <x v="2"/>
    <x v="5"/>
    <s v="Toronto"/>
    <s v="OFF-BI-10001098"/>
    <s v="Office Supplies"/>
    <s v="Binders"/>
    <s v="Acco D-Ring Binder w/DublLock"/>
    <n v="435.99"/>
    <n v="14"/>
    <s v="S275"/>
    <x v="4"/>
    <s v="W13"/>
    <x v="0"/>
    <s v="UPS"/>
    <s v="Cape Town-Mumbai"/>
    <n v="2081"/>
    <n v="345"/>
    <n v="21"/>
    <n v="1361.09"/>
    <n v="484.04"/>
    <n v="1845.13"/>
    <x v="1"/>
    <n v="0"/>
    <n v="97.57"/>
    <n v="480"/>
    <n v="497"/>
  </r>
  <r>
    <s v="O1000755"/>
    <s v="C6667"/>
    <x v="617"/>
    <d v="2022-06-11T00:00:00"/>
    <x v="1"/>
    <x v="0"/>
    <x v="3"/>
    <s v="São Paulo"/>
    <s v="OFF-ST-10000760"/>
    <s v="Office Supplies"/>
    <s v="Storage"/>
    <s v="Eldon Fold 'N Roll Cart System"/>
    <n v="386.09"/>
    <n v="29"/>
    <s v="S841"/>
    <x v="3"/>
    <s v="W46"/>
    <x v="3"/>
    <s v="DHL"/>
    <s v="New York-Toronto"/>
    <n v="4389"/>
    <n v="451"/>
    <n v="29"/>
    <n v="1645.62"/>
    <n v="377.39"/>
    <n v="2023.01"/>
    <x v="0"/>
    <n v="8"/>
    <n v="88.66"/>
    <n v="193"/>
    <n v="167"/>
  </r>
  <r>
    <s v="O1000756"/>
    <s v="C5062"/>
    <x v="618"/>
    <d v="2022-01-28T00:00:00"/>
    <x v="2"/>
    <x v="4"/>
    <x v="5"/>
    <s v="Berlin"/>
    <s v="TEC-PH-10001552"/>
    <s v="Technology"/>
    <s v="Phones"/>
    <s v="I Need's 3d Hello Kitty Hybrid Silicone Case Cover for HTC One X 4g with 3d Hello Kitty Stylus Pen Green/pink"/>
    <n v="447.45"/>
    <n v="92"/>
    <s v="S365"/>
    <x v="0"/>
    <s v="W26"/>
    <x v="0"/>
    <s v="FedEx"/>
    <s v="Beijing-London"/>
    <n v="2022"/>
    <n v="199"/>
    <n v="23"/>
    <n v="525.09"/>
    <n v="433.98"/>
    <n v="959.07"/>
    <x v="1"/>
    <n v="0"/>
    <n v="71.09"/>
    <n v="52"/>
    <n v="55"/>
  </r>
  <r>
    <s v="O1000757"/>
    <s v="C6032"/>
    <x v="619"/>
    <d v="2021-11-06T00:00:00"/>
    <x v="2"/>
    <x v="3"/>
    <x v="7"/>
    <s v="Beijing"/>
    <s v="TEC-PH-10002070"/>
    <s v="Technology"/>
    <s v="Phones"/>
    <s v="Griffin GC36547 PowerJolt SE Lightning Charger"/>
    <n v="220.32"/>
    <n v="67"/>
    <s v="S869"/>
    <x v="0"/>
    <s v="W6"/>
    <x v="3"/>
    <s v="DHL"/>
    <s v="London-Toronto"/>
    <n v="457"/>
    <n v="296"/>
    <n v="2"/>
    <n v="434.43"/>
    <n v="14.08"/>
    <n v="448.51"/>
    <x v="1"/>
    <n v="0"/>
    <n v="99.5"/>
    <n v="213"/>
    <n v="211"/>
  </r>
  <r>
    <s v="O1000758"/>
    <s v="C8166"/>
    <x v="620"/>
    <d v="2023-03-08T00:00:00"/>
    <x v="2"/>
    <x v="1"/>
    <x v="3"/>
    <s v="Toronto"/>
    <s v="TEC-PH-10002583"/>
    <s v="Technology"/>
    <s v="Phones"/>
    <s v="iOttie HLCRIO102 Car Mount"/>
    <n v="35.69"/>
    <n v="45"/>
    <s v="S954"/>
    <x v="4"/>
    <s v="W10"/>
    <x v="3"/>
    <s v="Maersk"/>
    <s v="Toronto-Beijing"/>
    <n v="271"/>
    <n v="343"/>
    <n v="23"/>
    <n v="876.65"/>
    <n v="186.29"/>
    <n v="1062.94"/>
    <x v="1"/>
    <n v="0"/>
    <n v="89.21"/>
    <n v="160"/>
    <n v="158"/>
  </r>
  <r>
    <s v="O1000759"/>
    <s v="C5428"/>
    <x v="621"/>
    <d v="2023-03-01T00:00:00"/>
    <x v="1"/>
    <x v="1"/>
    <x v="2"/>
    <s v="Cape Town"/>
    <s v="OFF-FA-10000304"/>
    <s v="Office Supplies"/>
    <s v="Fasteners"/>
    <s v="Advantus Push Pins"/>
    <n v="38.5"/>
    <n v="28"/>
    <s v="S436"/>
    <x v="3"/>
    <s v="W21"/>
    <x v="1"/>
    <s v="Maersk"/>
    <s v="London-New York"/>
    <n v="217"/>
    <n v="219"/>
    <n v="10"/>
    <n v="426.28"/>
    <n v="116.32"/>
    <n v="542.59999999999991"/>
    <x v="1"/>
    <n v="0"/>
    <n v="73.83"/>
    <n v="79"/>
    <n v="90"/>
  </r>
  <r>
    <s v="O1000760"/>
    <s v="C2124"/>
    <x v="622"/>
    <d v="2023-02-22T00:00:00"/>
    <x v="2"/>
    <x v="1"/>
    <x v="0"/>
    <s v="New York"/>
    <s v="TEC-AC-10003709"/>
    <s v="Technology"/>
    <s v="Accessories"/>
    <s v="Maxell 4.7GB DVD-R 5/Pack"/>
    <n v="325.98"/>
    <n v="37"/>
    <s v="S895"/>
    <x v="2"/>
    <s v="W26"/>
    <x v="1"/>
    <s v="FedEx"/>
    <s v="Cape Town-Toronto"/>
    <n v="2856"/>
    <n v="408"/>
    <n v="29"/>
    <n v="1998.97"/>
    <n v="135.30000000000001"/>
    <n v="2134.27"/>
    <x v="1"/>
    <n v="0"/>
    <n v="86.1"/>
    <n v="144"/>
    <n v="149"/>
  </r>
  <r>
    <s v="O1000761"/>
    <s v="C7940"/>
    <x v="623"/>
    <d v="2020-09-29T00:00:00"/>
    <x v="2"/>
    <x v="3"/>
    <x v="3"/>
    <s v="Mumbai"/>
    <s v="FUR-CH-10002372"/>
    <s v="Furniture"/>
    <s v="Chairs"/>
    <s v="Office Star - Ergonomically Designed Knee Chair"/>
    <n v="35.46"/>
    <n v="70"/>
    <s v="S775"/>
    <x v="2"/>
    <s v="W29"/>
    <x v="0"/>
    <s v="FedEx"/>
    <s v="Toronto-Berlin"/>
    <n v="3075"/>
    <n v="251"/>
    <n v="9"/>
    <n v="1401.76"/>
    <n v="149.66999999999999"/>
    <n v="1551.43"/>
    <x v="1"/>
    <n v="0"/>
    <n v="94.7"/>
    <n v="497"/>
    <n v="478"/>
  </r>
  <r>
    <s v="O1000762"/>
    <s v="C2229"/>
    <x v="451"/>
    <d v="2024-07-03T00:00:00"/>
    <x v="2"/>
    <x v="4"/>
    <x v="6"/>
    <s v="Berlin"/>
    <s v="OFF-BI-10002103"/>
    <s v="Office Supplies"/>
    <s v="Binders"/>
    <s v="Cardinal Slant-D Ring Binder, Heavy Gauge Vinyl"/>
    <n v="179.02"/>
    <n v="79"/>
    <s v="S534"/>
    <x v="0"/>
    <s v="W47"/>
    <x v="2"/>
    <s v="Maersk"/>
    <s v="Cape Town-Toronto"/>
    <n v="1114"/>
    <n v="483"/>
    <n v="18"/>
    <n v="1582.49"/>
    <n v="319.60000000000002"/>
    <n v="1902.09"/>
    <x v="1"/>
    <n v="0"/>
    <n v="87.52"/>
    <n v="421"/>
    <n v="438"/>
  </r>
  <r>
    <s v="O1000763"/>
    <s v="C2768"/>
    <x v="624"/>
    <d v="2021-10-02T00:00:00"/>
    <x v="2"/>
    <x v="0"/>
    <x v="2"/>
    <s v="Berlin"/>
    <s v="FUR-TA-10004152"/>
    <s v="Furniture"/>
    <s v="Tables"/>
    <s v="Barricks 18&quot; x 48&quot; Non-Folding Utility Table with Bottom Storage Shelf"/>
    <n v="374.12"/>
    <n v="7"/>
    <s v="S242"/>
    <x v="0"/>
    <s v="W11"/>
    <x v="2"/>
    <s v="FedEx"/>
    <s v="Beijing-Cape Town"/>
    <n v="442"/>
    <n v="330"/>
    <n v="18"/>
    <n v="237.65"/>
    <n v="431.92"/>
    <n v="669.57"/>
    <x v="1"/>
    <n v="0"/>
    <n v="70.61"/>
    <n v="170"/>
    <n v="157"/>
  </r>
  <r>
    <s v="O1000764"/>
    <s v="C4895"/>
    <x v="508"/>
    <d v="2023-05-29T00:00:00"/>
    <x v="2"/>
    <x v="3"/>
    <x v="7"/>
    <s v="Beijing"/>
    <s v="OFF-BI-10001759"/>
    <s v="Office Supplies"/>
    <s v="Binders"/>
    <s v="Acco Pressboard Covers with Storage Hooks, 14 7/8&quot; x 11&quot;, Dark Blue"/>
    <n v="479.41"/>
    <n v="50"/>
    <s v="S632"/>
    <x v="2"/>
    <s v="W9"/>
    <x v="1"/>
    <s v="DHL"/>
    <s v="Berlin-London"/>
    <n v="2164"/>
    <n v="140"/>
    <n v="7"/>
    <n v="1064.1600000000001"/>
    <n v="269.77"/>
    <n v="1333.93"/>
    <x v="1"/>
    <n v="0"/>
    <n v="81.569999999999993"/>
    <n v="363"/>
    <n v="363"/>
  </r>
  <r>
    <s v="O1000765"/>
    <s v="C9844"/>
    <x v="625"/>
    <d v="2020-10-23T00:00:00"/>
    <x v="2"/>
    <x v="0"/>
    <x v="2"/>
    <s v="Beijing"/>
    <s v="OFF-BI-10002160"/>
    <s v="Office Supplies"/>
    <s v="Binders"/>
    <s v="Acco Hanging Data Binders"/>
    <n v="414.13"/>
    <n v="6"/>
    <s v="S765"/>
    <x v="2"/>
    <s v="W20"/>
    <x v="0"/>
    <s v="Maersk"/>
    <s v="Berlin-New York"/>
    <n v="1650"/>
    <n v="457"/>
    <n v="14"/>
    <n v="142.9"/>
    <n v="165.67"/>
    <n v="308.57"/>
    <x v="1"/>
    <n v="0"/>
    <n v="73.95"/>
    <n v="411"/>
    <n v="391"/>
  </r>
  <r>
    <s v="O1000766"/>
    <s v="C8983"/>
    <x v="93"/>
    <d v="2021-07-09T00:00:00"/>
    <x v="2"/>
    <x v="3"/>
    <x v="5"/>
    <s v="Beijing"/>
    <s v="OFF-BI-10003694"/>
    <s v="Office Supplies"/>
    <s v="Binders"/>
    <s v="Avery 3 1/2&quot; Diskette Storage Pages, 10/Pack"/>
    <n v="219.07"/>
    <n v="10"/>
    <s v="S197"/>
    <x v="1"/>
    <s v="W11"/>
    <x v="3"/>
    <s v="FedEx"/>
    <s v="Cape Town-Toronto"/>
    <n v="698"/>
    <n v="355"/>
    <n v="16"/>
    <n v="1060.48"/>
    <n v="280.38"/>
    <n v="1340.86"/>
    <x v="0"/>
    <n v="5"/>
    <n v="83.26"/>
    <n v="365"/>
    <n v="329"/>
  </r>
  <r>
    <s v="O1000767"/>
    <s v="C9587"/>
    <x v="626"/>
    <d v="2024-04-24T00:00:00"/>
    <x v="0"/>
    <x v="3"/>
    <x v="5"/>
    <s v="Mumbai"/>
    <s v="TEC-PH-10000895"/>
    <s v="Technology"/>
    <s v="Phones"/>
    <s v="Polycom VVX 310 VoIP phone"/>
    <n v="118.62"/>
    <n v="88"/>
    <s v="S374"/>
    <x v="4"/>
    <s v="W44"/>
    <x v="3"/>
    <s v="FedEx"/>
    <s v="Cape Town-Cape Town"/>
    <n v="2414"/>
    <n v="479"/>
    <n v="1"/>
    <n v="790.7"/>
    <n v="345.76"/>
    <n v="1136.46"/>
    <x v="1"/>
    <n v="0"/>
    <n v="86.81"/>
    <n v="238"/>
    <n v="217"/>
  </r>
  <r>
    <s v="O1000768"/>
    <s v="C2447"/>
    <x v="627"/>
    <d v="2023-02-20T00:00:00"/>
    <x v="2"/>
    <x v="4"/>
    <x v="1"/>
    <s v="Toronto"/>
    <s v="FUR-CH-10002024"/>
    <s v="Furniture"/>
    <s v="Chairs"/>
    <s v="HON 5400 Series Task Chairs for Big and Tall"/>
    <n v="299.63"/>
    <n v="26"/>
    <s v="S270"/>
    <x v="1"/>
    <s v="W37"/>
    <x v="1"/>
    <s v="FedEx"/>
    <s v="London-London"/>
    <n v="368"/>
    <n v="427"/>
    <n v="1"/>
    <n v="1714.32"/>
    <n v="355.99"/>
    <n v="2070.31"/>
    <x v="1"/>
    <n v="0"/>
    <n v="75.260000000000005"/>
    <n v="159"/>
    <n v="191"/>
  </r>
  <r>
    <s v="O1000769"/>
    <s v="C1690"/>
    <x v="628"/>
    <d v="2020-02-14T00:00:00"/>
    <x v="0"/>
    <x v="2"/>
    <x v="4"/>
    <s v="Beijing"/>
    <s v="FUR-FU-10003577"/>
    <s v="Furniture"/>
    <s v="Furnishings"/>
    <s v="Nu-Dell Leatherette Frames"/>
    <n v="325.52999999999997"/>
    <n v="57"/>
    <s v="S339"/>
    <x v="0"/>
    <s v="W1"/>
    <x v="3"/>
    <s v="FedEx"/>
    <s v="Toronto-Berlin"/>
    <n v="3091"/>
    <n v="171"/>
    <n v="25"/>
    <n v="1530.3"/>
    <n v="430.9"/>
    <n v="1961.2"/>
    <x v="0"/>
    <n v="12"/>
    <n v="93.64"/>
    <n v="162"/>
    <n v="190"/>
  </r>
  <r>
    <s v="O1000770"/>
    <s v="C5797"/>
    <x v="629"/>
    <d v="2020-11-12T00:00:00"/>
    <x v="1"/>
    <x v="3"/>
    <x v="3"/>
    <s v="Toronto"/>
    <s v="FUR-FU-10003724"/>
    <s v="Furniture"/>
    <s v="Furnishings"/>
    <s v="Westinghouse Clip-On Gooseneck Lamps"/>
    <n v="384"/>
    <n v="12"/>
    <s v="S294"/>
    <x v="4"/>
    <s v="W42"/>
    <x v="2"/>
    <s v="Maersk"/>
    <s v="São Paulo-New York"/>
    <n v="4591"/>
    <n v="144"/>
    <n v="28"/>
    <n v="653.53"/>
    <n v="446.68"/>
    <n v="1100.21"/>
    <x v="0"/>
    <n v="12"/>
    <n v="81.23"/>
    <n v="305"/>
    <n v="319"/>
  </r>
  <r>
    <s v="O1000771"/>
    <s v="C6416"/>
    <x v="630"/>
    <d v="2021-03-07T00:00:00"/>
    <x v="2"/>
    <x v="3"/>
    <x v="5"/>
    <s v="Cape Town"/>
    <s v="OFF-AR-10003481"/>
    <s v="Office Supplies"/>
    <s v="Art"/>
    <s v="Newell 348"/>
    <n v="497.26"/>
    <n v="9"/>
    <s v="S682"/>
    <x v="3"/>
    <s v="W29"/>
    <x v="3"/>
    <s v="BlueDart"/>
    <s v="Mumbai-Berlin"/>
    <n v="3995"/>
    <n v="125"/>
    <n v="1"/>
    <n v="1920.91"/>
    <n v="143.01"/>
    <n v="2063.92"/>
    <x v="1"/>
    <n v="0"/>
    <n v="92.53"/>
    <n v="110"/>
    <n v="86"/>
  </r>
  <r>
    <s v="O1000772"/>
    <s v="C1313"/>
    <x v="574"/>
    <d v="2022-09-18T00:00:00"/>
    <x v="2"/>
    <x v="2"/>
    <x v="2"/>
    <s v="New York"/>
    <s v="OFF-BI-10000977"/>
    <s v="Office Supplies"/>
    <s v="Binders"/>
    <s v="Ibico Plastic Spiral Binding Combs"/>
    <n v="180.25"/>
    <n v="68"/>
    <s v="S765"/>
    <x v="3"/>
    <s v="W37"/>
    <x v="0"/>
    <s v="BlueDart"/>
    <s v="Cape Town-Mumbai"/>
    <n v="2721"/>
    <n v="349"/>
    <n v="22"/>
    <n v="1633.8"/>
    <n v="280.23"/>
    <n v="1914.03"/>
    <x v="1"/>
    <n v="0"/>
    <n v="98.82"/>
    <n v="124"/>
    <n v="91"/>
  </r>
  <r>
    <s v="O1000773"/>
    <s v="C2706"/>
    <x v="631"/>
    <d v="2023-04-16T00:00:00"/>
    <x v="2"/>
    <x v="2"/>
    <x v="0"/>
    <s v="Berlin"/>
    <s v="OFF-BI-10001982"/>
    <s v="Office Supplies"/>
    <s v="Binders"/>
    <s v="Wilson Jones Custom Binder Spines &amp; Labels"/>
    <n v="12.72"/>
    <n v="61"/>
    <s v="S355"/>
    <x v="1"/>
    <s v="W38"/>
    <x v="2"/>
    <s v="BlueDart"/>
    <s v="Berlin-London"/>
    <n v="2182"/>
    <n v="121"/>
    <n v="22"/>
    <n v="1837.49"/>
    <n v="307.20999999999998"/>
    <n v="2144.6999999999998"/>
    <x v="1"/>
    <n v="0"/>
    <n v="89.68"/>
    <n v="165"/>
    <n v="158"/>
  </r>
  <r>
    <s v="O1000774"/>
    <s v="C1703"/>
    <x v="632"/>
    <d v="2023-12-05T00:00:00"/>
    <x v="2"/>
    <x v="4"/>
    <x v="3"/>
    <s v="Beijing"/>
    <s v="OFF-BI-10002498"/>
    <s v="Office Supplies"/>
    <s v="Binders"/>
    <s v="Clear Mylar Reinforcing Strips"/>
    <n v="10.78"/>
    <n v="28"/>
    <s v="S627"/>
    <x v="0"/>
    <s v="W35"/>
    <x v="0"/>
    <s v="DHL"/>
    <s v="Mumbai-London"/>
    <n v="3651"/>
    <n v="447"/>
    <n v="21"/>
    <n v="344.9"/>
    <n v="106.86"/>
    <n v="451.76"/>
    <x v="1"/>
    <n v="0"/>
    <n v="84"/>
    <n v="247"/>
    <n v="288"/>
  </r>
  <r>
    <s v="O1000775"/>
    <s v="C6260"/>
    <x v="633"/>
    <d v="2021-07-11T00:00:00"/>
    <x v="2"/>
    <x v="0"/>
    <x v="4"/>
    <s v="Beijing"/>
    <s v="OFF-PA-10000418"/>
    <s v="Office Supplies"/>
    <s v="Paper"/>
    <s v="Xerox 189"/>
    <n v="64.150000000000006"/>
    <n v="53"/>
    <s v="S980"/>
    <x v="0"/>
    <s v="W7"/>
    <x v="3"/>
    <s v="UPS"/>
    <s v="São Paulo-New York"/>
    <n v="3264"/>
    <n v="383"/>
    <n v="2"/>
    <n v="1021.61"/>
    <n v="126.53"/>
    <n v="1148.1400000000001"/>
    <x v="0"/>
    <n v="14"/>
    <n v="73.41"/>
    <n v="481"/>
    <n v="486"/>
  </r>
  <r>
    <s v="O1000776"/>
    <s v="C4240"/>
    <x v="634"/>
    <d v="2023-01-15T00:00:00"/>
    <x v="2"/>
    <x v="1"/>
    <x v="1"/>
    <s v="Berlin"/>
    <s v="OFF-PA-10002230"/>
    <s v="Office Supplies"/>
    <s v="Paper"/>
    <s v="Xerox 1897"/>
    <n v="232.6"/>
    <n v="95"/>
    <s v="S641"/>
    <x v="4"/>
    <s v="W24"/>
    <x v="1"/>
    <s v="DHL"/>
    <s v="Toronto-Beijing"/>
    <n v="2453"/>
    <n v="262"/>
    <n v="13"/>
    <n v="1984.6"/>
    <n v="74.67"/>
    <n v="2059.27"/>
    <x v="1"/>
    <n v="0"/>
    <n v="75.099999999999994"/>
    <n v="465"/>
    <n v="434"/>
  </r>
  <r>
    <s v="O1000777"/>
    <s v="C5608"/>
    <x v="292"/>
    <d v="2022-02-09T00:00:00"/>
    <x v="1"/>
    <x v="2"/>
    <x v="7"/>
    <s v="Mumbai"/>
    <s v="OFF-PA-10003971"/>
    <s v="Office Supplies"/>
    <s v="Paper"/>
    <s v="Xerox 1965"/>
    <n v="58.47"/>
    <n v="24"/>
    <s v="S214"/>
    <x v="2"/>
    <s v="W37"/>
    <x v="0"/>
    <s v="DHL"/>
    <s v="Berlin-London"/>
    <n v="2763"/>
    <n v="66"/>
    <n v="9"/>
    <n v="1234.31"/>
    <n v="93.47"/>
    <n v="1327.78"/>
    <x v="1"/>
    <n v="0"/>
    <n v="99.38"/>
    <n v="485"/>
    <n v="503"/>
  </r>
  <r>
    <s v="O1000778"/>
    <s v="C7900"/>
    <x v="635"/>
    <d v="2020-06-14T00:00:00"/>
    <x v="1"/>
    <x v="2"/>
    <x v="5"/>
    <s v="New York"/>
    <s v="OFF-PA-10004569"/>
    <s v="Office Supplies"/>
    <s v="Paper"/>
    <s v="Wirebound Message Books, Two 4 1/4&quot; x 5&quot; Forms per Page"/>
    <n v="95.78"/>
    <n v="24"/>
    <s v="S496"/>
    <x v="1"/>
    <s v="W26"/>
    <x v="0"/>
    <s v="UPS"/>
    <s v="Berlin-São Paulo"/>
    <n v="641"/>
    <n v="292"/>
    <n v="26"/>
    <n v="970.53"/>
    <n v="144.61000000000001"/>
    <n v="1115.1400000000001"/>
    <x v="1"/>
    <n v="0"/>
    <n v="91.36"/>
    <n v="264"/>
    <n v="248"/>
  </r>
  <r>
    <s v="O1000779"/>
    <s v="C4456"/>
    <x v="636"/>
    <d v="2022-09-22T00:00:00"/>
    <x v="2"/>
    <x v="1"/>
    <x v="7"/>
    <s v="Beijing"/>
    <s v="OFF-ST-10001490"/>
    <s v="Office Supplies"/>
    <s v="Storage"/>
    <s v="Hot File 7-Pocket, Floor Stand"/>
    <n v="453.78"/>
    <n v="75"/>
    <s v="S194"/>
    <x v="3"/>
    <s v="W12"/>
    <x v="1"/>
    <s v="Maersk"/>
    <s v="São Paulo-Toronto"/>
    <n v="4113"/>
    <n v="194"/>
    <n v="2"/>
    <n v="1456.29"/>
    <n v="83.03"/>
    <n v="1539.32"/>
    <x v="1"/>
    <n v="0"/>
    <n v="91.4"/>
    <n v="400"/>
    <n v="423"/>
  </r>
  <r>
    <s v="O1000780"/>
    <s v="C1359"/>
    <x v="637"/>
    <d v="2022-10-03T00:00:00"/>
    <x v="1"/>
    <x v="4"/>
    <x v="0"/>
    <s v="Toronto"/>
    <s v="OFF-ST-10002583"/>
    <s v="Office Supplies"/>
    <s v="Storage"/>
    <s v="Fellowes Neat Ideas Storage Cubes"/>
    <n v="432.89"/>
    <n v="94"/>
    <s v="S692"/>
    <x v="0"/>
    <s v="W16"/>
    <x v="2"/>
    <s v="Maersk"/>
    <s v="Beijing-Toronto"/>
    <n v="4856"/>
    <n v="307"/>
    <n v="5"/>
    <n v="1693.95"/>
    <n v="78.17"/>
    <n v="1772.12"/>
    <x v="1"/>
    <n v="0"/>
    <n v="78.84"/>
    <n v="328"/>
    <n v="323"/>
  </r>
  <r>
    <s v="O1000781"/>
    <s v="C9881"/>
    <x v="638"/>
    <d v="2022-05-08T00:00:00"/>
    <x v="2"/>
    <x v="0"/>
    <x v="5"/>
    <s v="New York"/>
    <s v="OFF-ST-10003306"/>
    <s v="Office Supplies"/>
    <s v="Storage"/>
    <s v="Letter Size Cart"/>
    <n v="145.74"/>
    <n v="16"/>
    <s v="S731"/>
    <x v="0"/>
    <s v="W11"/>
    <x v="2"/>
    <s v="UPS"/>
    <s v="London-Berlin"/>
    <n v="540"/>
    <n v="257"/>
    <n v="13"/>
    <n v="1460.11"/>
    <n v="136.22999999999999"/>
    <n v="1596.34"/>
    <x v="1"/>
    <n v="0"/>
    <n v="95.04"/>
    <n v="437"/>
    <n v="455"/>
  </r>
  <r>
    <s v="O1000782"/>
    <s v="C2104"/>
    <x v="639"/>
    <d v="2024-09-16T00:00:00"/>
    <x v="2"/>
    <x v="1"/>
    <x v="6"/>
    <s v="Toronto"/>
    <s v="TEC-AC-10000023"/>
    <s v="Technology"/>
    <s v="Accessories"/>
    <s v="Maxell 74 Minute CD-R Spindle, 50/Pack"/>
    <n v="197.37"/>
    <n v="33"/>
    <s v="S126"/>
    <x v="4"/>
    <s v="W10"/>
    <x v="1"/>
    <s v="BlueDart"/>
    <s v="Beijing-Mumbai"/>
    <n v="4597"/>
    <n v="52"/>
    <n v="11"/>
    <n v="562.11"/>
    <n v="290.64999999999998"/>
    <n v="852.76"/>
    <x v="1"/>
    <n v="0"/>
    <n v="70.13"/>
    <n v="394"/>
    <n v="424"/>
  </r>
  <r>
    <s v="O1000783"/>
    <s v="C8687"/>
    <x v="556"/>
    <d v="2024-09-22T00:00:00"/>
    <x v="2"/>
    <x v="0"/>
    <x v="3"/>
    <s v="Berlin"/>
    <s v="FUR-CH-10001215"/>
    <s v="Furniture"/>
    <s v="Chairs"/>
    <s v="Global Troy Executive Leather Low-Back Tilter"/>
    <n v="395.29"/>
    <n v="95"/>
    <s v="S343"/>
    <x v="3"/>
    <s v="W47"/>
    <x v="3"/>
    <s v="FedEx"/>
    <s v="Mumbai-São Paulo"/>
    <n v="2744"/>
    <n v="61"/>
    <n v="7"/>
    <n v="1232.26"/>
    <n v="104.36"/>
    <n v="1336.62"/>
    <x v="1"/>
    <n v="0"/>
    <n v="90.73"/>
    <n v="377"/>
    <n v="389"/>
  </r>
  <r>
    <s v="O1000784"/>
    <s v="C2237"/>
    <x v="640"/>
    <d v="2022-11-21T00:00:00"/>
    <x v="1"/>
    <x v="1"/>
    <x v="5"/>
    <s v="Mumbai"/>
    <s v="FUR-CH-10004997"/>
    <s v="Furniture"/>
    <s v="Chairs"/>
    <s v="Hon Every-Day Series Multi-Task Chairs"/>
    <n v="274.45"/>
    <n v="12"/>
    <s v="S826"/>
    <x v="2"/>
    <s v="W23"/>
    <x v="0"/>
    <s v="Maersk"/>
    <s v="Berlin-Beijing"/>
    <n v="3766"/>
    <n v="104"/>
    <n v="7"/>
    <n v="81.19"/>
    <n v="104.59"/>
    <n v="185.78"/>
    <x v="1"/>
    <n v="0"/>
    <n v="77.62"/>
    <n v="311"/>
    <n v="318"/>
  </r>
  <r>
    <s v="O1000785"/>
    <s v="C6559"/>
    <x v="456"/>
    <d v="2022-07-04T00:00:00"/>
    <x v="2"/>
    <x v="1"/>
    <x v="2"/>
    <s v="Toronto"/>
    <s v="FUR-TA-10004175"/>
    <s v="Furniture"/>
    <s v="Tables"/>
    <s v="Hon 30&quot; x 60&quot; Table with Locking Drawer"/>
    <n v="188.62"/>
    <n v="68"/>
    <s v="S515"/>
    <x v="0"/>
    <s v="W32"/>
    <x v="0"/>
    <s v="UPS"/>
    <s v="New York-London"/>
    <n v="4103"/>
    <n v="112"/>
    <n v="13"/>
    <n v="656.27"/>
    <n v="34.56"/>
    <n v="690.82999999999993"/>
    <x v="1"/>
    <n v="0"/>
    <n v="97.78"/>
    <n v="160"/>
    <n v="126"/>
  </r>
  <r>
    <s v="O1000786"/>
    <s v="C9997"/>
    <x v="641"/>
    <d v="2024-04-18T00:00:00"/>
    <x v="0"/>
    <x v="0"/>
    <x v="5"/>
    <s v="Mumbai"/>
    <s v="OFF-AP-10000124"/>
    <s v="Office Supplies"/>
    <s v="Appliances"/>
    <s v="Acco 6 Outlet Guardian Basic Surge Suppressor"/>
    <n v="489.09"/>
    <n v="46"/>
    <s v="S638"/>
    <x v="3"/>
    <s v="W30"/>
    <x v="3"/>
    <s v="DHL"/>
    <s v="São Paulo-Beijing"/>
    <n v="4620"/>
    <n v="269"/>
    <n v="21"/>
    <n v="1169.06"/>
    <n v="290.87"/>
    <n v="1459.93"/>
    <x v="0"/>
    <n v="14"/>
    <n v="89.02"/>
    <n v="94"/>
    <n v="142"/>
  </r>
  <r>
    <s v="O1000787"/>
    <s v="C3966"/>
    <x v="101"/>
    <d v="2022-02-23T00:00:00"/>
    <x v="2"/>
    <x v="1"/>
    <x v="6"/>
    <s v="Mumbai"/>
    <s v="OFF-AR-10002067"/>
    <s v="Office Supplies"/>
    <s v="Art"/>
    <s v="Newell 334"/>
    <n v="72.3"/>
    <n v="13"/>
    <s v="S960"/>
    <x v="0"/>
    <s v="W45"/>
    <x v="1"/>
    <s v="UPS"/>
    <s v="Berlin-Mumbai"/>
    <n v="4884"/>
    <n v="138"/>
    <n v="18"/>
    <n v="1033.71"/>
    <n v="408.02"/>
    <n v="1441.73"/>
    <x v="1"/>
    <n v="0"/>
    <n v="97.58"/>
    <n v="224"/>
    <n v="239"/>
  </r>
  <r>
    <s v="O1000788"/>
    <s v="C1505"/>
    <x v="642"/>
    <d v="2021-04-13T00:00:00"/>
    <x v="1"/>
    <x v="2"/>
    <x v="0"/>
    <s v="London"/>
    <s v="OFF-BI-10000494"/>
    <s v="Office Supplies"/>
    <s v="Binders"/>
    <s v="Acco Economy Flexible Poly Round Ring Binder"/>
    <n v="340.74"/>
    <n v="65"/>
    <s v="S407"/>
    <x v="2"/>
    <s v="W28"/>
    <x v="1"/>
    <s v="BlueDart"/>
    <s v="Berlin-Cape Town"/>
    <n v="1076"/>
    <n v="265"/>
    <n v="22"/>
    <n v="1008.22"/>
    <n v="64.62"/>
    <n v="1072.8399999999999"/>
    <x v="1"/>
    <n v="0"/>
    <n v="71.98"/>
    <n v="91"/>
    <n v="136"/>
  </r>
  <r>
    <s v="O1000789"/>
    <s v="C3132"/>
    <x v="643"/>
    <d v="2021-10-05T00:00:00"/>
    <x v="2"/>
    <x v="2"/>
    <x v="1"/>
    <s v="Toronto"/>
    <s v="OFF-EN-10003567"/>
    <s v="Office Supplies"/>
    <s v="Envelopes"/>
    <s v="Inter-Office Recycled Envelopes, Brown Kraft, Button-String,10&quot; x 13&quot; , 100/Box"/>
    <n v="230.23"/>
    <n v="24"/>
    <s v="S587"/>
    <x v="3"/>
    <s v="W5"/>
    <x v="0"/>
    <s v="DHL"/>
    <s v="Beijing-London"/>
    <n v="2781"/>
    <n v="83"/>
    <n v="24"/>
    <n v="1107.58"/>
    <n v="484.19"/>
    <n v="1591.77"/>
    <x v="1"/>
    <n v="0"/>
    <n v="97.09"/>
    <n v="277"/>
    <n v="276"/>
  </r>
  <r>
    <s v="O1000790"/>
    <s v="C3468"/>
    <x v="471"/>
    <d v="2024-07-23T00:00:00"/>
    <x v="2"/>
    <x v="0"/>
    <x v="3"/>
    <s v="New York"/>
    <s v="TEC-PH-10004100"/>
    <s v="Technology"/>
    <s v="Phones"/>
    <s v="Griffin GC17055 Auxiliary Audio Cable"/>
    <n v="457.87"/>
    <n v="36"/>
    <s v="S198"/>
    <x v="2"/>
    <s v="W38"/>
    <x v="2"/>
    <s v="FedEx"/>
    <s v="Cape Town-São Paulo"/>
    <n v="3673"/>
    <n v="247"/>
    <n v="17"/>
    <n v="1308.17"/>
    <n v="451.39"/>
    <n v="1759.56"/>
    <x v="1"/>
    <n v="0"/>
    <n v="94.06"/>
    <n v="415"/>
    <n v="454"/>
  </r>
  <r>
    <s v="O1000791"/>
    <s v="C3158"/>
    <x v="484"/>
    <d v="2022-02-21T00:00:00"/>
    <x v="2"/>
    <x v="4"/>
    <x v="6"/>
    <s v="São Paulo"/>
    <s v="FUR-CH-10000155"/>
    <s v="Furniture"/>
    <s v="Chairs"/>
    <s v="Global Comet Stacking Armless Chair"/>
    <n v="208.3"/>
    <n v="38"/>
    <s v="S840"/>
    <x v="1"/>
    <s v="W12"/>
    <x v="1"/>
    <s v="DHL"/>
    <s v="London-London"/>
    <n v="1294"/>
    <n v="305"/>
    <n v="13"/>
    <n v="916.27"/>
    <n v="389.4"/>
    <n v="1305.67"/>
    <x v="1"/>
    <n v="0"/>
    <n v="97.95"/>
    <n v="200"/>
    <n v="199"/>
  </r>
  <r>
    <s v="O1000792"/>
    <s v="C1293"/>
    <x v="644"/>
    <d v="2023-01-27T00:00:00"/>
    <x v="2"/>
    <x v="4"/>
    <x v="3"/>
    <s v="Mumbai"/>
    <s v="FUR-TA-10004767"/>
    <s v="Furniture"/>
    <s v="Tables"/>
    <s v="Safco Drafting Table"/>
    <n v="19.11"/>
    <n v="11"/>
    <s v="S136"/>
    <x v="0"/>
    <s v="W26"/>
    <x v="1"/>
    <s v="FedEx"/>
    <s v="Mumbai-Mumbai"/>
    <n v="1299"/>
    <n v="169"/>
    <n v="6"/>
    <n v="464.72"/>
    <n v="211.48"/>
    <n v="676.2"/>
    <x v="1"/>
    <n v="0"/>
    <n v="77.05"/>
    <n v="421"/>
    <n v="393"/>
  </r>
  <r>
    <s v="O1000793"/>
    <s v="C2773"/>
    <x v="588"/>
    <d v="2021-05-20T00:00:00"/>
    <x v="0"/>
    <x v="3"/>
    <x v="5"/>
    <s v="Cape Town"/>
    <s v="OFF-AR-10002053"/>
    <s v="Office Supplies"/>
    <s v="Art"/>
    <s v="Premium Writing Pencils, Soft, #2 by Central Association for the Blind"/>
    <n v="380.6"/>
    <n v="94"/>
    <s v="S611"/>
    <x v="2"/>
    <s v="W44"/>
    <x v="1"/>
    <s v="Maersk"/>
    <s v="New York-New York"/>
    <n v="1766"/>
    <n v="87"/>
    <n v="8"/>
    <n v="1150.4100000000001"/>
    <n v="66.44"/>
    <n v="1216.8499999999999"/>
    <x v="1"/>
    <n v="0"/>
    <n v="96.94"/>
    <n v="400"/>
    <n v="395"/>
  </r>
  <r>
    <s v="O1000794"/>
    <s v="C6191"/>
    <x v="16"/>
    <d v="2022-03-04T00:00:00"/>
    <x v="2"/>
    <x v="4"/>
    <x v="0"/>
    <s v="Beijing"/>
    <s v="OFF-AR-10003190"/>
    <s v="Office Supplies"/>
    <s v="Art"/>
    <s v="Newell 32"/>
    <n v="196.13"/>
    <n v="96"/>
    <s v="S296"/>
    <x v="3"/>
    <s v="W35"/>
    <x v="2"/>
    <s v="Maersk"/>
    <s v="Toronto-Berlin"/>
    <n v="4621"/>
    <n v="438"/>
    <n v="4"/>
    <n v="1790.83"/>
    <n v="421.52"/>
    <n v="2212.35"/>
    <x v="1"/>
    <n v="0"/>
    <n v="92.7"/>
    <n v="288"/>
    <n v="239"/>
  </r>
  <r>
    <s v="O1000795"/>
    <s v="C3830"/>
    <x v="519"/>
    <d v="2020-12-12T00:00:00"/>
    <x v="2"/>
    <x v="0"/>
    <x v="2"/>
    <s v="London"/>
    <s v="OFF-AR-10004757"/>
    <s v="Office Supplies"/>
    <s v="Art"/>
    <s v="Crayola Colored Pencils"/>
    <n v="425.71"/>
    <n v="71"/>
    <s v="S546"/>
    <x v="2"/>
    <s v="W4"/>
    <x v="2"/>
    <s v="UPS"/>
    <s v="London-Cape Town"/>
    <n v="4964"/>
    <n v="475"/>
    <n v="2"/>
    <n v="1737.1"/>
    <n v="156.82"/>
    <n v="1893.92"/>
    <x v="1"/>
    <n v="0"/>
    <n v="90.07"/>
    <n v="355"/>
    <n v="381"/>
  </r>
  <r>
    <s v="O1000796"/>
    <s v="C4429"/>
    <x v="555"/>
    <d v="2024-05-20T00:00:00"/>
    <x v="2"/>
    <x v="1"/>
    <x v="6"/>
    <s v="Toronto"/>
    <s v="OFF-ST-10003058"/>
    <s v="Office Supplies"/>
    <s v="Storage"/>
    <s v="Eldon Mobile Mega Data Cart  Mega Stackable  Add-On Trays"/>
    <n v="33.69"/>
    <n v="90"/>
    <s v="S494"/>
    <x v="1"/>
    <s v="W21"/>
    <x v="2"/>
    <s v="FedEx"/>
    <s v="Toronto-Cape Town"/>
    <n v="1594"/>
    <n v="375"/>
    <n v="10"/>
    <n v="878.84"/>
    <n v="26.49"/>
    <n v="905.33"/>
    <x v="0"/>
    <n v="4"/>
    <n v="90.74"/>
    <n v="478"/>
    <n v="486"/>
  </r>
  <r>
    <s v="O1000797"/>
    <s v="C4772"/>
    <x v="645"/>
    <d v="2024-05-30T00:00:00"/>
    <x v="0"/>
    <x v="1"/>
    <x v="0"/>
    <s v="New York"/>
    <s v="OFF-ST-10003123"/>
    <s v="Office Supplies"/>
    <s v="Storage"/>
    <s v="Fellowes Bases and Tops For Staxonsteel/High-Stak Systems"/>
    <n v="183.66"/>
    <n v="83"/>
    <s v="S844"/>
    <x v="2"/>
    <s v="W32"/>
    <x v="1"/>
    <s v="Maersk"/>
    <s v="Beijing-Beijing"/>
    <n v="4970"/>
    <n v="189"/>
    <n v="23"/>
    <n v="1902.13"/>
    <n v="73.88"/>
    <n v="1976.01"/>
    <x v="1"/>
    <n v="0"/>
    <n v="92.83"/>
    <n v="388"/>
    <n v="361"/>
  </r>
  <r>
    <s v="O1000798"/>
    <s v="C7817"/>
    <x v="646"/>
    <d v="2023-04-07T00:00:00"/>
    <x v="1"/>
    <x v="0"/>
    <x v="1"/>
    <s v="São Paulo"/>
    <s v="TEC-AC-10002567"/>
    <s v="Technology"/>
    <s v="Accessories"/>
    <s v="Logitech G602 Wireless Gaming Mouse"/>
    <n v="475.6"/>
    <n v="14"/>
    <s v="S778"/>
    <x v="3"/>
    <s v="W41"/>
    <x v="1"/>
    <s v="DHL"/>
    <s v="São Paulo-Toronto"/>
    <n v="3153"/>
    <n v="313"/>
    <n v="21"/>
    <n v="1317.73"/>
    <n v="450.21"/>
    <n v="1767.94"/>
    <x v="1"/>
    <n v="0"/>
    <n v="71.37"/>
    <n v="260"/>
    <n v="273"/>
  </r>
  <r>
    <s v="O1000799"/>
    <s v="C3342"/>
    <x v="647"/>
    <d v="2024-03-15T00:00:00"/>
    <x v="2"/>
    <x v="2"/>
    <x v="6"/>
    <s v="São Paulo"/>
    <s v="OFF-AR-10000658"/>
    <s v="Office Supplies"/>
    <s v="Art"/>
    <s v="Newell 324"/>
    <n v="196.45"/>
    <n v="85"/>
    <s v="S253"/>
    <x v="1"/>
    <s v="W8"/>
    <x v="3"/>
    <s v="DHL"/>
    <s v="Toronto-Cape Town"/>
    <n v="2229"/>
    <n v="216"/>
    <n v="24"/>
    <n v="1810.78"/>
    <n v="26.8"/>
    <n v="1837.58"/>
    <x v="1"/>
    <n v="0"/>
    <n v="71.61"/>
    <n v="427"/>
    <n v="452"/>
  </r>
  <r>
    <s v="O1000800"/>
    <s v="C7782"/>
    <x v="648"/>
    <d v="2023-02-05T00:00:00"/>
    <x v="1"/>
    <x v="2"/>
    <x v="3"/>
    <s v="Beijing"/>
    <s v="OFF-BI-10001982"/>
    <s v="Office Supplies"/>
    <s v="Binders"/>
    <s v="Wilson Jones Custom Binder Spines &amp; Labels"/>
    <n v="496.49"/>
    <n v="12"/>
    <s v="S144"/>
    <x v="3"/>
    <s v="W30"/>
    <x v="2"/>
    <s v="UPS"/>
    <s v="São Paulo-Berlin"/>
    <n v="1959"/>
    <n v="90"/>
    <n v="6"/>
    <n v="179.15"/>
    <n v="36.72"/>
    <n v="215.87"/>
    <x v="1"/>
    <n v="0"/>
    <n v="92.89"/>
    <n v="487"/>
    <n v="450"/>
  </r>
  <r>
    <s v="O1000801"/>
    <s v="C9444"/>
    <x v="649"/>
    <d v="2021-04-11T00:00:00"/>
    <x v="2"/>
    <x v="3"/>
    <x v="3"/>
    <s v="London"/>
    <s v="OFF-SU-10004664"/>
    <s v="Office Supplies"/>
    <s v="Supplies"/>
    <s v="Acme Softgrip Scissors"/>
    <n v="215.64"/>
    <n v="62"/>
    <s v="S185"/>
    <x v="1"/>
    <s v="W14"/>
    <x v="2"/>
    <s v="Maersk"/>
    <s v="Beijing-Toronto"/>
    <n v="4123"/>
    <n v="78"/>
    <n v="5"/>
    <n v="1573.08"/>
    <n v="342.57"/>
    <n v="1915.65"/>
    <x v="1"/>
    <n v="0"/>
    <n v="85.86"/>
    <n v="331"/>
    <n v="299"/>
  </r>
  <r>
    <s v="O1000802"/>
    <s v="C7673"/>
    <x v="650"/>
    <d v="2023-09-21T00:00:00"/>
    <x v="2"/>
    <x v="4"/>
    <x v="6"/>
    <s v="Toronto"/>
    <s v="TEC-AC-10001314"/>
    <s v="Technology"/>
    <s v="Accessories"/>
    <s v="Case Logic 2.4GHz Wireless Keyboard"/>
    <n v="447.98"/>
    <n v="41"/>
    <s v="S157"/>
    <x v="1"/>
    <s v="W38"/>
    <x v="0"/>
    <s v="Maersk"/>
    <s v="Toronto-Beijing"/>
    <n v="2568"/>
    <n v="445"/>
    <n v="21"/>
    <n v="755.18"/>
    <n v="107.67"/>
    <n v="862.84999999999991"/>
    <x v="1"/>
    <n v="0"/>
    <n v="80.58"/>
    <n v="308"/>
    <n v="279"/>
  </r>
  <r>
    <s v="O1000803"/>
    <s v="C9733"/>
    <x v="651"/>
    <d v="2020-10-01T00:00:00"/>
    <x v="1"/>
    <x v="0"/>
    <x v="4"/>
    <s v="São Paulo"/>
    <s v="TEC-AC-10002076"/>
    <s v="Technology"/>
    <s v="Accessories"/>
    <s v="Microsoft Natural Keyboard Elite"/>
    <n v="139.43"/>
    <n v="85"/>
    <s v="S694"/>
    <x v="4"/>
    <s v="W28"/>
    <x v="0"/>
    <s v="BlueDart"/>
    <s v="Cape Town-London"/>
    <n v="296"/>
    <n v="337"/>
    <n v="24"/>
    <n v="1503.56"/>
    <n v="155.46"/>
    <n v="1659.02"/>
    <x v="1"/>
    <n v="0"/>
    <n v="89.89"/>
    <n v="223"/>
    <n v="257"/>
  </r>
  <r>
    <s v="O1000804"/>
    <s v="C1082"/>
    <x v="300"/>
    <d v="2022-08-07T00:00:00"/>
    <x v="2"/>
    <x v="4"/>
    <x v="6"/>
    <s v="Toronto"/>
    <s v="TEC-AC-10002167"/>
    <s v="Technology"/>
    <s v="Accessories"/>
    <s v="Imation 8gb Micro Traveldrive Usb 2.0 Flash Drive"/>
    <n v="416.84"/>
    <n v="86"/>
    <s v="S871"/>
    <x v="3"/>
    <s v="W18"/>
    <x v="1"/>
    <s v="Maersk"/>
    <s v="Cape Town-Beijing"/>
    <n v="1206"/>
    <n v="199"/>
    <n v="21"/>
    <n v="1770.18"/>
    <n v="161.38"/>
    <n v="1931.56"/>
    <x v="1"/>
    <n v="0"/>
    <n v="77.959999999999994"/>
    <n v="387"/>
    <n v="418"/>
  </r>
  <r>
    <s v="O1000805"/>
    <s v="C7360"/>
    <x v="652"/>
    <d v="2020-06-24T00:00:00"/>
    <x v="2"/>
    <x v="2"/>
    <x v="3"/>
    <s v="Toronto"/>
    <s v="TEC-AC-10003911"/>
    <s v="Technology"/>
    <s v="Accessories"/>
    <s v="NETGEAR AC1750 Dual Band Gigabit Smart WiFi Router"/>
    <n v="87.94"/>
    <n v="59"/>
    <s v="S723"/>
    <x v="4"/>
    <s v="W23"/>
    <x v="2"/>
    <s v="BlueDart"/>
    <s v="São Paulo-São Paulo"/>
    <n v="678"/>
    <n v="271"/>
    <n v="3"/>
    <n v="185.96"/>
    <n v="379.5"/>
    <n v="565.46"/>
    <x v="1"/>
    <n v="0"/>
    <n v="75.08"/>
    <n v="200"/>
    <n v="186"/>
  </r>
  <r>
    <s v="O1000806"/>
    <s v="C6967"/>
    <x v="653"/>
    <d v="2023-03-03T00:00:00"/>
    <x v="1"/>
    <x v="3"/>
    <x v="6"/>
    <s v="São Paulo"/>
    <s v="TEC-PH-10000441"/>
    <s v="Technology"/>
    <s v="Phones"/>
    <s v="VTech DS6151"/>
    <n v="141.04"/>
    <n v="73"/>
    <s v="S870"/>
    <x v="1"/>
    <s v="W6"/>
    <x v="1"/>
    <s v="DHL"/>
    <s v="Toronto-São Paulo"/>
    <n v="1285"/>
    <n v="364"/>
    <n v="9"/>
    <n v="294.70999999999998"/>
    <n v="141.6"/>
    <n v="436.30999999999989"/>
    <x v="1"/>
    <n v="0"/>
    <n v="79.28"/>
    <n v="91"/>
    <n v="71"/>
  </r>
  <r>
    <s v="O1000807"/>
    <s v="C2035"/>
    <x v="654"/>
    <d v="2023-02-25T00:00:00"/>
    <x v="2"/>
    <x v="2"/>
    <x v="6"/>
    <s v="London"/>
    <s v="TEC-PH-10004531"/>
    <s v="Technology"/>
    <s v="Phones"/>
    <s v="AT&amp;T CL2909"/>
    <n v="92.79"/>
    <n v="52"/>
    <s v="S280"/>
    <x v="4"/>
    <s v="W44"/>
    <x v="2"/>
    <s v="UPS"/>
    <s v="Berlin-Berlin"/>
    <n v="828"/>
    <n v="221"/>
    <n v="27"/>
    <n v="1626"/>
    <n v="382.27"/>
    <n v="2008.27"/>
    <x v="1"/>
    <n v="0"/>
    <n v="86.41"/>
    <n v="465"/>
    <n v="447"/>
  </r>
  <r>
    <s v="O1000808"/>
    <s v="C8504"/>
    <x v="655"/>
    <d v="2023-08-29T00:00:00"/>
    <x v="2"/>
    <x v="1"/>
    <x v="1"/>
    <s v="Toronto"/>
    <s v="FUR-FU-10004351"/>
    <s v="Furniture"/>
    <s v="Furnishings"/>
    <s v="Staple-based wall hangings"/>
    <n v="106.8"/>
    <n v="16"/>
    <s v="S135"/>
    <x v="0"/>
    <s v="W4"/>
    <x v="0"/>
    <s v="UPS"/>
    <s v="Berlin-Mumbai"/>
    <n v="2691"/>
    <n v="400"/>
    <n v="10"/>
    <n v="1015.8"/>
    <n v="283.45999999999998"/>
    <n v="1299.26"/>
    <x v="1"/>
    <n v="0"/>
    <n v="73.260000000000005"/>
    <n v="90"/>
    <n v="72"/>
  </r>
  <r>
    <s v="O1000809"/>
    <s v="C6680"/>
    <x v="656"/>
    <d v="2020-03-02T00:00:00"/>
    <x v="1"/>
    <x v="1"/>
    <x v="0"/>
    <s v="São Paulo"/>
    <s v="OFF-PA-10002195"/>
    <s v="Office Supplies"/>
    <s v="Paper"/>
    <s v="Xerox 1966"/>
    <n v="82.36"/>
    <n v="49"/>
    <s v="S158"/>
    <x v="4"/>
    <s v="W38"/>
    <x v="0"/>
    <s v="UPS"/>
    <s v="São Paulo-Cape Town"/>
    <n v="3144"/>
    <n v="439"/>
    <n v="25"/>
    <n v="1322.12"/>
    <n v="435.38"/>
    <n v="1757.5"/>
    <x v="1"/>
    <n v="0"/>
    <n v="93.89"/>
    <n v="67"/>
    <n v="36"/>
  </r>
  <r>
    <s v="O1000810"/>
    <s v="C4942"/>
    <x v="657"/>
    <d v="2020-04-22T00:00:00"/>
    <x v="2"/>
    <x v="0"/>
    <x v="7"/>
    <s v="London"/>
    <s v="OFF-ST-10001228"/>
    <s v="Office Supplies"/>
    <s v="Storage"/>
    <s v="Fellowes Personal Hanging Folder Files, Navy"/>
    <n v="495.34"/>
    <n v="94"/>
    <s v="S793"/>
    <x v="3"/>
    <s v="W38"/>
    <x v="3"/>
    <s v="DHL"/>
    <s v="Beijing-Toronto"/>
    <n v="3192"/>
    <n v="470"/>
    <n v="23"/>
    <n v="1406"/>
    <n v="222.95"/>
    <n v="1628.95"/>
    <x v="1"/>
    <n v="0"/>
    <n v="75.739999999999995"/>
    <n v="495"/>
    <n v="476"/>
  </r>
  <r>
    <s v="O1000811"/>
    <s v="C4646"/>
    <x v="213"/>
    <d v="2022-04-29T00:00:00"/>
    <x v="2"/>
    <x v="1"/>
    <x v="5"/>
    <s v="Beijing"/>
    <s v="OFF-SU-10000151"/>
    <s v="Office Supplies"/>
    <s v="Supplies"/>
    <s v="High Speed Automatic Electric Letter Opener"/>
    <n v="51.83"/>
    <n v="70"/>
    <s v="S301"/>
    <x v="3"/>
    <s v="W19"/>
    <x v="0"/>
    <s v="Maersk"/>
    <s v="Berlin-London"/>
    <n v="2811"/>
    <n v="159"/>
    <n v="7"/>
    <n v="1945.16"/>
    <n v="497.24"/>
    <n v="2442.4"/>
    <x v="1"/>
    <n v="0"/>
    <n v="98.96"/>
    <n v="390"/>
    <n v="372"/>
  </r>
  <r>
    <s v="O1000812"/>
    <s v="C2125"/>
    <x v="36"/>
    <d v="2024-04-07T00:00:00"/>
    <x v="2"/>
    <x v="3"/>
    <x v="3"/>
    <s v="Cape Town"/>
    <s v="OFF-SU-10002522"/>
    <s v="Office Supplies"/>
    <s v="Supplies"/>
    <s v="Acme Kleen Earth Office Shears"/>
    <n v="244.25"/>
    <n v="83"/>
    <s v="S658"/>
    <x v="0"/>
    <s v="W18"/>
    <x v="3"/>
    <s v="DHL"/>
    <s v="New York-Cape Town"/>
    <n v="3908"/>
    <n v="65"/>
    <n v="23"/>
    <n v="1851.92"/>
    <n v="467.29"/>
    <n v="2319.21"/>
    <x v="1"/>
    <n v="0"/>
    <n v="86.42"/>
    <n v="469"/>
    <n v="507"/>
  </r>
  <r>
    <s v="O1000813"/>
    <s v="C9843"/>
    <x v="658"/>
    <d v="2023-09-16T00:00:00"/>
    <x v="2"/>
    <x v="1"/>
    <x v="6"/>
    <s v="Toronto"/>
    <s v="FUR-CH-10000553"/>
    <s v="Furniture"/>
    <s v="Chairs"/>
    <s v="Metal Folding Chairs, Beige, 4/Carton"/>
    <n v="20.59"/>
    <n v="83"/>
    <s v="S654"/>
    <x v="2"/>
    <s v="W30"/>
    <x v="3"/>
    <s v="Maersk"/>
    <s v="Berlin-Cape Town"/>
    <n v="725"/>
    <n v="481"/>
    <n v="28"/>
    <n v="501.74"/>
    <n v="415.58"/>
    <n v="917.31999999999994"/>
    <x v="1"/>
    <n v="0"/>
    <n v="82.79"/>
    <n v="72"/>
    <n v="98"/>
  </r>
  <r>
    <s v="O1000814"/>
    <s v="C2080"/>
    <x v="367"/>
    <d v="2021-01-12T00:00:00"/>
    <x v="2"/>
    <x v="0"/>
    <x v="5"/>
    <s v="Mumbai"/>
    <s v="FUR-CH-10003312"/>
    <s v="Furniture"/>
    <s v="Chairs"/>
    <s v="Hon 2090 “Pillow Soft” Series Mid Back Swivel/Tilt Chairs"/>
    <n v="254.64"/>
    <n v="52"/>
    <s v="S733"/>
    <x v="1"/>
    <s v="W12"/>
    <x v="3"/>
    <s v="Maersk"/>
    <s v="Beijing-New York"/>
    <n v="1163"/>
    <n v="474"/>
    <n v="21"/>
    <n v="1958.84"/>
    <n v="84.92"/>
    <n v="2043.76"/>
    <x v="1"/>
    <n v="0"/>
    <n v="99.12"/>
    <n v="165"/>
    <n v="186"/>
  </r>
  <r>
    <s v="O1000815"/>
    <s v="C2060"/>
    <x v="659"/>
    <d v="2021-07-24T00:00:00"/>
    <x v="2"/>
    <x v="3"/>
    <x v="6"/>
    <s v="Berlin"/>
    <s v="FUR-FU-10000719"/>
    <s v="Furniture"/>
    <s v="Furnishings"/>
    <s v="DAX Cubicle Frames, 8-1/2 x 11"/>
    <n v="303.64"/>
    <n v="51"/>
    <s v="S774"/>
    <x v="1"/>
    <s v="W13"/>
    <x v="3"/>
    <s v="FedEx"/>
    <s v="Mumbai-New York"/>
    <n v="2010"/>
    <n v="200"/>
    <n v="13"/>
    <n v="272.11"/>
    <n v="446.51"/>
    <n v="718.62"/>
    <x v="1"/>
    <n v="0"/>
    <n v="99.46"/>
    <n v="351"/>
    <n v="307"/>
  </r>
  <r>
    <s v="O1000816"/>
    <s v="C6147"/>
    <x v="660"/>
    <d v="2022-11-01T00:00:00"/>
    <x v="1"/>
    <x v="2"/>
    <x v="4"/>
    <s v="Beijing"/>
    <s v="FUR-FU-10004018"/>
    <s v="Furniture"/>
    <s v="Furnishings"/>
    <s v="Tensor Computer Mounted Lamp"/>
    <n v="65.209999999999994"/>
    <n v="84"/>
    <s v="S975"/>
    <x v="0"/>
    <s v="W34"/>
    <x v="3"/>
    <s v="FedEx"/>
    <s v="Beijing-Cape Town"/>
    <n v="331"/>
    <n v="387"/>
    <n v="8"/>
    <n v="817.07"/>
    <n v="330.69"/>
    <n v="1147.76"/>
    <x v="1"/>
    <n v="0"/>
    <n v="71.290000000000006"/>
    <n v="203"/>
    <n v="237"/>
  </r>
  <r>
    <s v="O1000817"/>
    <s v="C8608"/>
    <x v="661"/>
    <d v="2020-08-04T00:00:00"/>
    <x v="2"/>
    <x v="4"/>
    <x v="3"/>
    <s v="New York"/>
    <s v="FUR-FU-10004666"/>
    <s v="Furniture"/>
    <s v="Furnishings"/>
    <s v="DAX Clear Channel Poster Frame"/>
    <n v="68.13"/>
    <n v="3"/>
    <s v="S656"/>
    <x v="0"/>
    <s v="W32"/>
    <x v="1"/>
    <s v="DHL"/>
    <s v="São Paulo-London"/>
    <n v="2815"/>
    <n v="384"/>
    <n v="19"/>
    <n v="105.04"/>
    <n v="144.71"/>
    <n v="249.75"/>
    <x v="1"/>
    <n v="0"/>
    <n v="85.97"/>
    <n v="419"/>
    <n v="417"/>
  </r>
  <r>
    <s v="O1000818"/>
    <s v="C8455"/>
    <x v="80"/>
    <d v="2020-10-22T00:00:00"/>
    <x v="1"/>
    <x v="4"/>
    <x v="0"/>
    <s v="London"/>
    <s v="OFF-AP-10003281"/>
    <s v="Office Supplies"/>
    <s v="Appliances"/>
    <s v="Acco 6 Outlet Guardian Standard Surge Suppressor"/>
    <n v="424.11"/>
    <n v="24"/>
    <s v="S593"/>
    <x v="4"/>
    <s v="W19"/>
    <x v="1"/>
    <s v="Maersk"/>
    <s v="Toronto-Cape Town"/>
    <n v="669"/>
    <n v="336"/>
    <n v="29"/>
    <n v="498.52"/>
    <n v="79.040000000000006"/>
    <n v="577.55999999999995"/>
    <x v="1"/>
    <n v="0"/>
    <n v="72.58"/>
    <n v="464"/>
    <n v="441"/>
  </r>
  <r>
    <s v="O1000819"/>
    <s v="C6655"/>
    <x v="662"/>
    <d v="2024-04-14T00:00:00"/>
    <x v="1"/>
    <x v="3"/>
    <x v="7"/>
    <s v="Cape Town"/>
    <s v="OFF-BI-10001524"/>
    <s v="Office Supplies"/>
    <s v="Binders"/>
    <s v="GBC Premium Transparent Covers with Diagonal Lined Pattern"/>
    <n v="497.02"/>
    <n v="49"/>
    <s v="S102"/>
    <x v="2"/>
    <s v="W9"/>
    <x v="1"/>
    <s v="FedEx"/>
    <s v="New York-Cape Town"/>
    <n v="105"/>
    <n v="293"/>
    <n v="2"/>
    <n v="1905.3"/>
    <n v="415.64"/>
    <n v="2320.94"/>
    <x v="1"/>
    <n v="0"/>
    <n v="84.64"/>
    <n v="149"/>
    <n v="132"/>
  </r>
  <r>
    <s v="O1000820"/>
    <s v="C9678"/>
    <x v="663"/>
    <d v="2021-10-08T00:00:00"/>
    <x v="0"/>
    <x v="3"/>
    <x v="5"/>
    <s v="Cape Town"/>
    <s v="OFF-BI-10001679"/>
    <s v="Office Supplies"/>
    <s v="Binders"/>
    <s v="GBC Instant Index System for Binding Systems"/>
    <n v="207.91"/>
    <n v="98"/>
    <s v="S439"/>
    <x v="4"/>
    <s v="W19"/>
    <x v="1"/>
    <s v="BlueDart"/>
    <s v="Toronto-Toronto"/>
    <n v="51"/>
    <n v="493"/>
    <n v="4"/>
    <n v="1207.58"/>
    <n v="88.38"/>
    <n v="1295.96"/>
    <x v="1"/>
    <n v="0"/>
    <n v="92.4"/>
    <n v="345"/>
    <n v="364"/>
  </r>
  <r>
    <s v="O1000821"/>
    <s v="C4767"/>
    <x v="664"/>
    <d v="2022-01-22T00:00:00"/>
    <x v="2"/>
    <x v="1"/>
    <x v="0"/>
    <s v="São Paulo"/>
    <s v="OFF-BI-10004995"/>
    <s v="Office Supplies"/>
    <s v="Binders"/>
    <s v="GBC DocuBind P400 Electric Binding System"/>
    <n v="52.29"/>
    <n v="52"/>
    <s v="S210"/>
    <x v="2"/>
    <s v="W7"/>
    <x v="1"/>
    <s v="BlueDart"/>
    <s v="São Paulo-São Paulo"/>
    <n v="102"/>
    <n v="346"/>
    <n v="3"/>
    <n v="530.97"/>
    <n v="78.86"/>
    <n v="609.83000000000004"/>
    <x v="1"/>
    <n v="0"/>
    <n v="92.94"/>
    <n v="363"/>
    <n v="398"/>
  </r>
  <r>
    <s v="O1000822"/>
    <s v="C2480"/>
    <x v="210"/>
    <d v="2023-09-02T00:00:00"/>
    <x v="1"/>
    <x v="0"/>
    <x v="7"/>
    <s v="Mumbai"/>
    <s v="OFF-LA-10002762"/>
    <s v="Office Supplies"/>
    <s v="Labels"/>
    <s v="Avery 485"/>
    <n v="165.29"/>
    <n v="86"/>
    <s v="S175"/>
    <x v="3"/>
    <s v="W1"/>
    <x v="2"/>
    <s v="DHL"/>
    <s v="New York-Cape Town"/>
    <n v="3622"/>
    <n v="482"/>
    <n v="8"/>
    <n v="1496.64"/>
    <n v="212.47"/>
    <n v="1709.11"/>
    <x v="1"/>
    <n v="0"/>
    <n v="72.63"/>
    <n v="276"/>
    <n v="320"/>
  </r>
  <r>
    <s v="O1000823"/>
    <s v="C3887"/>
    <x v="665"/>
    <d v="2022-06-17T00:00:00"/>
    <x v="2"/>
    <x v="1"/>
    <x v="4"/>
    <s v="São Paulo"/>
    <s v="OFF-ST-10004804"/>
    <s v="Office Supplies"/>
    <s v="Storage"/>
    <s v="Belkin 19&quot; Vented Equipment Shelf, Black"/>
    <n v="469.89"/>
    <n v="12"/>
    <s v="S252"/>
    <x v="0"/>
    <s v="W48"/>
    <x v="3"/>
    <s v="UPS"/>
    <s v="Toronto-Beijing"/>
    <n v="2288"/>
    <n v="229"/>
    <n v="15"/>
    <n v="1177.3900000000001"/>
    <n v="57.53"/>
    <n v="1234.92"/>
    <x v="1"/>
    <n v="0"/>
    <n v="84.88"/>
    <n v="94"/>
    <n v="102"/>
  </r>
  <r>
    <s v="O1000824"/>
    <s v="C1542"/>
    <x v="666"/>
    <d v="2024-09-02T00:00:00"/>
    <x v="0"/>
    <x v="1"/>
    <x v="3"/>
    <s v="Berlin"/>
    <s v="TEC-AC-10002006"/>
    <s v="Technology"/>
    <s v="Accessories"/>
    <s v="Memorex Micro Travel Drive 16 GB"/>
    <n v="70.23"/>
    <n v="17"/>
    <s v="S825"/>
    <x v="2"/>
    <s v="W29"/>
    <x v="0"/>
    <s v="UPS"/>
    <s v="London-São Paulo"/>
    <n v="4072"/>
    <n v="211"/>
    <n v="9"/>
    <n v="454.83"/>
    <n v="369.51"/>
    <n v="824.33999999999992"/>
    <x v="1"/>
    <n v="0"/>
    <n v="74.319999999999993"/>
    <n v="224"/>
    <n v="217"/>
  </r>
  <r>
    <s v="O1000825"/>
    <s v="C8016"/>
    <x v="667"/>
    <d v="2023-04-01T00:00:00"/>
    <x v="2"/>
    <x v="1"/>
    <x v="4"/>
    <s v="Mumbai"/>
    <s v="TEC-AC-10002076"/>
    <s v="Technology"/>
    <s v="Accessories"/>
    <s v="Microsoft Natural Keyboard Elite"/>
    <n v="417.19"/>
    <n v="54"/>
    <s v="S453"/>
    <x v="0"/>
    <s v="W18"/>
    <x v="3"/>
    <s v="BlueDart"/>
    <s v="London-Toronto"/>
    <n v="1674"/>
    <n v="320"/>
    <n v="18"/>
    <n v="761.53"/>
    <n v="482.71"/>
    <n v="1244.24"/>
    <x v="1"/>
    <n v="0"/>
    <n v="81.150000000000006"/>
    <n v="311"/>
    <n v="289"/>
  </r>
  <r>
    <s v="O1000826"/>
    <s v="C7882"/>
    <x v="668"/>
    <d v="2024-02-21T00:00:00"/>
    <x v="1"/>
    <x v="1"/>
    <x v="7"/>
    <s v="Toronto"/>
    <s v="TEC-AC-10004814"/>
    <s v="Technology"/>
    <s v="Accessories"/>
    <s v="Logitech Illuminated Ultrathin Keyboard with Backlighting"/>
    <n v="39.380000000000003"/>
    <n v="70"/>
    <s v="S745"/>
    <x v="3"/>
    <s v="W40"/>
    <x v="1"/>
    <s v="Maersk"/>
    <s v="São Paulo-São Paulo"/>
    <n v="4265"/>
    <n v="128"/>
    <n v="23"/>
    <n v="1201.31"/>
    <n v="311.97000000000003"/>
    <n v="1513.28"/>
    <x v="1"/>
    <n v="0"/>
    <n v="87.03"/>
    <n v="407"/>
    <n v="358"/>
  </r>
  <r>
    <s v="O1000827"/>
    <s v="C3241"/>
    <x v="92"/>
    <d v="2021-09-04T00:00:00"/>
    <x v="2"/>
    <x v="1"/>
    <x v="3"/>
    <s v="Beijing"/>
    <s v="TEC-PH-10001363"/>
    <s v="Technology"/>
    <s v="Phones"/>
    <s v="Apple iPhone 5S"/>
    <n v="86.36"/>
    <n v="92"/>
    <s v="S243"/>
    <x v="4"/>
    <s v="W33"/>
    <x v="3"/>
    <s v="FedEx"/>
    <s v="Beijing-São Paulo"/>
    <n v="3247"/>
    <n v="75"/>
    <n v="5"/>
    <n v="1774.73"/>
    <n v="199.97"/>
    <n v="1974.7"/>
    <x v="1"/>
    <n v="0"/>
    <n v="78.099999999999994"/>
    <n v="364"/>
    <n v="314"/>
  </r>
  <r>
    <s v="O1000828"/>
    <s v="C5180"/>
    <x v="669"/>
    <d v="2023-05-28T00:00:00"/>
    <x v="2"/>
    <x v="0"/>
    <x v="4"/>
    <s v="Toronto"/>
    <s v="OFF-PA-10002709"/>
    <s v="Office Supplies"/>
    <s v="Paper"/>
    <s v="Xerox 1956"/>
    <n v="8.02"/>
    <n v="60"/>
    <s v="S568"/>
    <x v="3"/>
    <s v="W24"/>
    <x v="0"/>
    <s v="FedEx"/>
    <s v="Beijing-London"/>
    <n v="3128"/>
    <n v="137"/>
    <n v="14"/>
    <n v="1934.88"/>
    <n v="420.1"/>
    <n v="2354.98"/>
    <x v="1"/>
    <n v="0"/>
    <n v="85.61"/>
    <n v="173"/>
    <n v="181"/>
  </r>
  <r>
    <s v="O1000829"/>
    <s v="C3662"/>
    <x v="670"/>
    <d v="2020-10-20T00:00:00"/>
    <x v="2"/>
    <x v="4"/>
    <x v="6"/>
    <s v="Beijing"/>
    <s v="OFF-ST-10002574"/>
    <s v="Office Supplies"/>
    <s v="Storage"/>
    <s v="SAFCO Commercial Wire Shelving, Black"/>
    <n v="296.45"/>
    <n v="23"/>
    <s v="S372"/>
    <x v="3"/>
    <s v="W46"/>
    <x v="0"/>
    <s v="Maersk"/>
    <s v="Berlin-New York"/>
    <n v="3683"/>
    <n v="218"/>
    <n v="21"/>
    <n v="1107.03"/>
    <n v="384.46"/>
    <n v="1491.49"/>
    <x v="1"/>
    <n v="0"/>
    <n v="91.38"/>
    <n v="206"/>
    <n v="170"/>
  </r>
  <r>
    <s v="O1000830"/>
    <s v="C8524"/>
    <x v="671"/>
    <d v="2021-10-29T00:00:00"/>
    <x v="0"/>
    <x v="1"/>
    <x v="5"/>
    <s v="Mumbai"/>
    <s v="TEC-AC-10002842"/>
    <s v="Technology"/>
    <s v="Accessories"/>
    <s v="WD My Passport Ultra 2TB Portable External Hard Drive"/>
    <n v="419.85"/>
    <n v="60"/>
    <s v="S948"/>
    <x v="1"/>
    <s v="W39"/>
    <x v="3"/>
    <s v="Maersk"/>
    <s v="Berlin-Toronto"/>
    <n v="1133"/>
    <n v="247"/>
    <n v="13"/>
    <n v="931.22"/>
    <n v="63.16"/>
    <n v="994.38"/>
    <x v="1"/>
    <n v="0"/>
    <n v="80.260000000000005"/>
    <n v="55"/>
    <n v="37"/>
  </r>
  <r>
    <s v="O1000831"/>
    <s v="C1733"/>
    <x v="672"/>
    <d v="2024-03-27T00:00:00"/>
    <x v="2"/>
    <x v="4"/>
    <x v="5"/>
    <s v="London"/>
    <s v="FUR-FU-10003623"/>
    <s v="Furniture"/>
    <s v="Furnishings"/>
    <s v="DataProducts Ampli Magnifier Task Lamp, Black,"/>
    <n v="301.7"/>
    <n v="68"/>
    <s v="S422"/>
    <x v="0"/>
    <s v="W9"/>
    <x v="2"/>
    <s v="DHL"/>
    <s v="Mumbai-São Paulo"/>
    <n v="1206"/>
    <n v="352"/>
    <n v="25"/>
    <n v="537.75"/>
    <n v="408.6"/>
    <n v="946.35"/>
    <x v="1"/>
    <n v="0"/>
    <n v="88.79"/>
    <n v="203"/>
    <n v="206"/>
  </r>
  <r>
    <s v="O1000832"/>
    <s v="C2453"/>
    <x v="673"/>
    <d v="2023-04-13T00:00:00"/>
    <x v="2"/>
    <x v="0"/>
    <x v="1"/>
    <s v="Berlin"/>
    <s v="OFF-EN-10000781"/>
    <s v="Office Supplies"/>
    <s v="Envelopes"/>
    <s v="#10- 4 1/8&quot; x 9 1/2&quot; Recycled Envelopes"/>
    <n v="51.22"/>
    <n v="24"/>
    <s v="S223"/>
    <x v="1"/>
    <s v="W26"/>
    <x v="2"/>
    <s v="Maersk"/>
    <s v="New York-Berlin"/>
    <n v="307"/>
    <n v="165"/>
    <n v="19"/>
    <n v="1864.77"/>
    <n v="220.82"/>
    <n v="2085.59"/>
    <x v="1"/>
    <n v="0"/>
    <n v="77.36"/>
    <n v="88"/>
    <n v="122"/>
  </r>
  <r>
    <s v="O1000833"/>
    <s v="C4113"/>
    <x v="602"/>
    <d v="2023-07-03T00:00:00"/>
    <x v="2"/>
    <x v="0"/>
    <x v="2"/>
    <s v="São Paulo"/>
    <s v="OFF-FA-10000621"/>
    <s v="Office Supplies"/>
    <s v="Fasteners"/>
    <s v="OIC Colored Binder Clips, Assorted Sizes"/>
    <n v="315.79000000000002"/>
    <n v="49"/>
    <s v="S669"/>
    <x v="2"/>
    <s v="W22"/>
    <x v="2"/>
    <s v="BlueDart"/>
    <s v="Mumbai-London"/>
    <n v="1690"/>
    <n v="326"/>
    <n v="24"/>
    <n v="649.11"/>
    <n v="70.290000000000006"/>
    <n v="719.4"/>
    <x v="1"/>
    <n v="0"/>
    <n v="71.42"/>
    <n v="437"/>
    <n v="451"/>
  </r>
  <r>
    <s v="O1000834"/>
    <s v="C8462"/>
    <x v="347"/>
    <d v="2021-12-27T00:00:00"/>
    <x v="1"/>
    <x v="0"/>
    <x v="1"/>
    <s v="Beijing"/>
    <s v="FUR-BO-10002916"/>
    <s v="Furniture"/>
    <s v="Bookcases"/>
    <s v="Rush Hierlooms Collection 1&quot; Thick Stackable Bookcases"/>
    <n v="478.49"/>
    <n v="67"/>
    <s v="S263"/>
    <x v="4"/>
    <s v="W46"/>
    <x v="2"/>
    <s v="DHL"/>
    <s v="Mumbai-Mumbai"/>
    <n v="4015"/>
    <n v="479"/>
    <n v="2"/>
    <n v="1755.17"/>
    <n v="276.38"/>
    <n v="2031.55"/>
    <x v="1"/>
    <n v="0"/>
    <n v="99.61"/>
    <n v="447"/>
    <n v="489"/>
  </r>
  <r>
    <s v="O1000835"/>
    <s v="C7316"/>
    <x v="30"/>
    <d v="2022-05-07T00:00:00"/>
    <x v="2"/>
    <x v="4"/>
    <x v="3"/>
    <s v="Cape Town"/>
    <s v="FUR-FU-10000629"/>
    <s v="Furniture"/>
    <s v="Furnishings"/>
    <s v="9-3/4 Diameter Round Wall Clock"/>
    <n v="369.88"/>
    <n v="19"/>
    <s v="S549"/>
    <x v="3"/>
    <s v="W43"/>
    <x v="3"/>
    <s v="FedEx"/>
    <s v="Mumbai-Toronto"/>
    <n v="4671"/>
    <n v="383"/>
    <n v="2"/>
    <n v="1971.48"/>
    <n v="110.38"/>
    <n v="2081.86"/>
    <x v="1"/>
    <n v="0"/>
    <n v="79.989999999999995"/>
    <n v="424"/>
    <n v="438"/>
  </r>
  <r>
    <s v="O1000836"/>
    <s v="C8227"/>
    <x v="674"/>
    <d v="2022-02-01T00:00:00"/>
    <x v="2"/>
    <x v="4"/>
    <x v="6"/>
    <s v="Mumbai"/>
    <s v="OFF-AP-10001005"/>
    <s v="Office Supplies"/>
    <s v="Appliances"/>
    <s v="Honeywell Quietcare HEPA Air Cleaner"/>
    <n v="168.4"/>
    <n v="27"/>
    <s v="S575"/>
    <x v="2"/>
    <s v="W43"/>
    <x v="2"/>
    <s v="BlueDart"/>
    <s v="London-Toronto"/>
    <n v="1016"/>
    <n v="241"/>
    <n v="29"/>
    <n v="1039"/>
    <n v="134.07"/>
    <n v="1173.07"/>
    <x v="1"/>
    <n v="0"/>
    <n v="82.38"/>
    <n v="391"/>
    <n v="399"/>
  </r>
  <r>
    <s v="O1000837"/>
    <s v="C9065"/>
    <x v="675"/>
    <d v="2020-06-01T00:00:00"/>
    <x v="2"/>
    <x v="2"/>
    <x v="1"/>
    <s v="São Paulo"/>
    <s v="OFF-BI-10004506"/>
    <s v="Office Supplies"/>
    <s v="Binders"/>
    <s v="Wilson Jones data.warehouse D-Ring Binders with DublLock"/>
    <n v="391.4"/>
    <n v="60"/>
    <s v="S741"/>
    <x v="1"/>
    <s v="W38"/>
    <x v="3"/>
    <s v="FedEx"/>
    <s v="Toronto-London"/>
    <n v="1066"/>
    <n v="84"/>
    <n v="2"/>
    <n v="891.28"/>
    <n v="293.47000000000003"/>
    <n v="1184.75"/>
    <x v="0"/>
    <n v="2"/>
    <n v="98.25"/>
    <n v="198"/>
    <n v="169"/>
  </r>
  <r>
    <s v="O1000838"/>
    <s v="C8120"/>
    <x v="676"/>
    <d v="2023-12-13T00:00:00"/>
    <x v="1"/>
    <x v="4"/>
    <x v="5"/>
    <s v="New York"/>
    <s v="OFF-FA-10000992"/>
    <s v="Office Supplies"/>
    <s v="Fasteners"/>
    <s v="Acco Clips to Go Binder Clips, 24 Clips in Two Sizes"/>
    <n v="211.49"/>
    <n v="60"/>
    <s v="S595"/>
    <x v="4"/>
    <s v="W36"/>
    <x v="2"/>
    <s v="DHL"/>
    <s v="Berlin-Berlin"/>
    <n v="755"/>
    <n v="175"/>
    <n v="8"/>
    <n v="1560.51"/>
    <n v="154.76"/>
    <n v="1715.27"/>
    <x v="1"/>
    <n v="0"/>
    <n v="74.77"/>
    <n v="336"/>
    <n v="380"/>
  </r>
  <r>
    <s v="O1000839"/>
    <s v="C1720"/>
    <x v="677"/>
    <d v="2022-03-12T00:00:00"/>
    <x v="2"/>
    <x v="1"/>
    <x v="7"/>
    <s v="Toronto"/>
    <s v="OFF-LA-10000240"/>
    <s v="Office Supplies"/>
    <s v="Labels"/>
    <s v="Self-Adhesive Address Labels for Typewriters by Universal"/>
    <n v="109.44"/>
    <n v="85"/>
    <s v="S466"/>
    <x v="4"/>
    <s v="W19"/>
    <x v="3"/>
    <s v="DHL"/>
    <s v="New York-Beijing"/>
    <n v="2577"/>
    <n v="286"/>
    <n v="26"/>
    <n v="1192.78"/>
    <n v="371.62"/>
    <n v="1564.4"/>
    <x v="1"/>
    <n v="0"/>
    <n v="86.36"/>
    <n v="221"/>
    <n v="185"/>
  </r>
  <r>
    <s v="O1000840"/>
    <s v="C4320"/>
    <x v="678"/>
    <d v="2024-11-24T00:00:00"/>
    <x v="1"/>
    <x v="1"/>
    <x v="4"/>
    <s v="Toronto"/>
    <s v="OFF-PA-10002377"/>
    <s v="Office Supplies"/>
    <s v="Paper"/>
    <s v="Xerox 1916"/>
    <n v="301.17"/>
    <n v="1"/>
    <s v="S974"/>
    <x v="3"/>
    <s v="W42"/>
    <x v="2"/>
    <s v="FedEx"/>
    <s v="New York-New York"/>
    <n v="2883"/>
    <n v="383"/>
    <n v="25"/>
    <n v="1406.72"/>
    <n v="73.61"/>
    <n v="1480.33"/>
    <x v="1"/>
    <n v="0"/>
    <n v="87.09"/>
    <n v="471"/>
    <n v="447"/>
  </r>
  <r>
    <s v="O1000841"/>
    <s v="C7282"/>
    <x v="617"/>
    <d v="2022-06-25T00:00:00"/>
    <x v="1"/>
    <x v="3"/>
    <x v="7"/>
    <s v="London"/>
    <s v="OFF-BI-10001758"/>
    <s v="Office Supplies"/>
    <s v="Binders"/>
    <s v="Wilson Jones 14 Line Acrylic Coated Pressboard Data Binders"/>
    <n v="413.95"/>
    <n v="82"/>
    <s v="S741"/>
    <x v="1"/>
    <s v="W24"/>
    <x v="2"/>
    <s v="DHL"/>
    <s v="Beijing-Toronto"/>
    <n v="3074"/>
    <n v="172"/>
    <n v="10"/>
    <n v="1104.43"/>
    <n v="195.71"/>
    <n v="1300.1400000000001"/>
    <x v="1"/>
    <n v="0"/>
    <n v="77.89"/>
    <n v="192"/>
    <n v="193"/>
  </r>
  <r>
    <s v="O1000842"/>
    <s v="C9209"/>
    <x v="508"/>
    <d v="2024-10-24T00:00:00"/>
    <x v="2"/>
    <x v="0"/>
    <x v="3"/>
    <s v="Mumbai"/>
    <s v="OFF-ST-10002011"/>
    <s v="Office Supplies"/>
    <s v="Storage"/>
    <s v="Smead Adjustable Mobile File Trolley with Lockable Top"/>
    <n v="480.79"/>
    <n v="83"/>
    <s v="S871"/>
    <x v="0"/>
    <s v="W41"/>
    <x v="3"/>
    <s v="UPS"/>
    <s v="New York-Berlin"/>
    <n v="4903"/>
    <n v="420"/>
    <n v="25"/>
    <n v="1545.78"/>
    <n v="338.35"/>
    <n v="1884.13"/>
    <x v="0"/>
    <n v="10"/>
    <n v="89.06"/>
    <n v="414"/>
    <n v="393"/>
  </r>
  <r>
    <s v="O1000843"/>
    <s v="C9598"/>
    <x v="679"/>
    <d v="2021-03-02T00:00:00"/>
    <x v="2"/>
    <x v="4"/>
    <x v="3"/>
    <s v="Berlin"/>
    <s v="TEC-AC-10003237"/>
    <s v="Technology"/>
    <s v="Accessories"/>
    <s v="Memorex Micro Travel Drive 4 GB"/>
    <n v="152.81"/>
    <n v="11"/>
    <s v="S351"/>
    <x v="1"/>
    <s v="W38"/>
    <x v="1"/>
    <s v="FedEx"/>
    <s v="Beijing-Berlin"/>
    <n v="1353"/>
    <n v="370"/>
    <n v="5"/>
    <n v="144.84"/>
    <n v="366.46"/>
    <n v="511.3"/>
    <x v="1"/>
    <n v="0"/>
    <n v="75.63"/>
    <n v="478"/>
    <n v="438"/>
  </r>
  <r>
    <s v="O1000844"/>
    <s v="C8160"/>
    <x v="680"/>
    <d v="2020-02-17T00:00:00"/>
    <x v="2"/>
    <x v="0"/>
    <x v="0"/>
    <s v="Cape Town"/>
    <s v="FUR-TA-10004289"/>
    <s v="Furniture"/>
    <s v="Tables"/>
    <s v="BoxOffice By Design Rectangular and Half-Moon Meeting Room Tables"/>
    <n v="207.61"/>
    <n v="10"/>
    <s v="S463"/>
    <x v="0"/>
    <s v="W47"/>
    <x v="1"/>
    <s v="BlueDart"/>
    <s v="Beijing-São Paulo"/>
    <n v="2883"/>
    <n v="172"/>
    <n v="20"/>
    <n v="1085.3499999999999"/>
    <n v="407.25"/>
    <n v="1492.6"/>
    <x v="1"/>
    <n v="0"/>
    <n v="85.92"/>
    <n v="395"/>
    <n v="385"/>
  </r>
  <r>
    <s v="O1000845"/>
    <s v="C4776"/>
    <x v="388"/>
    <d v="2023-03-10T00:00:00"/>
    <x v="2"/>
    <x v="2"/>
    <x v="6"/>
    <s v="Beijing"/>
    <s v="OFF-AP-10003622"/>
    <s v="Office Supplies"/>
    <s v="Appliances"/>
    <s v="Bravo II Megaboss 12-Amp Hard Body Upright, Replacement Belts, 2 Belts per Pack"/>
    <n v="478.76"/>
    <n v="23"/>
    <s v="S472"/>
    <x v="4"/>
    <s v="W3"/>
    <x v="0"/>
    <s v="FedEx"/>
    <s v="São Paulo-Berlin"/>
    <n v="4704"/>
    <n v="107"/>
    <n v="6"/>
    <n v="1244.3900000000001"/>
    <n v="222.4"/>
    <n v="1466.79"/>
    <x v="1"/>
    <n v="0"/>
    <n v="81.739999999999995"/>
    <n v="261"/>
    <n v="216"/>
  </r>
  <r>
    <s v="O1000846"/>
    <s v="C6550"/>
    <x v="681"/>
    <d v="2023-09-01T00:00:00"/>
    <x v="2"/>
    <x v="0"/>
    <x v="2"/>
    <s v="Berlin"/>
    <s v="OFF-PA-10001019"/>
    <s v="Office Supplies"/>
    <s v="Paper"/>
    <s v="Xerox 1884"/>
    <n v="257.58999999999997"/>
    <n v="2"/>
    <s v="S276"/>
    <x v="0"/>
    <s v="W32"/>
    <x v="2"/>
    <s v="FedEx"/>
    <s v="Cape Town-London"/>
    <n v="4415"/>
    <n v="316"/>
    <n v="25"/>
    <n v="98.78"/>
    <n v="414.03"/>
    <n v="512.80999999999995"/>
    <x v="1"/>
    <n v="0"/>
    <n v="92.6"/>
    <n v="170"/>
    <n v="168"/>
  </r>
  <r>
    <s v="O1000847"/>
    <s v="C5336"/>
    <x v="682"/>
    <d v="2020-06-12T00:00:00"/>
    <x v="2"/>
    <x v="4"/>
    <x v="5"/>
    <s v="New York"/>
    <s v="OFF-PA-10001289"/>
    <s v="Office Supplies"/>
    <s v="Paper"/>
    <s v="White Computer Printout Paper by Universal"/>
    <n v="375.77"/>
    <n v="83"/>
    <s v="S876"/>
    <x v="1"/>
    <s v="W4"/>
    <x v="0"/>
    <s v="FedEx"/>
    <s v="Beijing-New York"/>
    <n v="3032"/>
    <n v="230"/>
    <n v="2"/>
    <n v="979.87"/>
    <n v="169.31"/>
    <n v="1149.18"/>
    <x v="1"/>
    <n v="0"/>
    <n v="91.24"/>
    <n v="458"/>
    <n v="487"/>
  </r>
  <r>
    <s v="O1000848"/>
    <s v="C4769"/>
    <x v="683"/>
    <d v="2020-09-08T00:00:00"/>
    <x v="2"/>
    <x v="3"/>
    <x v="1"/>
    <s v="New York"/>
    <s v="OFF-ST-10003221"/>
    <s v="Office Supplies"/>
    <s v="Storage"/>
    <s v="Staple magnet"/>
    <n v="144.71"/>
    <n v="29"/>
    <s v="S158"/>
    <x v="4"/>
    <s v="W39"/>
    <x v="1"/>
    <s v="FedEx"/>
    <s v="Berlin-Berlin"/>
    <n v="4174"/>
    <n v="232"/>
    <n v="26"/>
    <n v="1203.1099999999999"/>
    <n v="285.43"/>
    <n v="1488.54"/>
    <x v="1"/>
    <n v="0"/>
    <n v="72.209999999999994"/>
    <n v="415"/>
    <n v="417"/>
  </r>
  <r>
    <s v="O1000849"/>
    <s v="C4536"/>
    <x v="41"/>
    <d v="2021-11-03T00:00:00"/>
    <x v="1"/>
    <x v="4"/>
    <x v="0"/>
    <s v="Beijing"/>
    <s v="OFF-SU-10002537"/>
    <s v="Office Supplies"/>
    <s v="Supplies"/>
    <s v="Acme Box Cutter Scissors"/>
    <n v="299.73"/>
    <n v="48"/>
    <s v="S497"/>
    <x v="0"/>
    <s v="W22"/>
    <x v="1"/>
    <s v="UPS"/>
    <s v="Beijing-São Paulo"/>
    <n v="4031"/>
    <n v="371"/>
    <n v="15"/>
    <n v="604.16999999999996"/>
    <n v="407.53"/>
    <n v="1011.7"/>
    <x v="1"/>
    <n v="0"/>
    <n v="98.78"/>
    <n v="294"/>
    <n v="294"/>
  </r>
  <r>
    <s v="O1000850"/>
    <s v="C2260"/>
    <x v="541"/>
    <d v="2023-07-26T00:00:00"/>
    <x v="2"/>
    <x v="1"/>
    <x v="4"/>
    <s v="Berlin"/>
    <s v="OFF-AP-10001271"/>
    <s v="Office Supplies"/>
    <s v="Appliances"/>
    <s v="Eureka The Boss Cordless Rechargeable Stick Vac"/>
    <n v="293.08"/>
    <n v="71"/>
    <s v="S230"/>
    <x v="2"/>
    <s v="W22"/>
    <x v="0"/>
    <s v="Maersk"/>
    <s v="Cape Town-Mumbai"/>
    <n v="3257"/>
    <n v="51"/>
    <n v="18"/>
    <n v="354.93"/>
    <n v="423.35"/>
    <n v="778.28"/>
    <x v="1"/>
    <n v="0"/>
    <n v="90.7"/>
    <n v="68"/>
    <n v="24"/>
  </r>
  <r>
    <s v="O1000851"/>
    <s v="C6501"/>
    <x v="622"/>
    <d v="2024-09-10T00:00:00"/>
    <x v="2"/>
    <x v="4"/>
    <x v="2"/>
    <s v="Mumbai"/>
    <s v="OFF-AP-10003590"/>
    <s v="Office Supplies"/>
    <s v="Appliances"/>
    <s v="Hoover WindTunnel Plus Canister Vacuum"/>
    <n v="61.01"/>
    <n v="90"/>
    <s v="S295"/>
    <x v="4"/>
    <s v="W22"/>
    <x v="1"/>
    <s v="Maersk"/>
    <s v="London-London"/>
    <n v="2839"/>
    <n v="95"/>
    <n v="22"/>
    <n v="257.27"/>
    <n v="375.2"/>
    <n v="632.47"/>
    <x v="1"/>
    <n v="0"/>
    <n v="93.81"/>
    <n v="430"/>
    <n v="394"/>
  </r>
  <r>
    <s v="O1000852"/>
    <s v="C2956"/>
    <x v="684"/>
    <d v="2024-04-15T00:00:00"/>
    <x v="2"/>
    <x v="2"/>
    <x v="0"/>
    <s v="Toronto"/>
    <s v="OFF-AR-10000896"/>
    <s v="Office Supplies"/>
    <s v="Art"/>
    <s v="Newell 329"/>
    <n v="311.93"/>
    <n v="84"/>
    <s v="S393"/>
    <x v="3"/>
    <s v="W2"/>
    <x v="2"/>
    <s v="Maersk"/>
    <s v="Beijing-Mumbai"/>
    <n v="3611"/>
    <n v="148"/>
    <n v="11"/>
    <n v="1043.8399999999999"/>
    <n v="328.95"/>
    <n v="1372.79"/>
    <x v="1"/>
    <n v="0"/>
    <n v="76.88"/>
    <n v="444"/>
    <n v="456"/>
  </r>
  <r>
    <s v="O1000853"/>
    <s v="C3406"/>
    <x v="685"/>
    <d v="2023-02-01T00:00:00"/>
    <x v="2"/>
    <x v="3"/>
    <x v="6"/>
    <s v="Berlin"/>
    <s v="OFF-BI-10002852"/>
    <s v="Office Supplies"/>
    <s v="Binders"/>
    <s v="Ibico Standard Transparent Covers"/>
    <n v="170.88"/>
    <n v="38"/>
    <s v="S286"/>
    <x v="1"/>
    <s v="W19"/>
    <x v="0"/>
    <s v="UPS"/>
    <s v="London-Berlin"/>
    <n v="1146"/>
    <n v="165"/>
    <n v="22"/>
    <n v="1879.21"/>
    <n v="318.58999999999997"/>
    <n v="2197.8000000000002"/>
    <x v="0"/>
    <n v="6"/>
    <n v="83.47"/>
    <n v="146"/>
    <n v="113"/>
  </r>
  <r>
    <s v="O1000854"/>
    <s v="C6084"/>
    <x v="686"/>
    <d v="2020-10-04T00:00:00"/>
    <x v="2"/>
    <x v="2"/>
    <x v="2"/>
    <s v="Toronto"/>
    <s v="OFF-PA-10000806"/>
    <s v="Office Supplies"/>
    <s v="Paper"/>
    <s v="Xerox 1934"/>
    <n v="282.47000000000003"/>
    <n v="45"/>
    <s v="S511"/>
    <x v="0"/>
    <s v="W7"/>
    <x v="2"/>
    <s v="Maersk"/>
    <s v="Toronto-Mumbai"/>
    <n v="1531"/>
    <n v="154"/>
    <n v="17"/>
    <n v="1529.97"/>
    <n v="233.56"/>
    <n v="1763.53"/>
    <x v="1"/>
    <n v="0"/>
    <n v="90.78"/>
    <n v="96"/>
    <n v="83"/>
  </r>
  <r>
    <s v="O1000855"/>
    <s v="C4193"/>
    <x v="202"/>
    <d v="2021-06-07T00:00:00"/>
    <x v="2"/>
    <x v="2"/>
    <x v="5"/>
    <s v="London"/>
    <s v="OFF-PA-10004353"/>
    <s v="Office Supplies"/>
    <s v="Paper"/>
    <s v="Southworth 25% Cotton Premium Laser Paper and Envelopes"/>
    <n v="406.69"/>
    <n v="36"/>
    <s v="S148"/>
    <x v="4"/>
    <s v="W3"/>
    <x v="0"/>
    <s v="UPS"/>
    <s v="Berlin-Berlin"/>
    <n v="1181"/>
    <n v="401"/>
    <n v="11"/>
    <n v="1869.3"/>
    <n v="411.7"/>
    <n v="2281"/>
    <x v="1"/>
    <n v="0"/>
    <n v="87.3"/>
    <n v="107"/>
    <n v="124"/>
  </r>
  <r>
    <s v="O1000856"/>
    <s v="C7124"/>
    <x v="687"/>
    <d v="2024-12-27T00:00:00"/>
    <x v="2"/>
    <x v="2"/>
    <x v="3"/>
    <s v="Beijing"/>
    <s v="OFF-ST-10002289"/>
    <s v="Office Supplies"/>
    <s v="Storage"/>
    <s v="Safco Wire Cube Shelving System, For Use as 4 or 5 14&quot; Cubes, Black"/>
    <n v="290.57"/>
    <n v="25"/>
    <s v="S948"/>
    <x v="3"/>
    <s v="W44"/>
    <x v="3"/>
    <s v="Maersk"/>
    <s v="Beijing-Berlin"/>
    <n v="69"/>
    <n v="246"/>
    <n v="28"/>
    <n v="1106.44"/>
    <n v="48.48"/>
    <n v="1154.92"/>
    <x v="1"/>
    <n v="0"/>
    <n v="86.13"/>
    <n v="452"/>
    <n v="432"/>
  </r>
  <r>
    <s v="O1000857"/>
    <s v="C5367"/>
    <x v="688"/>
    <d v="2022-10-07T00:00:00"/>
    <x v="1"/>
    <x v="0"/>
    <x v="3"/>
    <s v="Cape Town"/>
    <s v="TEC-AC-10002473"/>
    <s v="Technology"/>
    <s v="Accessories"/>
    <s v="Maxell 4.7GB DVD-R"/>
    <n v="474.24"/>
    <n v="36"/>
    <s v="S592"/>
    <x v="0"/>
    <s v="W2"/>
    <x v="1"/>
    <s v="DHL"/>
    <s v="Cape Town-Cape Town"/>
    <n v="2263"/>
    <n v="416"/>
    <n v="16"/>
    <n v="1672.96"/>
    <n v="393.79"/>
    <n v="2066.75"/>
    <x v="1"/>
    <n v="0"/>
    <n v="82.57"/>
    <n v="216"/>
    <n v="238"/>
  </r>
  <r>
    <s v="O1000858"/>
    <s v="C8610"/>
    <x v="689"/>
    <d v="2022-01-11T00:00:00"/>
    <x v="2"/>
    <x v="4"/>
    <x v="4"/>
    <s v="Toronto"/>
    <s v="TEC-PH-10002310"/>
    <s v="Technology"/>
    <s v="Phones"/>
    <s v="Panasonic KX T7731-B Digital phone"/>
    <n v="493.74"/>
    <n v="76"/>
    <s v="S749"/>
    <x v="1"/>
    <s v="W4"/>
    <x v="0"/>
    <s v="Maersk"/>
    <s v="Beijing-Mumbai"/>
    <n v="529"/>
    <n v="107"/>
    <n v="1"/>
    <n v="1563.58"/>
    <n v="289.45"/>
    <n v="1853.03"/>
    <x v="1"/>
    <n v="0"/>
    <n v="89.59"/>
    <n v="131"/>
    <n v="139"/>
  </r>
  <r>
    <s v="O1000859"/>
    <s v="C5909"/>
    <x v="229"/>
    <d v="2022-08-05T00:00:00"/>
    <x v="2"/>
    <x v="3"/>
    <x v="5"/>
    <s v="Cape Town"/>
    <s v="FUR-CH-10002335"/>
    <s v="Furniture"/>
    <s v="Chairs"/>
    <s v="Hon GuestStacker Chair"/>
    <n v="210.39"/>
    <n v="42"/>
    <s v="S567"/>
    <x v="3"/>
    <s v="W35"/>
    <x v="0"/>
    <s v="FedEx"/>
    <s v="London-Beijing"/>
    <n v="1718"/>
    <n v="334"/>
    <n v="21"/>
    <n v="696.05"/>
    <n v="123.19"/>
    <n v="819.24"/>
    <x v="1"/>
    <n v="0"/>
    <n v="96.06"/>
    <n v="119"/>
    <n v="84"/>
  </r>
  <r>
    <s v="O1000860"/>
    <s v="C2269"/>
    <x v="690"/>
    <d v="2023-03-10T00:00:00"/>
    <x v="2"/>
    <x v="1"/>
    <x v="6"/>
    <s v="Berlin"/>
    <s v="FUR-CH-10003817"/>
    <s v="Furniture"/>
    <s v="Chairs"/>
    <s v="Global Value Steno Chair, Gray"/>
    <n v="274.24"/>
    <n v="53"/>
    <s v="S550"/>
    <x v="1"/>
    <s v="W7"/>
    <x v="0"/>
    <s v="BlueDart"/>
    <s v="Beijing-New York"/>
    <n v="1953"/>
    <n v="243"/>
    <n v="28"/>
    <n v="178.35"/>
    <n v="305.45999999999998"/>
    <n v="483.80999999999989"/>
    <x v="1"/>
    <n v="0"/>
    <n v="72.28"/>
    <n v="167"/>
    <n v="195"/>
  </r>
  <r>
    <s v="O1000861"/>
    <s v="C8612"/>
    <x v="691"/>
    <d v="2024-07-01T00:00:00"/>
    <x v="2"/>
    <x v="2"/>
    <x v="5"/>
    <s v="Cape Town"/>
    <s v="FUR-TA-10001307"/>
    <s v="Furniture"/>
    <s v="Tables"/>
    <s v="SAFCO PlanMaster Heigh-Adjustable Drafting Table Base, 43w x 30d x 30-37h, Black"/>
    <n v="123.09"/>
    <n v="10"/>
    <s v="S848"/>
    <x v="1"/>
    <s v="W47"/>
    <x v="0"/>
    <s v="UPS"/>
    <s v="London-Beijing"/>
    <n v="1476"/>
    <n v="165"/>
    <n v="24"/>
    <n v="187.19"/>
    <n v="458.45"/>
    <n v="645.64"/>
    <x v="1"/>
    <n v="0"/>
    <n v="85.68"/>
    <n v="235"/>
    <n v="276"/>
  </r>
  <r>
    <s v="O1000862"/>
    <s v="C2739"/>
    <x v="692"/>
    <d v="2024-01-12T00:00:00"/>
    <x v="2"/>
    <x v="3"/>
    <x v="3"/>
    <s v="Mumbai"/>
    <s v="OFF-AP-10002765"/>
    <s v="Office Supplies"/>
    <s v="Appliances"/>
    <s v="Fellowes Advanced Computer Series Surge Protectors"/>
    <n v="445.22"/>
    <n v="74"/>
    <s v="S292"/>
    <x v="4"/>
    <s v="W41"/>
    <x v="2"/>
    <s v="DHL"/>
    <s v="London-São Paulo"/>
    <n v="2964"/>
    <n v="396"/>
    <n v="9"/>
    <n v="590.41999999999996"/>
    <n v="452.76"/>
    <n v="1043.18"/>
    <x v="1"/>
    <n v="0"/>
    <n v="98.28"/>
    <n v="407"/>
    <n v="429"/>
  </r>
  <r>
    <s v="O1000863"/>
    <s v="C7821"/>
    <x v="693"/>
    <d v="2024-07-12T00:00:00"/>
    <x v="2"/>
    <x v="0"/>
    <x v="5"/>
    <s v="Cape Town"/>
    <s v="OFF-AR-10004165"/>
    <s v="Office Supplies"/>
    <s v="Art"/>
    <s v="Binney &amp; Smith inkTank Erasable Pocket Highlighter, Chisel Tip, Yellow"/>
    <n v="343.23"/>
    <n v="84"/>
    <s v="S452"/>
    <x v="2"/>
    <s v="W6"/>
    <x v="0"/>
    <s v="FedEx"/>
    <s v="London-Berlin"/>
    <n v="400"/>
    <n v="68"/>
    <n v="7"/>
    <n v="1669.2"/>
    <n v="57.29"/>
    <n v="1726.49"/>
    <x v="1"/>
    <n v="0"/>
    <n v="83.77"/>
    <n v="249"/>
    <n v="244"/>
  </r>
  <r>
    <s v="O1000864"/>
    <s v="C4081"/>
    <x v="78"/>
    <d v="2021-01-22T00:00:00"/>
    <x v="2"/>
    <x v="1"/>
    <x v="5"/>
    <s v="London"/>
    <s v="OFF-AR-10004165"/>
    <s v="Office Supplies"/>
    <s v="Art"/>
    <s v="Binney &amp; Smith inkTank Erasable Pocket Highlighter, Chisel Tip, Yellow"/>
    <n v="176"/>
    <n v="43"/>
    <s v="S931"/>
    <x v="4"/>
    <s v="W18"/>
    <x v="3"/>
    <s v="BlueDart"/>
    <s v="Beijing-Beijing"/>
    <n v="997"/>
    <n v="415"/>
    <n v="22"/>
    <n v="63"/>
    <n v="480.54"/>
    <n v="543.54"/>
    <x v="1"/>
    <n v="0"/>
    <n v="81.83"/>
    <n v="231"/>
    <n v="199"/>
  </r>
  <r>
    <s v="O1000865"/>
    <s v="C9470"/>
    <x v="348"/>
    <d v="2022-01-05T00:00:00"/>
    <x v="2"/>
    <x v="1"/>
    <x v="6"/>
    <s v="Toronto"/>
    <s v="OFF-AR-10004602"/>
    <s v="Office Supplies"/>
    <s v="Art"/>
    <s v="Boston KS Multi-Size Manual Pencil Sharpener"/>
    <n v="296.56"/>
    <n v="2"/>
    <s v="S748"/>
    <x v="4"/>
    <s v="W20"/>
    <x v="2"/>
    <s v="DHL"/>
    <s v="Mumbai-Berlin"/>
    <n v="1937"/>
    <n v="442"/>
    <n v="3"/>
    <n v="124.06"/>
    <n v="192.58"/>
    <n v="316.64"/>
    <x v="1"/>
    <n v="0"/>
    <n v="92.35"/>
    <n v="430"/>
    <n v="458"/>
  </r>
  <r>
    <s v="O1000866"/>
    <s v="C9606"/>
    <x v="694"/>
    <d v="2020-03-11T00:00:00"/>
    <x v="1"/>
    <x v="3"/>
    <x v="3"/>
    <s v="São Paulo"/>
    <s v="OFF-PA-10000659"/>
    <s v="Office Supplies"/>
    <s v="Paper"/>
    <s v="Adams Phone Message Book, Professional, 400 Message Capacity, 5 3/6” x 11”"/>
    <n v="61.8"/>
    <n v="71"/>
    <s v="S204"/>
    <x v="2"/>
    <s v="W45"/>
    <x v="3"/>
    <s v="FedEx"/>
    <s v="London-Cape Town"/>
    <n v="4673"/>
    <n v="262"/>
    <n v="22"/>
    <n v="422.04"/>
    <n v="398.01"/>
    <n v="820.05"/>
    <x v="1"/>
    <n v="0"/>
    <n v="85.16"/>
    <n v="367"/>
    <n v="350"/>
  </r>
  <r>
    <s v="O1000867"/>
    <s v="C9460"/>
    <x v="695"/>
    <d v="2021-04-27T00:00:00"/>
    <x v="1"/>
    <x v="4"/>
    <x v="3"/>
    <s v="Toronto"/>
    <s v="OFF-PA-10001144"/>
    <s v="Office Supplies"/>
    <s v="Paper"/>
    <s v="Xerox 1913"/>
    <n v="51.16"/>
    <n v="19"/>
    <s v="S794"/>
    <x v="3"/>
    <s v="W39"/>
    <x v="2"/>
    <s v="Maersk"/>
    <s v="Berlin-São Paulo"/>
    <n v="1380"/>
    <n v="315"/>
    <n v="25"/>
    <n v="718.99"/>
    <n v="142.13999999999999"/>
    <n v="861.13"/>
    <x v="1"/>
    <n v="0"/>
    <n v="88.18"/>
    <n v="197"/>
    <n v="223"/>
  </r>
  <r>
    <s v="O1000868"/>
    <s v="C9455"/>
    <x v="696"/>
    <d v="2021-08-14T00:00:00"/>
    <x v="0"/>
    <x v="1"/>
    <x v="5"/>
    <s v="London"/>
    <s v="OFF-ST-10000321"/>
    <s v="Office Supplies"/>
    <s v="Storage"/>
    <s v="Akro Stacking Bins"/>
    <n v="333.33"/>
    <n v="3"/>
    <s v="S396"/>
    <x v="4"/>
    <s v="W25"/>
    <x v="0"/>
    <s v="DHL"/>
    <s v="Beijing-Mumbai"/>
    <n v="4529"/>
    <n v="175"/>
    <n v="3"/>
    <n v="1828.64"/>
    <n v="372.05"/>
    <n v="2200.69"/>
    <x v="1"/>
    <n v="0"/>
    <n v="96.12"/>
    <n v="474"/>
    <n v="520"/>
  </r>
  <r>
    <s v="O1000869"/>
    <s v="C7324"/>
    <x v="697"/>
    <d v="2023-03-14T00:00:00"/>
    <x v="1"/>
    <x v="4"/>
    <x v="5"/>
    <s v="Mumbai"/>
    <s v="TEC-AC-10004510"/>
    <s v="Technology"/>
    <s v="Accessories"/>
    <s v="Logitech Desktop MK120 Mouse and keyboard Combo"/>
    <n v="188.72"/>
    <n v="72"/>
    <s v="S394"/>
    <x v="3"/>
    <s v="W47"/>
    <x v="1"/>
    <s v="DHL"/>
    <s v="Berlin-Beijing"/>
    <n v="4506"/>
    <n v="110"/>
    <n v="14"/>
    <n v="866.7"/>
    <n v="442.82"/>
    <n v="1309.52"/>
    <x v="1"/>
    <n v="0"/>
    <n v="94.64"/>
    <n v="385"/>
    <n v="349"/>
  </r>
  <r>
    <s v="O1000870"/>
    <s v="C4622"/>
    <x v="698"/>
    <d v="2021-08-12T00:00:00"/>
    <x v="2"/>
    <x v="0"/>
    <x v="7"/>
    <s v="New York"/>
    <s v="TEC-PH-10002468"/>
    <s v="Technology"/>
    <s v="Phones"/>
    <s v="Plantronics CS 50-USB - headset - Convertible, Monaural"/>
    <n v="202.77"/>
    <n v="6"/>
    <s v="S559"/>
    <x v="0"/>
    <s v="W11"/>
    <x v="2"/>
    <s v="DHL"/>
    <s v="São Paulo-Beijing"/>
    <n v="1865"/>
    <n v="184"/>
    <n v="10"/>
    <n v="1438.31"/>
    <n v="167.3"/>
    <n v="1605.61"/>
    <x v="1"/>
    <n v="0"/>
    <n v="80.88"/>
    <n v="373"/>
    <n v="364"/>
  </r>
  <r>
    <s v="O1000871"/>
    <s v="C4822"/>
    <x v="699"/>
    <d v="2022-03-20T00:00:00"/>
    <x v="2"/>
    <x v="0"/>
    <x v="4"/>
    <s v="Toronto"/>
    <s v="TEC-AC-10000023"/>
    <s v="Technology"/>
    <s v="Accessories"/>
    <s v="Maxell 74 Minute CD-R Spindle, 50/Pack"/>
    <n v="43.76"/>
    <n v="81"/>
    <s v="S203"/>
    <x v="0"/>
    <s v="W19"/>
    <x v="0"/>
    <s v="FedEx"/>
    <s v="Mumbai-Berlin"/>
    <n v="282"/>
    <n v="235"/>
    <n v="26"/>
    <n v="435.84"/>
    <n v="492.85"/>
    <n v="928.69"/>
    <x v="1"/>
    <n v="0"/>
    <n v="89.41"/>
    <n v="53"/>
    <n v="41"/>
  </r>
  <r>
    <s v="O1000872"/>
    <s v="C4447"/>
    <x v="561"/>
    <d v="2022-01-20T00:00:00"/>
    <x v="1"/>
    <x v="0"/>
    <x v="4"/>
    <s v="Beijing"/>
    <s v="TEC-AC-10004571"/>
    <s v="Technology"/>
    <s v="Accessories"/>
    <s v="Logitech G700s Rechargeable Gaming Mouse"/>
    <n v="419.28"/>
    <n v="92"/>
    <s v="S563"/>
    <x v="0"/>
    <s v="W12"/>
    <x v="2"/>
    <s v="BlueDart"/>
    <s v="Cape Town-Toronto"/>
    <n v="4620"/>
    <n v="389"/>
    <n v="9"/>
    <n v="324.97000000000003"/>
    <n v="24.55"/>
    <n v="349.52"/>
    <x v="1"/>
    <n v="0"/>
    <n v="75.89"/>
    <n v="489"/>
    <n v="451"/>
  </r>
  <r>
    <s v="O1000873"/>
    <s v="C5547"/>
    <x v="700"/>
    <d v="2023-09-05T00:00:00"/>
    <x v="1"/>
    <x v="1"/>
    <x v="5"/>
    <s v="Berlin"/>
    <s v="FUR-BO-10000468"/>
    <s v="Furniture"/>
    <s v="Bookcases"/>
    <s v="O'Sullivan 2-Shelf Heavy-Duty Bookcases"/>
    <n v="344.53"/>
    <n v="8"/>
    <s v="S686"/>
    <x v="2"/>
    <s v="W37"/>
    <x v="3"/>
    <s v="Maersk"/>
    <s v="Mumbai-Toronto"/>
    <n v="4352"/>
    <n v="484"/>
    <n v="3"/>
    <n v="403.43"/>
    <n v="107.55"/>
    <n v="510.98"/>
    <x v="1"/>
    <n v="0"/>
    <n v="94.09"/>
    <n v="183"/>
    <n v="134"/>
  </r>
  <r>
    <s v="O1000874"/>
    <s v="C9751"/>
    <x v="650"/>
    <d v="2020-01-19T00:00:00"/>
    <x v="1"/>
    <x v="3"/>
    <x v="5"/>
    <s v="Cape Town"/>
    <s v="FUR-FU-10001602"/>
    <s v="Furniture"/>
    <s v="Furnishings"/>
    <s v="Eldon Delta Triangular Chair Mat, 52&quot; x 58&quot;, Clear"/>
    <n v="90.05"/>
    <n v="94"/>
    <s v="S721"/>
    <x v="2"/>
    <s v="W20"/>
    <x v="2"/>
    <s v="Maersk"/>
    <s v="Beijing-New York"/>
    <n v="3168"/>
    <n v="303"/>
    <n v="11"/>
    <n v="1254.2"/>
    <n v="384.87"/>
    <n v="1639.07"/>
    <x v="0"/>
    <n v="14"/>
    <n v="72.47"/>
    <n v="63"/>
    <n v="31"/>
  </r>
  <r>
    <s v="O1000875"/>
    <s v="C3993"/>
    <x v="148"/>
    <d v="2024-10-02T00:00:00"/>
    <x v="2"/>
    <x v="2"/>
    <x v="7"/>
    <s v="New York"/>
    <s v="FUR-FU-10001979"/>
    <s v="Furniture"/>
    <s v="Furnishings"/>
    <s v="Dana Halogen Swing-Arm Architect Lamp"/>
    <n v="289.19"/>
    <n v="85"/>
    <s v="S182"/>
    <x v="4"/>
    <s v="W30"/>
    <x v="1"/>
    <s v="BlueDart"/>
    <s v="Toronto-Mumbai"/>
    <n v="3406"/>
    <n v="107"/>
    <n v="23"/>
    <n v="1958.23"/>
    <n v="241.1"/>
    <n v="2199.33"/>
    <x v="1"/>
    <n v="0"/>
    <n v="98.34"/>
    <n v="407"/>
    <n v="363"/>
  </r>
  <r>
    <s v="O1000876"/>
    <s v="C3553"/>
    <x v="701"/>
    <d v="2024-01-04T00:00:00"/>
    <x v="1"/>
    <x v="4"/>
    <x v="4"/>
    <s v="São Paulo"/>
    <s v="FUR-FU-10002088"/>
    <s v="Furniture"/>
    <s v="Furnishings"/>
    <s v="Nu-Dell Float Frame 11 x 14 1/2"/>
    <n v="387.24"/>
    <n v="51"/>
    <s v="S516"/>
    <x v="0"/>
    <s v="W5"/>
    <x v="2"/>
    <s v="Maersk"/>
    <s v="Beijing-Cape Town"/>
    <n v="848"/>
    <n v="395"/>
    <n v="24"/>
    <n v="467.02"/>
    <n v="38.92"/>
    <n v="505.94"/>
    <x v="1"/>
    <n v="0"/>
    <n v="73.12"/>
    <n v="202"/>
    <n v="244"/>
  </r>
  <r>
    <s v="O1000877"/>
    <s v="C7870"/>
    <x v="702"/>
    <d v="2021-04-27T00:00:00"/>
    <x v="2"/>
    <x v="1"/>
    <x v="0"/>
    <s v="São Paulo"/>
    <s v="OFF-AP-10002495"/>
    <s v="Office Supplies"/>
    <s v="Appliances"/>
    <s v="Acco Smartsocket Table Surge Protector, 6 Color-Coded Adapter Outlets"/>
    <n v="446.04"/>
    <n v="36"/>
    <s v="S281"/>
    <x v="2"/>
    <s v="W20"/>
    <x v="3"/>
    <s v="UPS"/>
    <s v="Berlin-Mumbai"/>
    <n v="4298"/>
    <n v="85"/>
    <n v="2"/>
    <n v="136.57"/>
    <n v="398.54"/>
    <n v="535.11"/>
    <x v="1"/>
    <n v="0"/>
    <n v="89.72"/>
    <n v="366"/>
    <n v="393"/>
  </r>
  <r>
    <s v="O1000878"/>
    <s v="C1187"/>
    <x v="703"/>
    <d v="2023-02-16T00:00:00"/>
    <x v="2"/>
    <x v="2"/>
    <x v="2"/>
    <s v="Toronto"/>
    <s v="OFF-AP-10004708"/>
    <s v="Office Supplies"/>
    <s v="Appliances"/>
    <s v="Fellowes Superior 10 Outlet Split Surge Protector"/>
    <n v="182.97"/>
    <n v="82"/>
    <s v="S327"/>
    <x v="2"/>
    <s v="W33"/>
    <x v="0"/>
    <s v="BlueDart"/>
    <s v="Beijing-Cape Town"/>
    <n v="1719"/>
    <n v="273"/>
    <n v="4"/>
    <n v="1428.4"/>
    <n v="362.46"/>
    <n v="1790.86"/>
    <x v="1"/>
    <n v="0"/>
    <n v="90.59"/>
    <n v="74"/>
    <n v="52"/>
  </r>
  <r>
    <s v="O1000879"/>
    <s v="C2524"/>
    <x v="41"/>
    <d v="2020-10-01T00:00:00"/>
    <x v="2"/>
    <x v="4"/>
    <x v="5"/>
    <s v="London"/>
    <s v="OFF-EN-10002500"/>
    <s v="Office Supplies"/>
    <s v="Envelopes"/>
    <s v="Globe Weis Peel &amp; Seel First Class Envelopes"/>
    <n v="108.94"/>
    <n v="72"/>
    <s v="S526"/>
    <x v="2"/>
    <s v="W6"/>
    <x v="3"/>
    <s v="BlueDart"/>
    <s v="Beijing-New York"/>
    <n v="1923"/>
    <n v="488"/>
    <n v="21"/>
    <n v="1190.4000000000001"/>
    <n v="372.56"/>
    <n v="1562.96"/>
    <x v="1"/>
    <n v="0"/>
    <n v="94.18"/>
    <n v="278"/>
    <n v="242"/>
  </r>
  <r>
    <s v="O1000880"/>
    <s v="C5154"/>
    <x v="704"/>
    <d v="2023-03-03T00:00:00"/>
    <x v="1"/>
    <x v="0"/>
    <x v="3"/>
    <s v="Toronto"/>
    <s v="OFF-ST-10000532"/>
    <s v="Office Supplies"/>
    <s v="Storage"/>
    <s v="Advantus Rolling Drawer Organizers"/>
    <n v="374.22"/>
    <n v="76"/>
    <s v="S109"/>
    <x v="4"/>
    <s v="W27"/>
    <x v="2"/>
    <s v="FedEx"/>
    <s v="Toronto-New York"/>
    <n v="3223"/>
    <n v="95"/>
    <n v="4"/>
    <n v="1232.02"/>
    <n v="174.77"/>
    <n v="1406.79"/>
    <x v="0"/>
    <n v="14"/>
    <n v="83.83"/>
    <n v="476"/>
    <n v="495"/>
  </r>
  <r>
    <s v="O1000881"/>
    <s v="C1713"/>
    <x v="705"/>
    <d v="2022-10-08T00:00:00"/>
    <x v="1"/>
    <x v="3"/>
    <x v="5"/>
    <s v="Toronto"/>
    <s v="TEC-AC-10001767"/>
    <s v="Technology"/>
    <s v="Accessories"/>
    <s v="SanDisk Ultra 64 GB MicroSDHC Class 10 Memory Card"/>
    <n v="496.3"/>
    <n v="23"/>
    <s v="S954"/>
    <x v="4"/>
    <s v="W17"/>
    <x v="1"/>
    <s v="UPS"/>
    <s v="Beijing-London"/>
    <n v="2190"/>
    <n v="72"/>
    <n v="4"/>
    <n v="267.63"/>
    <n v="268.79000000000002"/>
    <n v="536.42000000000007"/>
    <x v="1"/>
    <n v="0"/>
    <n v="94.59"/>
    <n v="413"/>
    <n v="446"/>
  </r>
  <r>
    <s v="O1000882"/>
    <s v="C2588"/>
    <x v="706"/>
    <d v="2024-08-26T00:00:00"/>
    <x v="1"/>
    <x v="2"/>
    <x v="7"/>
    <s v="Berlin"/>
    <s v="TEC-CO-10001571"/>
    <s v="Technology"/>
    <s v="Copiers"/>
    <s v="Sharp 1540cs Digital Laser Copier"/>
    <n v="36.24"/>
    <n v="64"/>
    <s v="S801"/>
    <x v="3"/>
    <s v="W40"/>
    <x v="2"/>
    <s v="UPS"/>
    <s v="New York-Berlin"/>
    <n v="2213"/>
    <n v="411"/>
    <n v="26"/>
    <n v="109.92"/>
    <n v="41.8"/>
    <n v="151.72"/>
    <x v="1"/>
    <n v="0"/>
    <n v="83.89"/>
    <n v="481"/>
    <n v="528"/>
  </r>
  <r>
    <s v="O1000883"/>
    <s v="C5502"/>
    <x v="707"/>
    <d v="2022-03-22T00:00:00"/>
    <x v="2"/>
    <x v="1"/>
    <x v="7"/>
    <s v="Beijing"/>
    <s v="TEC-CO-10004115"/>
    <s v="Technology"/>
    <s v="Copiers"/>
    <s v="Sharp AL-1530CS Digital Copier"/>
    <n v="129.79"/>
    <n v="23"/>
    <s v="S425"/>
    <x v="3"/>
    <s v="W35"/>
    <x v="3"/>
    <s v="DHL"/>
    <s v="Cape Town-Berlin"/>
    <n v="3825"/>
    <n v="183"/>
    <n v="1"/>
    <n v="166.23"/>
    <n v="263.66000000000003"/>
    <n v="429.89"/>
    <x v="1"/>
    <n v="0"/>
    <n v="86.49"/>
    <n v="433"/>
    <n v="420"/>
  </r>
  <r>
    <s v="O1000884"/>
    <s v="C1296"/>
    <x v="280"/>
    <d v="2023-08-08T00:00:00"/>
    <x v="0"/>
    <x v="0"/>
    <x v="0"/>
    <s v="London"/>
    <s v="TEC-PH-10001128"/>
    <s v="Technology"/>
    <s v="Phones"/>
    <s v="Motorola Droid Maxx"/>
    <n v="273.74"/>
    <n v="66"/>
    <s v="S686"/>
    <x v="1"/>
    <s v="W7"/>
    <x v="0"/>
    <s v="BlueDart"/>
    <s v="São Paulo-Cape Town"/>
    <n v="1188"/>
    <n v="346"/>
    <n v="6"/>
    <n v="396.08"/>
    <n v="436.08"/>
    <n v="832.16"/>
    <x v="1"/>
    <n v="0"/>
    <n v="98.2"/>
    <n v="245"/>
    <n v="285"/>
  </r>
  <r>
    <s v="O1000885"/>
    <s v="C2816"/>
    <x v="708"/>
    <d v="2020-05-02T00:00:00"/>
    <x v="1"/>
    <x v="2"/>
    <x v="3"/>
    <s v="Beijing"/>
    <s v="TEC-PH-10002398"/>
    <s v="Technology"/>
    <s v="Phones"/>
    <s v="AT&amp;T 1070 Corded Phone"/>
    <n v="55.76"/>
    <n v="16"/>
    <s v="S553"/>
    <x v="2"/>
    <s v="W14"/>
    <x v="0"/>
    <s v="BlueDart"/>
    <s v="London-London"/>
    <n v="1461"/>
    <n v="62"/>
    <n v="15"/>
    <n v="1315.19"/>
    <n v="182.28"/>
    <n v="1497.47"/>
    <x v="1"/>
    <n v="0"/>
    <n v="95.99"/>
    <n v="298"/>
    <n v="323"/>
  </r>
  <r>
    <s v="O1000886"/>
    <s v="C1643"/>
    <x v="567"/>
    <d v="2024-12-13T00:00:00"/>
    <x v="1"/>
    <x v="1"/>
    <x v="2"/>
    <s v="Beijing"/>
    <s v="OFF-AP-10004336"/>
    <s v="Office Supplies"/>
    <s v="Appliances"/>
    <s v="Conquest 14 Commercial Heavy-Duty Upright Vacuum, Collection System, Accessory Kit"/>
    <n v="167.3"/>
    <n v="52"/>
    <s v="S712"/>
    <x v="0"/>
    <s v="W39"/>
    <x v="3"/>
    <s v="DHL"/>
    <s v="London-London"/>
    <n v="1800"/>
    <n v="143"/>
    <n v="29"/>
    <n v="95.4"/>
    <n v="196.07"/>
    <n v="291.47000000000003"/>
    <x v="1"/>
    <n v="0"/>
    <n v="96.63"/>
    <n v="94"/>
    <n v="79"/>
  </r>
  <r>
    <s v="O1000887"/>
    <s v="C1013"/>
    <x v="709"/>
    <d v="2024-05-14T00:00:00"/>
    <x v="2"/>
    <x v="2"/>
    <x v="3"/>
    <s v="London"/>
    <s v="OFF-AR-10004587"/>
    <s v="Office Supplies"/>
    <s v="Art"/>
    <s v="Boston 1827 Commercial Additional Cutter, Drive Gear &amp; Gear Rack for 1606"/>
    <n v="30.4"/>
    <n v="46"/>
    <s v="S402"/>
    <x v="2"/>
    <s v="W33"/>
    <x v="2"/>
    <s v="Maersk"/>
    <s v="Toronto-Cape Town"/>
    <n v="2981"/>
    <n v="291"/>
    <n v="1"/>
    <n v="1899.42"/>
    <n v="342.32"/>
    <n v="2241.7399999999998"/>
    <x v="1"/>
    <n v="0"/>
    <n v="86.6"/>
    <n v="190"/>
    <n v="190"/>
  </r>
  <r>
    <s v="O1000888"/>
    <s v="C4645"/>
    <x v="256"/>
    <d v="2021-02-07T00:00:00"/>
    <x v="2"/>
    <x v="4"/>
    <x v="0"/>
    <s v="Cape Town"/>
    <s v="OFF-BI-10001718"/>
    <s v="Office Supplies"/>
    <s v="Binders"/>
    <s v="GBC DocuBind P50 Personal Binding Machine"/>
    <n v="284.3"/>
    <n v="9"/>
    <s v="S159"/>
    <x v="0"/>
    <s v="W45"/>
    <x v="0"/>
    <s v="UPS"/>
    <s v="New York-New York"/>
    <n v="1850"/>
    <n v="69"/>
    <n v="23"/>
    <n v="1299.18"/>
    <n v="169.7"/>
    <n v="1468.88"/>
    <x v="1"/>
    <n v="0"/>
    <n v="89.36"/>
    <n v="212"/>
    <n v="253"/>
  </r>
  <r>
    <s v="O1000889"/>
    <s v="C7757"/>
    <x v="525"/>
    <d v="2023-07-12T00:00:00"/>
    <x v="2"/>
    <x v="1"/>
    <x v="6"/>
    <s v="London"/>
    <s v="OFF-BI-10001097"/>
    <s v="Office Supplies"/>
    <s v="Binders"/>
    <s v="Avery Hole Reinforcements"/>
    <n v="151.66999999999999"/>
    <n v="82"/>
    <s v="S796"/>
    <x v="4"/>
    <s v="W38"/>
    <x v="2"/>
    <s v="UPS"/>
    <s v="Toronto-Mumbai"/>
    <n v="2828"/>
    <n v="492"/>
    <n v="8"/>
    <n v="695.89"/>
    <n v="210.76"/>
    <n v="906.65"/>
    <x v="1"/>
    <n v="0"/>
    <n v="85.59"/>
    <n v="306"/>
    <n v="316"/>
  </r>
  <r>
    <s v="O1000890"/>
    <s v="C3311"/>
    <x v="710"/>
    <d v="2021-10-25T00:00:00"/>
    <x v="2"/>
    <x v="0"/>
    <x v="7"/>
    <s v="London"/>
    <s v="OFF-BI-10004600"/>
    <s v="Office Supplies"/>
    <s v="Binders"/>
    <s v="Ibico Ibimaster 300 Manual Binding System"/>
    <n v="404.41"/>
    <n v="91"/>
    <s v="S336"/>
    <x v="3"/>
    <s v="W32"/>
    <x v="0"/>
    <s v="FedEx"/>
    <s v="Berlin-Toronto"/>
    <n v="3621"/>
    <n v="364"/>
    <n v="10"/>
    <n v="662.77"/>
    <n v="402.51"/>
    <n v="1065.28"/>
    <x v="1"/>
    <n v="0"/>
    <n v="98.67"/>
    <n v="351"/>
    <n v="392"/>
  </r>
  <r>
    <s v="O1000891"/>
    <s v="C6036"/>
    <x v="329"/>
    <d v="2024-04-07T00:00:00"/>
    <x v="1"/>
    <x v="4"/>
    <x v="0"/>
    <s v="Beijing"/>
    <s v="OFF-FA-10004838"/>
    <s v="Office Supplies"/>
    <s v="Fasteners"/>
    <s v="Super Bands, 12/Pack"/>
    <n v="253.08"/>
    <n v="36"/>
    <s v="S559"/>
    <x v="3"/>
    <s v="W22"/>
    <x v="0"/>
    <s v="DHL"/>
    <s v="São Paulo-Berlin"/>
    <n v="2855"/>
    <n v="393"/>
    <n v="22"/>
    <n v="200.42"/>
    <n v="265.24"/>
    <n v="465.66"/>
    <x v="1"/>
    <n v="0"/>
    <n v="86.96"/>
    <n v="432"/>
    <n v="467"/>
  </r>
  <r>
    <s v="O1000892"/>
    <s v="C5864"/>
    <x v="711"/>
    <d v="2023-02-12T00:00:00"/>
    <x v="2"/>
    <x v="1"/>
    <x v="1"/>
    <s v="Mumbai"/>
    <s v="OFF-LA-10000262"/>
    <s v="Office Supplies"/>
    <s v="Labels"/>
    <s v="Avery 494"/>
    <n v="413.48"/>
    <n v="24"/>
    <s v="S120"/>
    <x v="4"/>
    <s v="W29"/>
    <x v="1"/>
    <s v="FedEx"/>
    <s v="Berlin-New York"/>
    <n v="756"/>
    <n v="276"/>
    <n v="8"/>
    <n v="1965.51"/>
    <n v="285.73"/>
    <n v="2251.2399999999998"/>
    <x v="1"/>
    <n v="0"/>
    <n v="86.18"/>
    <n v="79"/>
    <n v="35"/>
  </r>
  <r>
    <s v="O1000893"/>
    <s v="C9064"/>
    <x v="712"/>
    <d v="2021-01-06T00:00:00"/>
    <x v="2"/>
    <x v="1"/>
    <x v="6"/>
    <s v="São Paulo"/>
    <s v="OFF-PA-10001667"/>
    <s v="Office Supplies"/>
    <s v="Paper"/>
    <s v="Great White Multi-Use Recycled Paper (20Lb. and 84 Bright)"/>
    <n v="327.02"/>
    <n v="39"/>
    <s v="S872"/>
    <x v="2"/>
    <s v="W28"/>
    <x v="0"/>
    <s v="BlueDart"/>
    <s v="Beijing-London"/>
    <n v="4974"/>
    <n v="208"/>
    <n v="9"/>
    <n v="1280.0999999999999"/>
    <n v="18.329999999999998"/>
    <n v="1298.43"/>
    <x v="1"/>
    <n v="0"/>
    <n v="86.32"/>
    <n v="346"/>
    <n v="324"/>
  </r>
  <r>
    <s v="O1000894"/>
    <s v="C9582"/>
    <x v="713"/>
    <d v="2023-08-31T00:00:00"/>
    <x v="2"/>
    <x v="2"/>
    <x v="3"/>
    <s v="Beijing"/>
    <s v="OFF-PA-10001937"/>
    <s v="Office Supplies"/>
    <s v="Paper"/>
    <s v="Xerox 21"/>
    <n v="256.17"/>
    <n v="22"/>
    <s v="S144"/>
    <x v="0"/>
    <s v="W41"/>
    <x v="0"/>
    <s v="Maersk"/>
    <s v="Beijing-Cape Town"/>
    <n v="3012"/>
    <n v="322"/>
    <n v="25"/>
    <n v="73.37"/>
    <n v="490.49"/>
    <n v="563.86"/>
    <x v="1"/>
    <n v="0"/>
    <n v="72.28"/>
    <n v="300"/>
    <n v="299"/>
  </r>
  <r>
    <s v="O1000895"/>
    <s v="C1272"/>
    <x v="714"/>
    <d v="2022-03-24T00:00:00"/>
    <x v="1"/>
    <x v="1"/>
    <x v="5"/>
    <s v="Toronto"/>
    <s v="TEC-PH-10000038"/>
    <s v="Technology"/>
    <s v="Phones"/>
    <s v="Jawbone MINI JAMBOX Wireless Bluetooth Speaker"/>
    <n v="338.58"/>
    <n v="55"/>
    <s v="S925"/>
    <x v="2"/>
    <s v="W45"/>
    <x v="2"/>
    <s v="BlueDart"/>
    <s v="São Paulo-Mumbai"/>
    <n v="111"/>
    <n v="295"/>
    <n v="21"/>
    <n v="1918.15"/>
    <n v="94.89"/>
    <n v="2013.04"/>
    <x v="1"/>
    <n v="0"/>
    <n v="77.430000000000007"/>
    <n v="338"/>
    <n v="298"/>
  </r>
  <r>
    <s v="O1000896"/>
    <s v="C8832"/>
    <x v="715"/>
    <d v="2020-07-27T00:00:00"/>
    <x v="2"/>
    <x v="3"/>
    <x v="2"/>
    <s v="São Paulo"/>
    <s v="TEC-PH-10001530"/>
    <s v="Technology"/>
    <s v="Phones"/>
    <s v="Cisco Unified IP Phone 7945G VoIP phone"/>
    <n v="432.23"/>
    <n v="19"/>
    <s v="S325"/>
    <x v="2"/>
    <s v="W33"/>
    <x v="2"/>
    <s v="FedEx"/>
    <s v="Beijing-Mumbai"/>
    <n v="3749"/>
    <n v="430"/>
    <n v="22"/>
    <n v="1935.66"/>
    <n v="440.16"/>
    <n v="2375.8200000000002"/>
    <x v="1"/>
    <n v="0"/>
    <n v="83.13"/>
    <n v="201"/>
    <n v="194"/>
  </r>
  <r>
    <s v="O1000897"/>
    <s v="C1506"/>
    <x v="716"/>
    <d v="2022-07-03T00:00:00"/>
    <x v="2"/>
    <x v="0"/>
    <x v="3"/>
    <s v="Berlin"/>
    <s v="TEC-PH-10002398"/>
    <s v="Technology"/>
    <s v="Phones"/>
    <s v="AT&amp;T 1070 Corded Phone"/>
    <n v="119.9"/>
    <n v="55"/>
    <s v="S948"/>
    <x v="4"/>
    <s v="W39"/>
    <x v="1"/>
    <s v="DHL"/>
    <s v="Mumbai-New York"/>
    <n v="1386"/>
    <n v="263"/>
    <n v="1"/>
    <n v="846.75"/>
    <n v="480.18"/>
    <n v="1326.93"/>
    <x v="1"/>
    <n v="0"/>
    <n v="77.400000000000006"/>
    <n v="210"/>
    <n v="233"/>
  </r>
  <r>
    <s v="O1000898"/>
    <s v="C3968"/>
    <x v="717"/>
    <d v="2024-02-23T00:00:00"/>
    <x v="2"/>
    <x v="1"/>
    <x v="5"/>
    <s v="New York"/>
    <s v="FUR-FU-10003691"/>
    <s v="Furniture"/>
    <s v="Furnishings"/>
    <s v="Eldon Image Series Desk Accessories, Ebony"/>
    <n v="25.82"/>
    <n v="17"/>
    <s v="S514"/>
    <x v="4"/>
    <s v="W27"/>
    <x v="2"/>
    <s v="FedEx"/>
    <s v="New York-Cape Town"/>
    <n v="3811"/>
    <n v="259"/>
    <n v="25"/>
    <n v="1263.24"/>
    <n v="325.43"/>
    <n v="1588.67"/>
    <x v="1"/>
    <n v="0"/>
    <n v="99.03"/>
    <n v="432"/>
    <n v="437"/>
  </r>
  <r>
    <s v="O1000899"/>
    <s v="C1226"/>
    <x v="718"/>
    <d v="2022-11-28T00:00:00"/>
    <x v="1"/>
    <x v="1"/>
    <x v="3"/>
    <s v="Berlin"/>
    <s v="OFF-AR-10003903"/>
    <s v="Office Supplies"/>
    <s v="Art"/>
    <s v="Sanford 52201 APSCO Electric Pencil Sharpener"/>
    <n v="16.8"/>
    <n v="56"/>
    <s v="S719"/>
    <x v="3"/>
    <s v="W11"/>
    <x v="3"/>
    <s v="UPS"/>
    <s v="London-Toronto"/>
    <n v="715"/>
    <n v="260"/>
    <n v="5"/>
    <n v="58.34"/>
    <n v="90.53"/>
    <n v="148.87"/>
    <x v="1"/>
    <n v="0"/>
    <n v="77.44"/>
    <n v="165"/>
    <n v="160"/>
  </r>
  <r>
    <s v="O1000900"/>
    <s v="C2221"/>
    <x v="719"/>
    <d v="2024-04-14T00:00:00"/>
    <x v="2"/>
    <x v="1"/>
    <x v="2"/>
    <s v="New York"/>
    <s v="OFF-FA-10004854"/>
    <s v="Office Supplies"/>
    <s v="Fasteners"/>
    <s v="Vinyl Coated Wire Paper Clips in Organizer Box, 800/Box"/>
    <n v="218.43"/>
    <n v="3"/>
    <s v="S220"/>
    <x v="2"/>
    <s v="W6"/>
    <x v="2"/>
    <s v="Maersk"/>
    <s v="Beijing-New York"/>
    <n v="2096"/>
    <n v="245"/>
    <n v="27"/>
    <n v="1979.64"/>
    <n v="325.19"/>
    <n v="2304.83"/>
    <x v="1"/>
    <n v="0"/>
    <n v="86.09"/>
    <n v="227"/>
    <n v="233"/>
  </r>
  <r>
    <s v="O1000901"/>
    <s v="C8020"/>
    <x v="720"/>
    <d v="2022-10-06T00:00:00"/>
    <x v="2"/>
    <x v="4"/>
    <x v="6"/>
    <s v="London"/>
    <s v="OFF-ST-10004459"/>
    <s v="Office Supplies"/>
    <s v="Storage"/>
    <s v="Tennsco Single-Tier Lockers"/>
    <n v="322.01"/>
    <n v="68"/>
    <s v="S634"/>
    <x v="2"/>
    <s v="W42"/>
    <x v="0"/>
    <s v="UPS"/>
    <s v="London-Mumbai"/>
    <n v="4470"/>
    <n v="296"/>
    <n v="10"/>
    <n v="1328.44"/>
    <n v="481.56"/>
    <n v="1810"/>
    <x v="1"/>
    <n v="0"/>
    <n v="70.56"/>
    <n v="407"/>
    <n v="423"/>
  </r>
  <r>
    <s v="O1000902"/>
    <s v="C8386"/>
    <x v="721"/>
    <d v="2021-09-27T00:00:00"/>
    <x v="1"/>
    <x v="3"/>
    <x v="1"/>
    <s v="New York"/>
    <s v="FUR-FU-10002878"/>
    <s v="Furniture"/>
    <s v="Furnishings"/>
    <s v="Seth Thomas 14&quot; Day/Date Wall Clock"/>
    <n v="241.91"/>
    <n v="4"/>
    <s v="S991"/>
    <x v="3"/>
    <s v="W44"/>
    <x v="1"/>
    <s v="BlueDart"/>
    <s v="Cape Town-Toronto"/>
    <n v="4449"/>
    <n v="260"/>
    <n v="20"/>
    <n v="1017.33"/>
    <n v="269.29000000000002"/>
    <n v="1286.6199999999999"/>
    <x v="1"/>
    <n v="0"/>
    <n v="76.12"/>
    <n v="349"/>
    <n v="328"/>
  </r>
  <r>
    <s v="O1000903"/>
    <s v="C7381"/>
    <x v="263"/>
    <d v="2020-01-29T00:00:00"/>
    <x v="2"/>
    <x v="1"/>
    <x v="0"/>
    <s v="Beijing"/>
    <s v="OFF-AP-10002403"/>
    <s v="Office Supplies"/>
    <s v="Appliances"/>
    <s v="Acco Smartsocket Color-Coded Six-Outlet AC Adapter Model Surge Protectors"/>
    <n v="206.31"/>
    <n v="14"/>
    <s v="S581"/>
    <x v="1"/>
    <s v="W21"/>
    <x v="2"/>
    <s v="BlueDart"/>
    <s v="London-Beijing"/>
    <n v="4507"/>
    <n v="156"/>
    <n v="3"/>
    <n v="1805.2"/>
    <n v="444.96"/>
    <n v="2250.16"/>
    <x v="1"/>
    <n v="0"/>
    <n v="93.04"/>
    <n v="93"/>
    <n v="67"/>
  </r>
  <r>
    <s v="O1000904"/>
    <s v="C6426"/>
    <x v="187"/>
    <d v="2024-08-31T00:00:00"/>
    <x v="1"/>
    <x v="2"/>
    <x v="3"/>
    <s v="São Paulo"/>
    <s v="OFF-AR-10004344"/>
    <s v="Office Supplies"/>
    <s v="Art"/>
    <s v="Bulldog Vacuum Base Pencil Sharpener"/>
    <n v="337.89"/>
    <n v="44"/>
    <s v="S288"/>
    <x v="1"/>
    <s v="W44"/>
    <x v="0"/>
    <s v="UPS"/>
    <s v="Mumbai-Beijing"/>
    <n v="3143"/>
    <n v="104"/>
    <n v="16"/>
    <n v="1807.54"/>
    <n v="140.4"/>
    <n v="1947.94"/>
    <x v="0"/>
    <n v="4"/>
    <n v="92.55"/>
    <n v="230"/>
    <n v="210"/>
  </r>
  <r>
    <s v="O1000905"/>
    <s v="C4201"/>
    <x v="722"/>
    <d v="2023-10-02T00:00:00"/>
    <x v="1"/>
    <x v="1"/>
    <x v="5"/>
    <s v="Toronto"/>
    <s v="OFF-BI-10000138"/>
    <s v="Office Supplies"/>
    <s v="Binders"/>
    <s v="Acco Translucent Poly Ring Binders"/>
    <n v="142.07"/>
    <n v="58"/>
    <s v="S337"/>
    <x v="4"/>
    <s v="W5"/>
    <x v="2"/>
    <s v="UPS"/>
    <s v="Berlin-Beijing"/>
    <n v="4504"/>
    <n v="434"/>
    <n v="3"/>
    <n v="375.65"/>
    <n v="339.13"/>
    <n v="714.78"/>
    <x v="1"/>
    <n v="0"/>
    <n v="72.290000000000006"/>
    <n v="403"/>
    <n v="400"/>
  </r>
  <r>
    <s v="O1000906"/>
    <s v="C8049"/>
    <x v="723"/>
    <d v="2024-03-02T00:00:00"/>
    <x v="2"/>
    <x v="1"/>
    <x v="0"/>
    <s v="Mumbai"/>
    <s v="OFF-BI-10002854"/>
    <s v="Office Supplies"/>
    <s v="Binders"/>
    <s v="Performers Binder/Pad Holder, Black"/>
    <n v="333.42"/>
    <n v="37"/>
    <s v="S955"/>
    <x v="3"/>
    <s v="W27"/>
    <x v="0"/>
    <s v="FedEx"/>
    <s v="London-Cape Town"/>
    <n v="3139"/>
    <n v="259"/>
    <n v="23"/>
    <n v="742.45"/>
    <n v="433.51"/>
    <n v="1175.96"/>
    <x v="1"/>
    <n v="0"/>
    <n v="94.29"/>
    <n v="425"/>
    <n v="474"/>
  </r>
  <r>
    <s v="O1000907"/>
    <s v="C6905"/>
    <x v="724"/>
    <d v="2022-08-10T00:00:00"/>
    <x v="2"/>
    <x v="0"/>
    <x v="1"/>
    <s v="New York"/>
    <s v="OFF-LA-10000443"/>
    <s v="Office Supplies"/>
    <s v="Labels"/>
    <s v="Avery 501"/>
    <n v="343.32"/>
    <n v="79"/>
    <s v="S718"/>
    <x v="2"/>
    <s v="W44"/>
    <x v="3"/>
    <s v="DHL"/>
    <s v="Mumbai-Berlin"/>
    <n v="268"/>
    <n v="499"/>
    <n v="14"/>
    <n v="1946.76"/>
    <n v="98.01"/>
    <n v="2044.77"/>
    <x v="1"/>
    <n v="0"/>
    <n v="95.78"/>
    <n v="172"/>
    <n v="133"/>
  </r>
  <r>
    <s v="O1000908"/>
    <s v="C2185"/>
    <x v="725"/>
    <d v="2021-05-08T00:00:00"/>
    <x v="2"/>
    <x v="1"/>
    <x v="7"/>
    <s v="Toronto"/>
    <s v="OFF-PA-10000295"/>
    <s v="Office Supplies"/>
    <s v="Paper"/>
    <s v="Xerox 229"/>
    <n v="145.97999999999999"/>
    <n v="19"/>
    <s v="S383"/>
    <x v="3"/>
    <s v="W45"/>
    <x v="3"/>
    <s v="Maersk"/>
    <s v="São Paulo-London"/>
    <n v="1125"/>
    <n v="116"/>
    <n v="14"/>
    <n v="970.65"/>
    <n v="291.51"/>
    <n v="1262.1600000000001"/>
    <x v="1"/>
    <n v="0"/>
    <n v="99.25"/>
    <n v="486"/>
    <n v="511"/>
  </r>
  <r>
    <s v="O1000909"/>
    <s v="C3927"/>
    <x v="726"/>
    <d v="2024-06-13T00:00:00"/>
    <x v="2"/>
    <x v="4"/>
    <x v="6"/>
    <s v="London"/>
    <s v="OFF-SU-10000432"/>
    <s v="Office Supplies"/>
    <s v="Supplies"/>
    <s v="Acco Side-Punched Conventional Columnar Pads"/>
    <n v="376.04"/>
    <n v="81"/>
    <s v="S847"/>
    <x v="0"/>
    <s v="W17"/>
    <x v="1"/>
    <s v="UPS"/>
    <s v="Berlin-New York"/>
    <n v="1394"/>
    <n v="175"/>
    <n v="11"/>
    <n v="1291.1600000000001"/>
    <n v="198.07"/>
    <n v="1489.23"/>
    <x v="1"/>
    <n v="0"/>
    <n v="91.48"/>
    <n v="248"/>
    <n v="268"/>
  </r>
  <r>
    <s v="O1000910"/>
    <s v="C5213"/>
    <x v="602"/>
    <d v="2023-11-25T00:00:00"/>
    <x v="2"/>
    <x v="1"/>
    <x v="5"/>
    <s v="Mumbai"/>
    <s v="TEC-AC-10000023"/>
    <s v="Technology"/>
    <s v="Accessories"/>
    <s v="Maxell 74 Minute CD-R Spindle, 50/Pack"/>
    <n v="488.49"/>
    <n v="94"/>
    <s v="S385"/>
    <x v="2"/>
    <s v="W44"/>
    <x v="3"/>
    <s v="Maersk"/>
    <s v="Cape Town-Toronto"/>
    <n v="4599"/>
    <n v="299"/>
    <n v="5"/>
    <n v="982.85"/>
    <n v="388.46"/>
    <n v="1371.31"/>
    <x v="1"/>
    <n v="0"/>
    <n v="83.01"/>
    <n v="224"/>
    <n v="263"/>
  </r>
  <r>
    <s v="O1000911"/>
    <s v="C2321"/>
    <x v="727"/>
    <d v="2023-08-15T00:00:00"/>
    <x v="2"/>
    <x v="0"/>
    <x v="0"/>
    <s v="Berlin"/>
    <s v="TEC-AC-10002473"/>
    <s v="Technology"/>
    <s v="Accessories"/>
    <s v="Maxell 4.7GB DVD-R"/>
    <n v="318.87"/>
    <n v="25"/>
    <s v="S399"/>
    <x v="3"/>
    <s v="W40"/>
    <x v="1"/>
    <s v="UPS"/>
    <s v="Mumbai-London"/>
    <n v="4876"/>
    <n v="484"/>
    <n v="13"/>
    <n v="1373.13"/>
    <n v="98.48"/>
    <n v="1471.61"/>
    <x v="1"/>
    <n v="0"/>
    <n v="90.15"/>
    <n v="110"/>
    <n v="84"/>
  </r>
  <r>
    <s v="O1000912"/>
    <s v="C4180"/>
    <x v="728"/>
    <d v="2023-07-17T00:00:00"/>
    <x v="0"/>
    <x v="4"/>
    <x v="3"/>
    <s v="São Paulo"/>
    <s v="TEC-PH-10003691"/>
    <s v="Technology"/>
    <s v="Phones"/>
    <s v="BlackBerry Q10"/>
    <n v="300.8"/>
    <n v="59"/>
    <s v="S857"/>
    <x v="1"/>
    <s v="W41"/>
    <x v="3"/>
    <s v="Maersk"/>
    <s v="Cape Town-Mumbai"/>
    <n v="1397"/>
    <n v="324"/>
    <n v="20"/>
    <n v="1202.0899999999999"/>
    <n v="258.22000000000003"/>
    <n v="1460.31"/>
    <x v="1"/>
    <n v="0"/>
    <n v="81.739999999999995"/>
    <n v="369"/>
    <n v="386"/>
  </r>
  <r>
    <s v="O1000913"/>
    <s v="C2965"/>
    <x v="729"/>
    <d v="2020-05-16T00:00:00"/>
    <x v="1"/>
    <x v="1"/>
    <x v="3"/>
    <s v="Cape Town"/>
    <s v="FUR-CH-10003833"/>
    <s v="Furniture"/>
    <s v="Chairs"/>
    <s v="Novimex Fabric Task Chair"/>
    <n v="232.32"/>
    <n v="47"/>
    <s v="S599"/>
    <x v="2"/>
    <s v="W30"/>
    <x v="1"/>
    <s v="UPS"/>
    <s v="Berlin-London"/>
    <n v="2536"/>
    <n v="297"/>
    <n v="12"/>
    <n v="770.75"/>
    <n v="400.96"/>
    <n v="1171.71"/>
    <x v="1"/>
    <n v="0"/>
    <n v="73.16"/>
    <n v="168"/>
    <n v="200"/>
  </r>
  <r>
    <s v="O1000914"/>
    <s v="C2460"/>
    <x v="604"/>
    <d v="2022-08-10T00:00:00"/>
    <x v="2"/>
    <x v="4"/>
    <x v="7"/>
    <s v="New York"/>
    <s v="OFF-AP-10003287"/>
    <s v="Office Supplies"/>
    <s v="Appliances"/>
    <s v="Tripp Lite TLP810NET Broadband Surge for Modem/Fax"/>
    <n v="233.06"/>
    <n v="15"/>
    <s v="S911"/>
    <x v="0"/>
    <s v="W12"/>
    <x v="1"/>
    <s v="BlueDart"/>
    <s v="London-Beijing"/>
    <n v="612"/>
    <n v="120"/>
    <n v="28"/>
    <n v="592.12"/>
    <n v="252.54"/>
    <n v="844.66"/>
    <x v="1"/>
    <n v="0"/>
    <n v="91.39"/>
    <n v="57"/>
    <n v="10"/>
  </r>
  <r>
    <s v="O1000915"/>
    <s v="C7289"/>
    <x v="218"/>
    <d v="2022-02-02T00:00:00"/>
    <x v="2"/>
    <x v="4"/>
    <x v="1"/>
    <s v="São Paulo"/>
    <s v="OFF-AP-10004708"/>
    <s v="Office Supplies"/>
    <s v="Appliances"/>
    <s v="Fellowes Superior 10 Outlet Split Surge Protector"/>
    <n v="286"/>
    <n v="49"/>
    <s v="S229"/>
    <x v="4"/>
    <s v="W10"/>
    <x v="2"/>
    <s v="Maersk"/>
    <s v="New York-Beijing"/>
    <n v="332"/>
    <n v="339"/>
    <n v="23"/>
    <n v="1643.38"/>
    <n v="309.74"/>
    <n v="1953.12"/>
    <x v="1"/>
    <n v="0"/>
    <n v="97.44"/>
    <n v="332"/>
    <n v="310"/>
  </r>
  <r>
    <s v="O1000916"/>
    <s v="C3732"/>
    <x v="458"/>
    <d v="2024-02-24T00:00:00"/>
    <x v="2"/>
    <x v="2"/>
    <x v="1"/>
    <s v="Beijing"/>
    <s v="OFF-BI-10001989"/>
    <s v="Office Supplies"/>
    <s v="Binders"/>
    <s v="Premium Transparent Presentation Covers by GBC"/>
    <n v="422.12"/>
    <n v="33"/>
    <s v="S876"/>
    <x v="0"/>
    <s v="W10"/>
    <x v="0"/>
    <s v="FedEx"/>
    <s v="Beijing-London"/>
    <n v="3306"/>
    <n v="122"/>
    <n v="4"/>
    <n v="323.37"/>
    <n v="331.23"/>
    <n v="654.6"/>
    <x v="1"/>
    <n v="0"/>
    <n v="91.09"/>
    <n v="429"/>
    <n v="430"/>
  </r>
  <r>
    <s v="O1000917"/>
    <s v="C8210"/>
    <x v="730"/>
    <d v="2021-11-02T00:00:00"/>
    <x v="2"/>
    <x v="2"/>
    <x v="0"/>
    <s v="Beijing"/>
    <s v="OFF-BI-10002309"/>
    <s v="Office Supplies"/>
    <s v="Binders"/>
    <s v="Avery Heavy-Duty EZD  Binder With Locking Rings"/>
    <n v="401.92"/>
    <n v="39"/>
    <s v="S635"/>
    <x v="1"/>
    <s v="W27"/>
    <x v="0"/>
    <s v="FedEx"/>
    <s v="São Paulo-New York"/>
    <n v="4354"/>
    <n v="169"/>
    <n v="11"/>
    <n v="1022.12"/>
    <n v="302.07"/>
    <n v="1324.19"/>
    <x v="1"/>
    <n v="0"/>
    <n v="91.59"/>
    <n v="406"/>
    <n v="417"/>
  </r>
  <r>
    <s v="O1000918"/>
    <s v="C6352"/>
    <x v="696"/>
    <d v="2023-07-07T00:00:00"/>
    <x v="2"/>
    <x v="4"/>
    <x v="2"/>
    <s v="New York"/>
    <s v="OFF-BI-10003638"/>
    <s v="Office Supplies"/>
    <s v="Binders"/>
    <s v="GBC Durable Plastic Covers"/>
    <n v="196.55"/>
    <n v="76"/>
    <s v="S830"/>
    <x v="4"/>
    <s v="W14"/>
    <x v="1"/>
    <s v="UPS"/>
    <s v="Cape Town-New York"/>
    <n v="752"/>
    <n v="446"/>
    <n v="7"/>
    <n v="870.6"/>
    <n v="469.28"/>
    <n v="1339.88"/>
    <x v="1"/>
    <n v="0"/>
    <n v="89.57"/>
    <n v="483"/>
    <n v="446"/>
  </r>
  <r>
    <s v="O1000919"/>
    <s v="C2198"/>
    <x v="731"/>
    <d v="2022-10-12T00:00:00"/>
    <x v="2"/>
    <x v="4"/>
    <x v="0"/>
    <s v="London"/>
    <s v="OFF-BI-10003638"/>
    <s v="Office Supplies"/>
    <s v="Binders"/>
    <s v="GBC Durable Plastic Covers"/>
    <n v="50.02"/>
    <n v="53"/>
    <s v="S307"/>
    <x v="2"/>
    <s v="W28"/>
    <x v="1"/>
    <s v="Maersk"/>
    <s v="Beijing-Toronto"/>
    <n v="4967"/>
    <n v="242"/>
    <n v="19"/>
    <n v="1965.69"/>
    <n v="407.05"/>
    <n v="2372.7399999999998"/>
    <x v="1"/>
    <n v="0"/>
    <n v="72.900000000000006"/>
    <n v="341"/>
    <n v="388"/>
  </r>
  <r>
    <s v="O1000920"/>
    <s v="C7967"/>
    <x v="554"/>
    <d v="2024-02-15T00:00:00"/>
    <x v="2"/>
    <x v="2"/>
    <x v="1"/>
    <s v="Toronto"/>
    <s v="OFF-PA-10000167"/>
    <s v="Office Supplies"/>
    <s v="Paper"/>
    <s v="Xerox 1925"/>
    <n v="315.48"/>
    <n v="83"/>
    <s v="S545"/>
    <x v="1"/>
    <s v="W1"/>
    <x v="1"/>
    <s v="DHL"/>
    <s v="Toronto-Berlin"/>
    <n v="3507"/>
    <n v="405"/>
    <n v="7"/>
    <n v="1733.66"/>
    <n v="452.26"/>
    <n v="2185.92"/>
    <x v="0"/>
    <n v="9"/>
    <n v="71.02"/>
    <n v="220"/>
    <n v="187"/>
  </r>
  <r>
    <s v="O1000921"/>
    <s v="C4158"/>
    <x v="732"/>
    <d v="2022-02-17T00:00:00"/>
    <x v="2"/>
    <x v="2"/>
    <x v="7"/>
    <s v="Cape Town"/>
    <s v="OFF-PA-10000312"/>
    <s v="Office Supplies"/>
    <s v="Paper"/>
    <s v="Xerox 1955"/>
    <n v="421.83"/>
    <n v="97"/>
    <s v="S852"/>
    <x v="4"/>
    <s v="W30"/>
    <x v="1"/>
    <s v="BlueDart"/>
    <s v="Mumbai-Mumbai"/>
    <n v="1076"/>
    <n v="90"/>
    <n v="2"/>
    <n v="1965.56"/>
    <n v="30.77"/>
    <n v="1996.33"/>
    <x v="1"/>
    <n v="0"/>
    <n v="71.61"/>
    <n v="65"/>
    <n v="49"/>
  </r>
  <r>
    <s v="O1000922"/>
    <s v="C7334"/>
    <x v="733"/>
    <d v="2020-02-17T00:00:00"/>
    <x v="0"/>
    <x v="0"/>
    <x v="2"/>
    <s v="Berlin"/>
    <s v="FUR-TA-10001539"/>
    <s v="Furniture"/>
    <s v="Tables"/>
    <s v="Chromcraft Rectangular Conference Tables"/>
    <n v="54.99"/>
    <n v="38"/>
    <s v="S452"/>
    <x v="0"/>
    <s v="W27"/>
    <x v="3"/>
    <s v="UPS"/>
    <s v="London-São Paulo"/>
    <n v="4451"/>
    <n v="420"/>
    <n v="29"/>
    <n v="1769.2"/>
    <n v="474.26"/>
    <n v="2243.46"/>
    <x v="0"/>
    <n v="1"/>
    <n v="72.53"/>
    <n v="318"/>
    <n v="347"/>
  </r>
  <r>
    <s v="O1000923"/>
    <s v="C1091"/>
    <x v="734"/>
    <d v="2022-11-02T00:00:00"/>
    <x v="1"/>
    <x v="3"/>
    <x v="4"/>
    <s v="New York"/>
    <s v="OFF-BI-10000829"/>
    <s v="Office Supplies"/>
    <s v="Binders"/>
    <s v="Avery Non-Stick Binders"/>
    <n v="196.1"/>
    <n v="62"/>
    <s v="S130"/>
    <x v="0"/>
    <s v="W11"/>
    <x v="1"/>
    <s v="UPS"/>
    <s v="Cape Town-London"/>
    <n v="2620"/>
    <n v="457"/>
    <n v="13"/>
    <n v="1152.77"/>
    <n v="176.89"/>
    <n v="1329.66"/>
    <x v="1"/>
    <n v="0"/>
    <n v="87.77"/>
    <n v="99"/>
    <n v="63"/>
  </r>
  <r>
    <s v="O1000924"/>
    <s v="C3820"/>
    <x v="735"/>
    <d v="2023-01-03T00:00:00"/>
    <x v="1"/>
    <x v="0"/>
    <x v="6"/>
    <s v="New York"/>
    <s v="OFF-FA-10002676"/>
    <s v="Office Supplies"/>
    <s v="Fasteners"/>
    <s v="Colored Push Pins"/>
    <n v="365.79"/>
    <n v="88"/>
    <s v="S204"/>
    <x v="1"/>
    <s v="W20"/>
    <x v="3"/>
    <s v="DHL"/>
    <s v="Mumbai-Cape Town"/>
    <n v="3726"/>
    <n v="380"/>
    <n v="22"/>
    <n v="587.34"/>
    <n v="211.38"/>
    <n v="798.72"/>
    <x v="1"/>
    <n v="0"/>
    <n v="96.4"/>
    <n v="71"/>
    <n v="96"/>
  </r>
  <r>
    <s v="O1000925"/>
    <s v="C6474"/>
    <x v="736"/>
    <d v="2024-11-24T00:00:00"/>
    <x v="1"/>
    <x v="1"/>
    <x v="3"/>
    <s v="Berlin"/>
    <s v="OFF-PA-10000595"/>
    <s v="Office Supplies"/>
    <s v="Paper"/>
    <s v="Xerox 1929"/>
    <n v="396.66"/>
    <n v="29"/>
    <s v="S445"/>
    <x v="0"/>
    <s v="W13"/>
    <x v="1"/>
    <s v="DHL"/>
    <s v="New York-São Paulo"/>
    <n v="1943"/>
    <n v="84"/>
    <n v="20"/>
    <n v="317.86"/>
    <n v="281.14"/>
    <n v="599"/>
    <x v="1"/>
    <n v="0"/>
    <n v="96.26"/>
    <n v="204"/>
    <n v="223"/>
  </r>
  <r>
    <s v="O1000926"/>
    <s v="C5526"/>
    <x v="737"/>
    <d v="2023-02-23T00:00:00"/>
    <x v="2"/>
    <x v="4"/>
    <x v="6"/>
    <s v="Berlin"/>
    <s v="OFF-PA-10001639"/>
    <s v="Office Supplies"/>
    <s v="Paper"/>
    <s v="Xerox 203"/>
    <n v="60.12"/>
    <n v="95"/>
    <s v="S665"/>
    <x v="2"/>
    <s v="W47"/>
    <x v="2"/>
    <s v="UPS"/>
    <s v="Berlin-Beijing"/>
    <n v="206"/>
    <n v="303"/>
    <n v="7"/>
    <n v="682.32"/>
    <n v="28.48"/>
    <n v="710.80000000000007"/>
    <x v="1"/>
    <n v="0"/>
    <n v="96.42"/>
    <n v="260"/>
    <n v="257"/>
  </r>
  <r>
    <s v="O1000927"/>
    <s v="C9430"/>
    <x v="137"/>
    <d v="2024-07-29T00:00:00"/>
    <x v="1"/>
    <x v="1"/>
    <x v="4"/>
    <s v="New York"/>
    <s v="TEC-AC-10000844"/>
    <s v="Technology"/>
    <s v="Accessories"/>
    <s v="Logitech Gaming G510s - Keyboard"/>
    <n v="484.73"/>
    <n v="16"/>
    <s v="S371"/>
    <x v="3"/>
    <s v="W44"/>
    <x v="3"/>
    <s v="Maersk"/>
    <s v="Toronto-Cape Town"/>
    <n v="3380"/>
    <n v="463"/>
    <n v="15"/>
    <n v="253.22"/>
    <n v="421.57"/>
    <n v="674.79"/>
    <x v="1"/>
    <n v="0"/>
    <n v="71.16"/>
    <n v="152"/>
    <n v="189"/>
  </r>
  <r>
    <s v="O1000928"/>
    <s v="C2617"/>
    <x v="134"/>
    <d v="2020-05-21T00:00:00"/>
    <x v="0"/>
    <x v="3"/>
    <x v="5"/>
    <s v="Cape Town"/>
    <s v="FUR-BO-10000711"/>
    <s v="Furniture"/>
    <s v="Bookcases"/>
    <s v="Hon Metal Bookcases, Gray"/>
    <n v="265.82"/>
    <n v="69"/>
    <s v="S542"/>
    <x v="2"/>
    <s v="W7"/>
    <x v="1"/>
    <s v="UPS"/>
    <s v="New York-Cape Town"/>
    <n v="3316"/>
    <n v="375"/>
    <n v="19"/>
    <n v="1833.75"/>
    <n v="321.97000000000003"/>
    <n v="2155.7199999999998"/>
    <x v="1"/>
    <n v="0"/>
    <n v="87.47"/>
    <n v="431"/>
    <n v="413"/>
  </r>
  <r>
    <s v="O1000929"/>
    <s v="C2448"/>
    <x v="738"/>
    <d v="2024-11-05T00:00:00"/>
    <x v="2"/>
    <x v="4"/>
    <x v="1"/>
    <s v="New York"/>
    <s v="FUR-FU-10000723"/>
    <s v="Furniture"/>
    <s v="Furnishings"/>
    <s v="Deflect-o EconoMat Studded, No Bevel Mat for Low Pile Carpeting"/>
    <n v="219.79"/>
    <n v="88"/>
    <s v="S621"/>
    <x v="2"/>
    <s v="W14"/>
    <x v="1"/>
    <s v="BlueDart"/>
    <s v="Toronto-Cape Town"/>
    <n v="2266"/>
    <n v="424"/>
    <n v="23"/>
    <n v="252.79"/>
    <n v="141.58000000000001"/>
    <n v="394.37"/>
    <x v="1"/>
    <n v="0"/>
    <n v="77.709999999999994"/>
    <n v="119"/>
    <n v="69"/>
  </r>
  <r>
    <s v="O1000930"/>
    <s v="C5436"/>
    <x v="435"/>
    <d v="2022-09-02T00:00:00"/>
    <x v="2"/>
    <x v="4"/>
    <x v="7"/>
    <s v="Beijing"/>
    <s v="OFF-AR-10004930"/>
    <s v="Office Supplies"/>
    <s v="Art"/>
    <s v="Turquoise Lead Holder with Pocket Clip"/>
    <n v="311.38"/>
    <n v="22"/>
    <s v="S141"/>
    <x v="1"/>
    <s v="W48"/>
    <x v="1"/>
    <s v="UPS"/>
    <s v="Beijing-Toronto"/>
    <n v="107"/>
    <n v="167"/>
    <n v="19"/>
    <n v="540.04999999999995"/>
    <n v="177.57"/>
    <n v="717.61999999999989"/>
    <x v="1"/>
    <n v="0"/>
    <n v="89.69"/>
    <n v="405"/>
    <n v="409"/>
  </r>
  <r>
    <s v="O1000931"/>
    <s v="C4892"/>
    <x v="739"/>
    <d v="2023-12-19T00:00:00"/>
    <x v="1"/>
    <x v="4"/>
    <x v="4"/>
    <s v="Mumbai"/>
    <s v="OFF-BI-10000632"/>
    <s v="Office Supplies"/>
    <s v="Binders"/>
    <s v="Satellite Sectional Post Binders"/>
    <n v="300.3"/>
    <n v="10"/>
    <s v="S595"/>
    <x v="2"/>
    <s v="W7"/>
    <x v="3"/>
    <s v="UPS"/>
    <s v="Toronto-London"/>
    <n v="4358"/>
    <n v="396"/>
    <n v="20"/>
    <n v="344.02"/>
    <n v="102.85"/>
    <n v="446.87"/>
    <x v="0"/>
    <n v="1"/>
    <n v="87.33"/>
    <n v="76"/>
    <n v="90"/>
  </r>
  <r>
    <s v="O1000932"/>
    <s v="C4829"/>
    <x v="505"/>
    <d v="2022-09-12T00:00:00"/>
    <x v="2"/>
    <x v="2"/>
    <x v="3"/>
    <s v="São Paulo"/>
    <s v="OFF-BI-10001718"/>
    <s v="Office Supplies"/>
    <s v="Binders"/>
    <s v="GBC DocuBind P50 Personal Binding Machine"/>
    <n v="54.81"/>
    <n v="21"/>
    <s v="S544"/>
    <x v="1"/>
    <s v="W38"/>
    <x v="2"/>
    <s v="UPS"/>
    <s v="São Paulo-São Paulo"/>
    <n v="3913"/>
    <n v="350"/>
    <n v="9"/>
    <n v="218.57"/>
    <n v="155.66999999999999"/>
    <n v="374.24"/>
    <x v="1"/>
    <n v="0"/>
    <n v="99.8"/>
    <n v="467"/>
    <n v="477"/>
  </r>
  <r>
    <s v="O1000933"/>
    <s v="C7329"/>
    <x v="740"/>
    <d v="2020-02-18T00:00:00"/>
    <x v="2"/>
    <x v="3"/>
    <x v="4"/>
    <s v="London"/>
    <s v="OFF-ST-10000991"/>
    <s v="Office Supplies"/>
    <s v="Storage"/>
    <s v="Space Solutions HD Industrial Steel Shelving."/>
    <n v="195.8"/>
    <n v="57"/>
    <s v="S520"/>
    <x v="3"/>
    <s v="W13"/>
    <x v="0"/>
    <s v="Maersk"/>
    <s v="Mumbai-Toronto"/>
    <n v="315"/>
    <n v="293"/>
    <n v="18"/>
    <n v="1651.03"/>
    <n v="437.19"/>
    <n v="2088.2199999999998"/>
    <x v="1"/>
    <n v="0"/>
    <n v="81.599999999999994"/>
    <n v="90"/>
    <n v="92"/>
  </r>
  <r>
    <s v="O1000934"/>
    <s v="C4902"/>
    <x v="741"/>
    <d v="2020-10-30T00:00:00"/>
    <x v="2"/>
    <x v="2"/>
    <x v="3"/>
    <s v="London"/>
    <s v="OFF-SU-10004768"/>
    <s v="Office Supplies"/>
    <s v="Supplies"/>
    <s v="Acme Kleencut Forged Steel Scissors"/>
    <n v="377.04"/>
    <n v="30"/>
    <s v="S311"/>
    <x v="1"/>
    <s v="W20"/>
    <x v="1"/>
    <s v="UPS"/>
    <s v="Beijing-London"/>
    <n v="2596"/>
    <n v="377"/>
    <n v="2"/>
    <n v="381.06"/>
    <n v="406.53"/>
    <n v="787.58999999999992"/>
    <x v="1"/>
    <n v="0"/>
    <n v="95.56"/>
    <n v="404"/>
    <n v="389"/>
  </r>
  <r>
    <s v="O1000935"/>
    <s v="C7630"/>
    <x v="124"/>
    <d v="2020-08-31T00:00:00"/>
    <x v="2"/>
    <x v="1"/>
    <x v="0"/>
    <s v="Mumbai"/>
    <s v="OFF-BI-10003925"/>
    <s v="Office Supplies"/>
    <s v="Binders"/>
    <s v="Fellowes PB300 Plastic Comb Binding Machine"/>
    <n v="150.91999999999999"/>
    <n v="55"/>
    <s v="S967"/>
    <x v="3"/>
    <s v="W28"/>
    <x v="1"/>
    <s v="DHL"/>
    <s v="Toronto-Toronto"/>
    <n v="4607"/>
    <n v="302"/>
    <n v="11"/>
    <n v="1843.07"/>
    <n v="413.21"/>
    <n v="2256.2800000000002"/>
    <x v="1"/>
    <n v="0"/>
    <n v="90.73"/>
    <n v="150"/>
    <n v="148"/>
  </r>
  <r>
    <s v="O1000936"/>
    <s v="C2616"/>
    <x v="742"/>
    <d v="2021-06-26T00:00:00"/>
    <x v="1"/>
    <x v="1"/>
    <x v="6"/>
    <s v="London"/>
    <s v="OFF-PA-10000552"/>
    <s v="Office Supplies"/>
    <s v="Paper"/>
    <s v="Xerox 200"/>
    <n v="82.84"/>
    <n v="64"/>
    <s v="S982"/>
    <x v="3"/>
    <s v="W44"/>
    <x v="1"/>
    <s v="Maersk"/>
    <s v="São Paulo-London"/>
    <n v="486"/>
    <n v="366"/>
    <n v="11"/>
    <n v="307.41000000000003"/>
    <n v="220.38"/>
    <n v="527.79"/>
    <x v="1"/>
    <n v="0"/>
    <n v="83.45"/>
    <n v="57"/>
    <n v="82"/>
  </r>
  <r>
    <s v="O1000937"/>
    <s v="C9768"/>
    <x v="136"/>
    <d v="2022-11-29T00:00:00"/>
    <x v="1"/>
    <x v="4"/>
    <x v="0"/>
    <s v="New York"/>
    <s v="FUR-CH-10001797"/>
    <s v="Furniture"/>
    <s v="Chairs"/>
    <s v="Safco Chair Connectors, 6/Carton"/>
    <n v="494.92"/>
    <n v="76"/>
    <s v="S237"/>
    <x v="2"/>
    <s v="W19"/>
    <x v="2"/>
    <s v="Maersk"/>
    <s v="Cape Town-São Paulo"/>
    <n v="3190"/>
    <n v="340"/>
    <n v="5"/>
    <n v="1138.3599999999999"/>
    <n v="195.46"/>
    <n v="1333.82"/>
    <x v="1"/>
    <n v="0"/>
    <n v="71.08"/>
    <n v="289"/>
    <n v="267"/>
  </r>
  <r>
    <s v="O1000938"/>
    <s v="C5208"/>
    <x v="743"/>
    <d v="2020-07-18T00:00:00"/>
    <x v="2"/>
    <x v="1"/>
    <x v="3"/>
    <s v="São Paulo"/>
    <s v="FUR-CH-10004495"/>
    <s v="Furniture"/>
    <s v="Chairs"/>
    <s v="Global Leather and Oak Executive Chair, Black"/>
    <n v="97.65"/>
    <n v="64"/>
    <s v="S571"/>
    <x v="0"/>
    <s v="W25"/>
    <x v="1"/>
    <s v="UPS"/>
    <s v="Cape Town-New York"/>
    <n v="4315"/>
    <n v="62"/>
    <n v="23"/>
    <n v="553.94000000000005"/>
    <n v="296.39999999999998"/>
    <n v="850.34"/>
    <x v="1"/>
    <n v="0"/>
    <n v="71.760000000000005"/>
    <n v="413"/>
    <n v="434"/>
  </r>
  <r>
    <s v="O1000939"/>
    <s v="C9659"/>
    <x v="153"/>
    <d v="2024-09-13T00:00:00"/>
    <x v="1"/>
    <x v="0"/>
    <x v="5"/>
    <s v="New York"/>
    <s v="OFF-BI-10001359"/>
    <s v="Office Supplies"/>
    <s v="Binders"/>
    <s v="GBC DocuBind TL300 Electric Binding System"/>
    <n v="383.46"/>
    <n v="8"/>
    <s v="S273"/>
    <x v="0"/>
    <s v="W20"/>
    <x v="2"/>
    <s v="FedEx"/>
    <s v="Mumbai-London"/>
    <n v="4941"/>
    <n v="210"/>
    <n v="22"/>
    <n v="73.430000000000007"/>
    <n v="12.91"/>
    <n v="86.34"/>
    <x v="0"/>
    <n v="4"/>
    <n v="72.430000000000007"/>
    <n v="214"/>
    <n v="262"/>
  </r>
  <r>
    <s v="O1000940"/>
    <s v="C4471"/>
    <x v="744"/>
    <d v="2024-03-26T00:00:00"/>
    <x v="1"/>
    <x v="2"/>
    <x v="2"/>
    <s v="Toronto"/>
    <s v="OFF-PA-10000246"/>
    <s v="Office Supplies"/>
    <s v="Paper"/>
    <s v="Riverleaf Stik-Withit Designer Note Cubes"/>
    <n v="262.95"/>
    <n v="16"/>
    <s v="S165"/>
    <x v="4"/>
    <s v="W11"/>
    <x v="3"/>
    <s v="UPS"/>
    <s v="Mumbai-New York"/>
    <n v="2013"/>
    <n v="385"/>
    <n v="8"/>
    <n v="1435.07"/>
    <n v="227.76"/>
    <n v="1662.83"/>
    <x v="1"/>
    <n v="0"/>
    <n v="73.150000000000006"/>
    <n v="155"/>
    <n v="138"/>
  </r>
  <r>
    <s v="O1000941"/>
    <s v="C4726"/>
    <x v="265"/>
    <d v="2024-05-24T00:00:00"/>
    <x v="2"/>
    <x v="4"/>
    <x v="2"/>
    <s v="London"/>
    <s v="OFF-AR-10002804"/>
    <s v="Office Supplies"/>
    <s v="Art"/>
    <s v="Faber Castell Col-Erase Pencils"/>
    <n v="250.58"/>
    <n v="47"/>
    <s v="S133"/>
    <x v="0"/>
    <s v="W31"/>
    <x v="1"/>
    <s v="UPS"/>
    <s v="Mumbai-London"/>
    <n v="900"/>
    <n v="362"/>
    <n v="22"/>
    <n v="156.79"/>
    <n v="497.64"/>
    <n v="654.42999999999995"/>
    <x v="1"/>
    <n v="0"/>
    <n v="77.400000000000006"/>
    <n v="462"/>
    <n v="413"/>
  </r>
  <r>
    <s v="O1000942"/>
    <s v="C5669"/>
    <x v="745"/>
    <d v="2022-02-06T00:00:00"/>
    <x v="2"/>
    <x v="0"/>
    <x v="6"/>
    <s v="Toronto"/>
    <s v="OFF-PA-10001846"/>
    <s v="Office Supplies"/>
    <s v="Paper"/>
    <s v="Xerox 1899"/>
    <n v="208.41"/>
    <n v="27"/>
    <s v="S340"/>
    <x v="4"/>
    <s v="W20"/>
    <x v="3"/>
    <s v="FedEx"/>
    <s v="Mumbai-Toronto"/>
    <n v="4209"/>
    <n v="150"/>
    <n v="13"/>
    <n v="51.27"/>
    <n v="386.15"/>
    <n v="437.42"/>
    <x v="1"/>
    <n v="0"/>
    <n v="72.61"/>
    <n v="103"/>
    <n v="80"/>
  </r>
  <r>
    <s v="O1000943"/>
    <s v="C3813"/>
    <x v="746"/>
    <d v="2024-07-04T00:00:00"/>
    <x v="2"/>
    <x v="0"/>
    <x v="3"/>
    <s v="São Paulo"/>
    <s v="OFF-SU-10003936"/>
    <s v="Office Supplies"/>
    <s v="Supplies"/>
    <s v="Acme Serrated Blade Letter Opener"/>
    <n v="443.9"/>
    <n v="15"/>
    <s v="S294"/>
    <x v="4"/>
    <s v="W46"/>
    <x v="2"/>
    <s v="BlueDart"/>
    <s v="London-Beijing"/>
    <n v="2453"/>
    <n v="307"/>
    <n v="14"/>
    <n v="115.92"/>
    <n v="229.01"/>
    <n v="344.93"/>
    <x v="1"/>
    <n v="0"/>
    <n v="96.52"/>
    <n v="350"/>
    <n v="395"/>
  </r>
  <r>
    <s v="O1000944"/>
    <s v="C3415"/>
    <x v="747"/>
    <d v="2024-11-30T00:00:00"/>
    <x v="2"/>
    <x v="4"/>
    <x v="7"/>
    <s v="Beijing"/>
    <s v="FUR-FU-10003274"/>
    <s v="Furniture"/>
    <s v="Furnishings"/>
    <s v="Regeneration Desk Collection"/>
    <n v="331.87"/>
    <n v="99"/>
    <s v="S133"/>
    <x v="3"/>
    <s v="W13"/>
    <x v="1"/>
    <s v="UPS"/>
    <s v="São Paulo-London"/>
    <n v="4721"/>
    <n v="420"/>
    <n v="16"/>
    <n v="1586.92"/>
    <n v="187.47"/>
    <n v="1774.39"/>
    <x v="1"/>
    <n v="0"/>
    <n v="80.849999999999994"/>
    <n v="295"/>
    <n v="331"/>
  </r>
  <r>
    <s v="O1000945"/>
    <s v="C6860"/>
    <x v="748"/>
    <d v="2024-02-14T00:00:00"/>
    <x v="2"/>
    <x v="2"/>
    <x v="6"/>
    <s v="London"/>
    <s v="OFF-BI-10001575"/>
    <s v="Office Supplies"/>
    <s v="Binders"/>
    <s v="GBC Linen Binding Covers"/>
    <n v="497.46"/>
    <n v="55"/>
    <s v="S695"/>
    <x v="0"/>
    <s v="W21"/>
    <x v="1"/>
    <s v="DHL"/>
    <s v="Cape Town-New York"/>
    <n v="2139"/>
    <n v="401"/>
    <n v="8"/>
    <n v="1017.78"/>
    <n v="372.65"/>
    <n v="1390.43"/>
    <x v="1"/>
    <n v="0"/>
    <n v="72.03"/>
    <n v="435"/>
    <n v="471"/>
  </r>
  <r>
    <s v="O1000946"/>
    <s v="C7917"/>
    <x v="749"/>
    <d v="2022-07-10T00:00:00"/>
    <x v="1"/>
    <x v="2"/>
    <x v="1"/>
    <s v="Cape Town"/>
    <s v="OFF-PA-10000019"/>
    <s v="Office Supplies"/>
    <s v="Paper"/>
    <s v="Xerox 1931"/>
    <n v="43.93"/>
    <n v="95"/>
    <s v="S593"/>
    <x v="3"/>
    <s v="W2"/>
    <x v="3"/>
    <s v="DHL"/>
    <s v="London-New York"/>
    <n v="3912"/>
    <n v="360"/>
    <n v="21"/>
    <n v="758.72"/>
    <n v="55.05"/>
    <n v="813.77"/>
    <x v="1"/>
    <n v="0"/>
    <n v="95.2"/>
    <n v="457"/>
    <n v="424"/>
  </r>
  <r>
    <s v="O1000947"/>
    <s v="C7602"/>
    <x v="392"/>
    <d v="2023-11-28T00:00:00"/>
    <x v="2"/>
    <x v="3"/>
    <x v="4"/>
    <s v="New York"/>
    <s v="OFF-PA-10001125"/>
    <s v="Office Supplies"/>
    <s v="Paper"/>
    <s v="Xerox 1988"/>
    <n v="168.55"/>
    <n v="67"/>
    <s v="S500"/>
    <x v="3"/>
    <s v="W2"/>
    <x v="2"/>
    <s v="DHL"/>
    <s v="London-São Paulo"/>
    <n v="2884"/>
    <n v="253"/>
    <n v="6"/>
    <n v="465.77"/>
    <n v="326.10000000000002"/>
    <n v="791.87"/>
    <x v="1"/>
    <n v="0"/>
    <n v="92.3"/>
    <n v="233"/>
    <n v="222"/>
  </r>
  <r>
    <s v="O1000948"/>
    <s v="C9865"/>
    <x v="750"/>
    <d v="2023-02-04T00:00:00"/>
    <x v="2"/>
    <x v="0"/>
    <x v="4"/>
    <s v="Toronto"/>
    <s v="OFF-PA-10001837"/>
    <s v="Office Supplies"/>
    <s v="Paper"/>
    <s v="Xerox 1976"/>
    <n v="416.11"/>
    <n v="32"/>
    <s v="S904"/>
    <x v="2"/>
    <s v="W9"/>
    <x v="2"/>
    <s v="BlueDart"/>
    <s v="Toronto-Cape Town"/>
    <n v="3565"/>
    <n v="115"/>
    <n v="29"/>
    <n v="688.84"/>
    <n v="450.86"/>
    <n v="1139.7"/>
    <x v="1"/>
    <n v="0"/>
    <n v="93"/>
    <n v="58"/>
    <n v="93"/>
  </r>
  <r>
    <s v="O1000949"/>
    <s v="C5849"/>
    <x v="320"/>
    <d v="2022-12-16T00:00:00"/>
    <x v="1"/>
    <x v="0"/>
    <x v="5"/>
    <s v="London"/>
    <s v="OFF-PA-10001934"/>
    <s v="Office Supplies"/>
    <s v="Paper"/>
    <s v="Xerox 1993"/>
    <n v="247.82"/>
    <n v="51"/>
    <s v="S839"/>
    <x v="2"/>
    <s v="W47"/>
    <x v="3"/>
    <s v="DHL"/>
    <s v="Berlin-Toronto"/>
    <n v="2814"/>
    <n v="132"/>
    <n v="21"/>
    <n v="411.77"/>
    <n v="237.88"/>
    <n v="649.65"/>
    <x v="1"/>
    <n v="0"/>
    <n v="97.46"/>
    <n v="391"/>
    <n v="360"/>
  </r>
  <r>
    <s v="O1000950"/>
    <s v="C4808"/>
    <x v="395"/>
    <d v="2020-10-11T00:00:00"/>
    <x v="0"/>
    <x v="3"/>
    <x v="1"/>
    <s v="Mumbai"/>
    <s v="OFF-PA-10003936"/>
    <s v="Office Supplies"/>
    <s v="Paper"/>
    <s v="Xerox 1994"/>
    <n v="411.55"/>
    <n v="29"/>
    <s v="S941"/>
    <x v="3"/>
    <s v="W48"/>
    <x v="3"/>
    <s v="Maersk"/>
    <s v="London-Beijing"/>
    <n v="3264"/>
    <n v="378"/>
    <n v="3"/>
    <n v="1306.67"/>
    <n v="370.17"/>
    <n v="1676.84"/>
    <x v="1"/>
    <n v="0"/>
    <n v="92.4"/>
    <n v="235"/>
    <n v="223"/>
  </r>
  <r>
    <s v="O1000951"/>
    <s v="C2022"/>
    <x v="650"/>
    <d v="2023-11-28T00:00:00"/>
    <x v="2"/>
    <x v="1"/>
    <x v="5"/>
    <s v="Berlin"/>
    <s v="OFF-PA-10004530"/>
    <s v="Office Supplies"/>
    <s v="Paper"/>
    <s v="Personal Creations Ink Jet Cards and Labels"/>
    <n v="192.76"/>
    <n v="34"/>
    <s v="S982"/>
    <x v="0"/>
    <s v="W13"/>
    <x v="2"/>
    <s v="FedEx"/>
    <s v="Toronto-Toronto"/>
    <n v="1298"/>
    <n v="155"/>
    <n v="19"/>
    <n v="571.04999999999995"/>
    <n v="323.77"/>
    <n v="894.81999999999994"/>
    <x v="1"/>
    <n v="0"/>
    <n v="77.86"/>
    <n v="217"/>
    <n v="253"/>
  </r>
  <r>
    <s v="O1000952"/>
    <s v="C8568"/>
    <x v="751"/>
    <d v="2020-09-17T00:00:00"/>
    <x v="1"/>
    <x v="2"/>
    <x v="3"/>
    <s v="Toronto"/>
    <s v="OFF-SU-10004661"/>
    <s v="Office Supplies"/>
    <s v="Supplies"/>
    <s v="Acme Titanium Bonded Scissors"/>
    <n v="364.74"/>
    <n v="93"/>
    <s v="S438"/>
    <x v="4"/>
    <s v="W39"/>
    <x v="3"/>
    <s v="FedEx"/>
    <s v="Toronto-São Paulo"/>
    <n v="232"/>
    <n v="61"/>
    <n v="21"/>
    <n v="396.62"/>
    <n v="16.88"/>
    <n v="413.5"/>
    <x v="0"/>
    <n v="13"/>
    <n v="71.67"/>
    <n v="255"/>
    <n v="237"/>
  </r>
  <r>
    <s v="O1000953"/>
    <s v="C8101"/>
    <x v="752"/>
    <d v="2023-04-07T00:00:00"/>
    <x v="0"/>
    <x v="4"/>
    <x v="6"/>
    <s v="Mumbai"/>
    <s v="TEC-PH-10000149"/>
    <s v="Technology"/>
    <s v="Phones"/>
    <s v="Cisco SPA525G2 IP Phone - Wireless"/>
    <n v="102.28"/>
    <n v="70"/>
    <s v="S417"/>
    <x v="3"/>
    <s v="W4"/>
    <x v="2"/>
    <s v="DHL"/>
    <s v="Toronto-Cape Town"/>
    <n v="2331"/>
    <n v="455"/>
    <n v="29"/>
    <n v="115.24"/>
    <n v="348.77"/>
    <n v="464.01"/>
    <x v="1"/>
    <n v="0"/>
    <n v="77.5"/>
    <n v="76"/>
    <n v="49"/>
  </r>
  <r>
    <s v="O1000954"/>
    <s v="C8649"/>
    <x v="30"/>
    <d v="2024-04-19T00:00:00"/>
    <x v="0"/>
    <x v="4"/>
    <x v="0"/>
    <s v="New York"/>
    <s v="FUR-FU-10004586"/>
    <s v="Furniture"/>
    <s v="Furnishings"/>
    <s v="G.E. Longer-Life Indoor Recessed Floodlight Bulbs"/>
    <n v="122.9"/>
    <n v="49"/>
    <s v="S427"/>
    <x v="2"/>
    <s v="W31"/>
    <x v="1"/>
    <s v="Maersk"/>
    <s v="London-Berlin"/>
    <n v="4826"/>
    <n v="445"/>
    <n v="2"/>
    <n v="1506.22"/>
    <n v="415.71"/>
    <n v="1921.93"/>
    <x v="1"/>
    <n v="0"/>
    <n v="93.71"/>
    <n v="385"/>
    <n v="359"/>
  </r>
  <r>
    <s v="O1000955"/>
    <s v="C2747"/>
    <x v="753"/>
    <d v="2023-06-02T00:00:00"/>
    <x v="2"/>
    <x v="0"/>
    <x v="0"/>
    <s v="Berlin"/>
    <s v="OFF-BI-10001116"/>
    <s v="Office Supplies"/>
    <s v="Binders"/>
    <s v="Wilson Jones 1&quot; Hanging DublLock Ring Binders"/>
    <n v="280.18"/>
    <n v="73"/>
    <s v="S478"/>
    <x v="2"/>
    <s v="W43"/>
    <x v="1"/>
    <s v="Maersk"/>
    <s v="London-London"/>
    <n v="1084"/>
    <n v="341"/>
    <n v="3"/>
    <n v="361.63"/>
    <n v="96.46"/>
    <n v="458.09"/>
    <x v="1"/>
    <n v="0"/>
    <n v="73.05"/>
    <n v="85"/>
    <n v="99"/>
  </r>
  <r>
    <s v="O1000956"/>
    <s v="C9783"/>
    <x v="754"/>
    <d v="2022-01-06T00:00:00"/>
    <x v="2"/>
    <x v="2"/>
    <x v="4"/>
    <s v="Toronto"/>
    <s v="OFF-BI-10002799"/>
    <s v="Office Supplies"/>
    <s v="Binders"/>
    <s v="SlimView Poly Binder, 3/8&quot;"/>
    <n v="298.05"/>
    <n v="86"/>
    <s v="S751"/>
    <x v="4"/>
    <s v="W25"/>
    <x v="2"/>
    <s v="BlueDart"/>
    <s v="Mumbai-New York"/>
    <n v="1027"/>
    <n v="335"/>
    <n v="14"/>
    <n v="1569.81"/>
    <n v="176.54"/>
    <n v="1746.35"/>
    <x v="1"/>
    <n v="0"/>
    <n v="85.02"/>
    <n v="69"/>
    <n v="80"/>
  </r>
  <r>
    <s v="O1000957"/>
    <s v="C7492"/>
    <x v="755"/>
    <d v="2021-10-01T00:00:00"/>
    <x v="2"/>
    <x v="2"/>
    <x v="6"/>
    <s v="Toronto"/>
    <s v="OFF-SU-10004661"/>
    <s v="Office Supplies"/>
    <s v="Supplies"/>
    <s v="Acme Titanium Bonded Scissors"/>
    <n v="269.68"/>
    <n v="11"/>
    <s v="S767"/>
    <x v="4"/>
    <s v="W1"/>
    <x v="1"/>
    <s v="Maersk"/>
    <s v="Berlin-New York"/>
    <n v="1498"/>
    <n v="499"/>
    <n v="14"/>
    <n v="618.92999999999995"/>
    <n v="453.35"/>
    <n v="1072.28"/>
    <x v="1"/>
    <n v="0"/>
    <n v="83.21"/>
    <n v="212"/>
    <n v="186"/>
  </r>
  <r>
    <s v="O1000958"/>
    <s v="C6397"/>
    <x v="50"/>
    <d v="2022-08-10T00:00:00"/>
    <x v="1"/>
    <x v="1"/>
    <x v="2"/>
    <s v="São Paulo"/>
    <s v="FUR-FU-10000771"/>
    <s v="Furniture"/>
    <s v="Furnishings"/>
    <s v="Eldon 200 Class Desk Accessories, Smoke"/>
    <n v="224.88"/>
    <n v="59"/>
    <s v="S316"/>
    <x v="1"/>
    <s v="W44"/>
    <x v="1"/>
    <s v="Maersk"/>
    <s v="Berlin-Toronto"/>
    <n v="2977"/>
    <n v="68"/>
    <n v="2"/>
    <n v="608.41"/>
    <n v="253.24"/>
    <n v="861.65"/>
    <x v="1"/>
    <n v="0"/>
    <n v="79.45"/>
    <n v="266"/>
    <n v="290"/>
  </r>
  <r>
    <s v="O1000959"/>
    <s v="C9052"/>
    <x v="299"/>
    <d v="2021-03-09T00:00:00"/>
    <x v="2"/>
    <x v="4"/>
    <x v="3"/>
    <s v="London"/>
    <s v="OFF-BI-10001982"/>
    <s v="Office Supplies"/>
    <s v="Binders"/>
    <s v="Wilson Jones Custom Binder Spines &amp; Labels"/>
    <n v="408.95"/>
    <n v="11"/>
    <s v="S840"/>
    <x v="4"/>
    <s v="W45"/>
    <x v="2"/>
    <s v="FedEx"/>
    <s v="Beijing-London"/>
    <n v="429"/>
    <n v="445"/>
    <n v="1"/>
    <n v="1888.19"/>
    <n v="383.28"/>
    <n v="2271.4699999999998"/>
    <x v="1"/>
    <n v="0"/>
    <n v="74.989999999999995"/>
    <n v="122"/>
    <n v="113"/>
  </r>
  <r>
    <s v="O1000960"/>
    <s v="C9446"/>
    <x v="538"/>
    <d v="2021-10-12T00:00:00"/>
    <x v="1"/>
    <x v="2"/>
    <x v="2"/>
    <s v="New York"/>
    <s v="OFF-BI-10002103"/>
    <s v="Office Supplies"/>
    <s v="Binders"/>
    <s v="Cardinal Slant-D Ring Binder, Heavy Gauge Vinyl"/>
    <n v="374.12"/>
    <n v="60"/>
    <s v="S621"/>
    <x v="0"/>
    <s v="W27"/>
    <x v="0"/>
    <s v="FedEx"/>
    <s v="Berlin-Berlin"/>
    <n v="4303"/>
    <n v="116"/>
    <n v="3"/>
    <n v="500.63"/>
    <n v="342.67"/>
    <n v="843.3"/>
    <x v="1"/>
    <n v="0"/>
    <n v="99.2"/>
    <n v="271"/>
    <n v="316"/>
  </r>
  <r>
    <s v="O1000961"/>
    <s v="C3745"/>
    <x v="756"/>
    <d v="2024-03-14T00:00:00"/>
    <x v="2"/>
    <x v="4"/>
    <x v="3"/>
    <s v="São Paulo"/>
    <s v="OFF-BI-10002133"/>
    <s v="Office Supplies"/>
    <s v="Binders"/>
    <s v="Wilson Jones Elliptical Ring 3 1/2&quot; Capacity Binders, 800 sheets"/>
    <n v="486.45"/>
    <n v="45"/>
    <s v="S158"/>
    <x v="1"/>
    <s v="W32"/>
    <x v="2"/>
    <s v="UPS"/>
    <s v="Cape Town-Beijing"/>
    <n v="3028"/>
    <n v="66"/>
    <n v="8"/>
    <n v="619.6"/>
    <n v="378.57"/>
    <n v="998.17000000000007"/>
    <x v="1"/>
    <n v="0"/>
    <n v="93.07"/>
    <n v="274"/>
    <n v="313"/>
  </r>
  <r>
    <s v="O1000962"/>
    <s v="C1722"/>
    <x v="757"/>
    <d v="2022-01-14T00:00:00"/>
    <x v="2"/>
    <x v="1"/>
    <x v="1"/>
    <s v="London"/>
    <s v="OFF-BI-10002225"/>
    <s v="Office Supplies"/>
    <s v="Binders"/>
    <s v="Square Ring Data Binders, Rigid 75 Pt. Covers, 11&quot; x 14-7/8&quot;"/>
    <n v="315.58"/>
    <n v="16"/>
    <s v="S220"/>
    <x v="2"/>
    <s v="W18"/>
    <x v="2"/>
    <s v="BlueDart"/>
    <s v="Mumbai-Mumbai"/>
    <n v="3568"/>
    <n v="391"/>
    <n v="29"/>
    <n v="1081.3399999999999"/>
    <n v="288.02999999999997"/>
    <n v="1369.37"/>
    <x v="1"/>
    <n v="0"/>
    <n v="98.73"/>
    <n v="362"/>
    <n v="369"/>
  </r>
  <r>
    <s v="O1000963"/>
    <s v="C7538"/>
    <x v="758"/>
    <d v="2022-03-01T00:00:00"/>
    <x v="1"/>
    <x v="2"/>
    <x v="7"/>
    <s v="Toronto"/>
    <s v="OFF-BI-10004141"/>
    <s v="Office Supplies"/>
    <s v="Binders"/>
    <s v="Insertable Tab Indexes For Data Binders"/>
    <n v="424.23"/>
    <n v="17"/>
    <s v="S166"/>
    <x v="2"/>
    <s v="W5"/>
    <x v="3"/>
    <s v="Maersk"/>
    <s v="Cape Town-Beijing"/>
    <n v="3716"/>
    <n v="435"/>
    <n v="8"/>
    <n v="1809.97"/>
    <n v="388.51"/>
    <n v="2198.48"/>
    <x v="1"/>
    <n v="0"/>
    <n v="88.2"/>
    <n v="244"/>
    <n v="252"/>
  </r>
  <r>
    <s v="O1000964"/>
    <s v="C7991"/>
    <x v="759"/>
    <d v="2021-07-21T00:00:00"/>
    <x v="2"/>
    <x v="2"/>
    <x v="5"/>
    <s v="São Paulo"/>
    <s v="OFF-EN-10002504"/>
    <s v="Office Supplies"/>
    <s v="Envelopes"/>
    <s v="Tyvek  Top-Opening Peel &amp; Seel Envelopes, Plain White"/>
    <n v="453.46"/>
    <n v="95"/>
    <s v="S840"/>
    <x v="0"/>
    <s v="W27"/>
    <x v="1"/>
    <s v="BlueDart"/>
    <s v="Mumbai-Toronto"/>
    <n v="1391"/>
    <n v="319"/>
    <n v="22"/>
    <n v="991.92"/>
    <n v="489.05"/>
    <n v="1480.97"/>
    <x v="1"/>
    <n v="0"/>
    <n v="76.77"/>
    <n v="237"/>
    <n v="260"/>
  </r>
  <r>
    <s v="O1000965"/>
    <s v="C4358"/>
    <x v="760"/>
    <d v="2023-10-16T00:00:00"/>
    <x v="2"/>
    <x v="3"/>
    <x v="6"/>
    <s v="London"/>
    <s v="OFF-EN-10002600"/>
    <s v="Office Supplies"/>
    <s v="Envelopes"/>
    <s v="Redi-Strip #10 Envelopes, 4 1/8 x 9 1/2"/>
    <n v="323.27"/>
    <n v="40"/>
    <s v="S381"/>
    <x v="0"/>
    <s v="W2"/>
    <x v="3"/>
    <s v="BlueDart"/>
    <s v="Mumbai-London"/>
    <n v="39"/>
    <n v="96"/>
    <n v="6"/>
    <n v="1411.31"/>
    <n v="196.01"/>
    <n v="1607.32"/>
    <x v="1"/>
    <n v="0"/>
    <n v="94.09"/>
    <n v="359"/>
    <n v="367"/>
  </r>
  <r>
    <s v="O1000966"/>
    <s v="C2821"/>
    <x v="761"/>
    <d v="2022-04-30T00:00:00"/>
    <x v="2"/>
    <x v="1"/>
    <x v="4"/>
    <s v="São Paulo"/>
    <s v="OFF-FA-10000621"/>
    <s v="Office Supplies"/>
    <s v="Fasteners"/>
    <s v="OIC Colored Binder Clips, Assorted Sizes"/>
    <n v="458.37"/>
    <n v="92"/>
    <s v="S214"/>
    <x v="2"/>
    <s v="W47"/>
    <x v="3"/>
    <s v="DHL"/>
    <s v="New York-São Paulo"/>
    <n v="4666"/>
    <n v="139"/>
    <n v="18"/>
    <n v="614.35"/>
    <n v="150.32"/>
    <n v="764.67000000000007"/>
    <x v="1"/>
    <n v="0"/>
    <n v="93.31"/>
    <n v="434"/>
    <n v="476"/>
  </r>
  <r>
    <s v="O1000967"/>
    <s v="C9466"/>
    <x v="415"/>
    <d v="2023-11-09T00:00:00"/>
    <x v="1"/>
    <x v="2"/>
    <x v="7"/>
    <s v="Beijing"/>
    <s v="OFF-PA-10004965"/>
    <s v="Office Supplies"/>
    <s v="Paper"/>
    <s v="Xerox 1921"/>
    <n v="26.12"/>
    <n v="18"/>
    <s v="S716"/>
    <x v="1"/>
    <s v="W41"/>
    <x v="1"/>
    <s v="Maersk"/>
    <s v="São Paulo-London"/>
    <n v="3538"/>
    <n v="286"/>
    <n v="26"/>
    <n v="1578.39"/>
    <n v="224.91"/>
    <n v="1803.3"/>
    <x v="1"/>
    <n v="0"/>
    <n v="77.09"/>
    <n v="143"/>
    <n v="184"/>
  </r>
  <r>
    <s v="O1000968"/>
    <s v="C6447"/>
    <x v="762"/>
    <d v="2024-05-20T00:00:00"/>
    <x v="1"/>
    <x v="3"/>
    <x v="6"/>
    <s v="Mumbai"/>
    <s v="OFF-PA-10004983"/>
    <s v="Office Supplies"/>
    <s v="Paper"/>
    <s v="Xerox 23"/>
    <n v="440.62"/>
    <n v="80"/>
    <s v="S462"/>
    <x v="3"/>
    <s v="W36"/>
    <x v="0"/>
    <s v="Maersk"/>
    <s v="Berlin-Cape Town"/>
    <n v="2424"/>
    <n v="447"/>
    <n v="13"/>
    <n v="557.80999999999995"/>
    <n v="270.37"/>
    <n v="828.18"/>
    <x v="1"/>
    <n v="0"/>
    <n v="95.36"/>
    <n v="336"/>
    <n v="355"/>
  </r>
  <r>
    <s v="O1000969"/>
    <s v="C1815"/>
    <x v="368"/>
    <d v="2020-11-18T00:00:00"/>
    <x v="2"/>
    <x v="2"/>
    <x v="6"/>
    <s v="New York"/>
    <s v="OFF-ST-10004258"/>
    <s v="Office Supplies"/>
    <s v="Storage"/>
    <s v="Portable Personal File Box"/>
    <n v="327.51"/>
    <n v="28"/>
    <s v="S221"/>
    <x v="4"/>
    <s v="W8"/>
    <x v="2"/>
    <s v="Maersk"/>
    <s v="Cape Town-London"/>
    <n v="1838"/>
    <n v="168"/>
    <n v="23"/>
    <n v="1441.82"/>
    <n v="497.29"/>
    <n v="1939.11"/>
    <x v="1"/>
    <n v="0"/>
    <n v="73.22"/>
    <n v="157"/>
    <n v="121"/>
  </r>
  <r>
    <s v="O1000970"/>
    <s v="C7942"/>
    <x v="473"/>
    <d v="2022-04-24T00:00:00"/>
    <x v="2"/>
    <x v="1"/>
    <x v="7"/>
    <s v="London"/>
    <s v="TEC-AC-10002399"/>
    <s v="Technology"/>
    <s v="Accessories"/>
    <s v="SanDisk Cruzer 32 GB USB Flash Drive"/>
    <n v="229.11"/>
    <n v="71"/>
    <s v="S167"/>
    <x v="1"/>
    <s v="W35"/>
    <x v="1"/>
    <s v="Maersk"/>
    <s v="Mumbai-Mumbai"/>
    <n v="1724"/>
    <n v="127"/>
    <n v="12"/>
    <n v="475.86"/>
    <n v="394.94"/>
    <n v="870.8"/>
    <x v="1"/>
    <n v="0"/>
    <n v="92.79"/>
    <n v="470"/>
    <n v="470"/>
  </r>
  <r>
    <s v="O1000971"/>
    <s v="C9025"/>
    <x v="763"/>
    <d v="2025-01-09T00:00:00"/>
    <x v="2"/>
    <x v="1"/>
    <x v="2"/>
    <s v="Toronto"/>
    <s v="TEC-PH-10000895"/>
    <s v="Technology"/>
    <s v="Phones"/>
    <s v="Polycom VVX 310 VoIP phone"/>
    <n v="11.67"/>
    <n v="28"/>
    <s v="S712"/>
    <x v="1"/>
    <s v="W48"/>
    <x v="1"/>
    <s v="FedEx"/>
    <s v="New York-Mumbai"/>
    <n v="2044"/>
    <n v="263"/>
    <n v="5"/>
    <n v="1458.73"/>
    <n v="80.63"/>
    <n v="1539.36"/>
    <x v="1"/>
    <n v="0"/>
    <n v="98.89"/>
    <n v="299"/>
    <n v="338"/>
  </r>
  <r>
    <s v="O1000972"/>
    <s v="C2787"/>
    <x v="635"/>
    <d v="2020-02-13T00:00:00"/>
    <x v="2"/>
    <x v="4"/>
    <x v="3"/>
    <s v="New York"/>
    <s v="FUR-FU-10001731"/>
    <s v="Furniture"/>
    <s v="Furnishings"/>
    <s v="Acrylic Self-Standing Desk Frames"/>
    <n v="230.77"/>
    <n v="45"/>
    <s v="S470"/>
    <x v="3"/>
    <s v="W9"/>
    <x v="0"/>
    <s v="Maersk"/>
    <s v="Cape Town-Mumbai"/>
    <n v="347"/>
    <n v="340"/>
    <n v="20"/>
    <n v="1143.96"/>
    <n v="214.44"/>
    <n v="1358.4"/>
    <x v="1"/>
    <n v="0"/>
    <n v="82.32"/>
    <n v="351"/>
    <n v="352"/>
  </r>
  <r>
    <s v="O1000973"/>
    <s v="C8062"/>
    <x v="452"/>
    <d v="2023-04-10T00:00:00"/>
    <x v="1"/>
    <x v="3"/>
    <x v="3"/>
    <s v="Toronto"/>
    <s v="OFF-AR-10003770"/>
    <s v="Office Supplies"/>
    <s v="Art"/>
    <s v="Newell 340"/>
    <n v="312.83999999999997"/>
    <n v="40"/>
    <s v="S609"/>
    <x v="4"/>
    <s v="W18"/>
    <x v="0"/>
    <s v="DHL"/>
    <s v="Berlin-New York"/>
    <n v="3307"/>
    <n v="55"/>
    <n v="10"/>
    <n v="666"/>
    <n v="331.79"/>
    <n v="997.79"/>
    <x v="0"/>
    <n v="7"/>
    <n v="74.849999999999994"/>
    <n v="457"/>
    <n v="482"/>
  </r>
  <r>
    <s v="O1000974"/>
    <s v="C2799"/>
    <x v="315"/>
    <d v="2022-07-11T00:00:00"/>
    <x v="2"/>
    <x v="2"/>
    <x v="7"/>
    <s v="Beijing"/>
    <s v="OFF-PA-10002160"/>
    <s v="Office Supplies"/>
    <s v="Paper"/>
    <s v="Xerox 1978"/>
    <n v="471.47"/>
    <n v="86"/>
    <s v="S156"/>
    <x v="3"/>
    <s v="W33"/>
    <x v="2"/>
    <s v="UPS"/>
    <s v="Mumbai-New York"/>
    <n v="320"/>
    <n v="270"/>
    <n v="6"/>
    <n v="673.62"/>
    <n v="14.76"/>
    <n v="688.38"/>
    <x v="1"/>
    <n v="0"/>
    <n v="91.75"/>
    <n v="387"/>
    <n v="340"/>
  </r>
  <r>
    <s v="O1000975"/>
    <s v="C7135"/>
    <x v="764"/>
    <d v="2020-05-30T00:00:00"/>
    <x v="1"/>
    <x v="3"/>
    <x v="2"/>
    <s v="New York"/>
    <s v="OFF-PA-10002659"/>
    <s v="Office Supplies"/>
    <s v="Paper"/>
    <s v="Avoid Verbal Orders Carbonless Minifold Book"/>
    <n v="284.10000000000002"/>
    <n v="24"/>
    <s v="S272"/>
    <x v="0"/>
    <s v="W9"/>
    <x v="3"/>
    <s v="DHL"/>
    <s v="Cape Town-London"/>
    <n v="4478"/>
    <n v="103"/>
    <n v="20"/>
    <n v="1798.88"/>
    <n v="56.79"/>
    <n v="1855.67"/>
    <x v="1"/>
    <n v="0"/>
    <n v="73.41"/>
    <n v="421"/>
    <n v="386"/>
  </r>
  <r>
    <s v="O1000976"/>
    <s v="C8094"/>
    <x v="765"/>
    <d v="2021-05-31T00:00:00"/>
    <x v="2"/>
    <x v="4"/>
    <x v="5"/>
    <s v="London"/>
    <s v="TEC-AC-10002323"/>
    <s v="Technology"/>
    <s v="Accessories"/>
    <s v="SanDisk Ultra 32 GB MicroSDHC Class 10 Memory Card"/>
    <n v="6.71"/>
    <n v="97"/>
    <s v="S884"/>
    <x v="1"/>
    <s v="W37"/>
    <x v="2"/>
    <s v="DHL"/>
    <s v="Toronto-Beijing"/>
    <n v="1903"/>
    <n v="415"/>
    <n v="15"/>
    <n v="350.1"/>
    <n v="53.31"/>
    <n v="403.41"/>
    <x v="1"/>
    <n v="0"/>
    <n v="83.77"/>
    <n v="223"/>
    <n v="182"/>
  </r>
  <r>
    <s v="O1000977"/>
    <s v="C5076"/>
    <x v="335"/>
    <d v="2023-10-10T00:00:00"/>
    <x v="2"/>
    <x v="3"/>
    <x v="7"/>
    <s v="London"/>
    <s v="TEC-AC-10002800"/>
    <s v="Technology"/>
    <s v="Accessories"/>
    <s v="Plantronics Audio 478 Stereo USB Headset"/>
    <n v="186.95"/>
    <n v="70"/>
    <s v="S856"/>
    <x v="1"/>
    <s v="W21"/>
    <x v="2"/>
    <s v="BlueDart"/>
    <s v="São Paulo-São Paulo"/>
    <n v="3244"/>
    <n v="308"/>
    <n v="18"/>
    <n v="1536.57"/>
    <n v="369.75"/>
    <n v="1906.32"/>
    <x v="1"/>
    <n v="0"/>
    <n v="70.959999999999994"/>
    <n v="119"/>
    <n v="74"/>
  </r>
  <r>
    <s v="O1000978"/>
    <s v="C2702"/>
    <x v="766"/>
    <d v="2022-08-12T00:00:00"/>
    <x v="1"/>
    <x v="3"/>
    <x v="7"/>
    <s v="São Paulo"/>
    <s v="FUR-FU-10002456"/>
    <s v="Furniture"/>
    <s v="Furnishings"/>
    <s v="Master Caster Door Stop, Large Neon Orange"/>
    <n v="283.79000000000002"/>
    <n v="26"/>
    <s v="S706"/>
    <x v="1"/>
    <s v="W9"/>
    <x v="0"/>
    <s v="BlueDart"/>
    <s v="Mumbai-New York"/>
    <n v="38"/>
    <n v="312"/>
    <n v="16"/>
    <n v="691.22"/>
    <n v="126.48"/>
    <n v="817.7"/>
    <x v="1"/>
    <n v="0"/>
    <n v="92.3"/>
    <n v="278"/>
    <n v="313"/>
  </r>
  <r>
    <s v="O1000979"/>
    <s v="C5645"/>
    <x v="767"/>
    <d v="2023-09-15T00:00:00"/>
    <x v="2"/>
    <x v="0"/>
    <x v="1"/>
    <s v="Berlin"/>
    <s v="FUR-TA-10003569"/>
    <s v="Furniture"/>
    <s v="Tables"/>
    <s v="Bretford CR8500 Series Meeting Room Furniture"/>
    <n v="43.46"/>
    <n v="34"/>
    <s v="S473"/>
    <x v="4"/>
    <s v="W38"/>
    <x v="0"/>
    <s v="DHL"/>
    <s v="Berlin-London"/>
    <n v="2810"/>
    <n v="129"/>
    <n v="12"/>
    <n v="1123.33"/>
    <n v="466.03"/>
    <n v="1589.36"/>
    <x v="1"/>
    <n v="0"/>
    <n v="92.98"/>
    <n v="137"/>
    <n v="142"/>
  </r>
  <r>
    <s v="O1000980"/>
    <s v="C6374"/>
    <x v="768"/>
    <d v="2020-02-26T00:00:00"/>
    <x v="2"/>
    <x v="4"/>
    <x v="4"/>
    <s v="Berlin"/>
    <s v="OFF-AR-10003056"/>
    <s v="Office Supplies"/>
    <s v="Art"/>
    <s v="Newell 341"/>
    <n v="460.2"/>
    <n v="91"/>
    <s v="S562"/>
    <x v="0"/>
    <s v="W6"/>
    <x v="1"/>
    <s v="FedEx"/>
    <s v="São Paulo-Beijing"/>
    <n v="1698"/>
    <n v="263"/>
    <n v="18"/>
    <n v="974.3"/>
    <n v="264.85000000000002"/>
    <n v="1239.1500000000001"/>
    <x v="1"/>
    <n v="0"/>
    <n v="81.31"/>
    <n v="429"/>
    <n v="472"/>
  </r>
  <r>
    <s v="O1000981"/>
    <s v="C3217"/>
    <x v="1"/>
    <d v="2023-08-20T00:00:00"/>
    <x v="2"/>
    <x v="3"/>
    <x v="1"/>
    <s v="Berlin"/>
    <s v="OFF-BI-10002215"/>
    <s v="Office Supplies"/>
    <s v="Binders"/>
    <s v="Wilson Jones Hanging View Binder, White, 1&quot;"/>
    <n v="462.28"/>
    <n v="4"/>
    <s v="S691"/>
    <x v="4"/>
    <s v="W48"/>
    <x v="0"/>
    <s v="Maersk"/>
    <s v="New York-Cape Town"/>
    <n v="729"/>
    <n v="428"/>
    <n v="11"/>
    <n v="1965.03"/>
    <n v="45.74"/>
    <n v="2010.77"/>
    <x v="1"/>
    <n v="0"/>
    <n v="84.66"/>
    <n v="319"/>
    <n v="314"/>
  </r>
  <r>
    <s v="O1000982"/>
    <s v="C8091"/>
    <x v="769"/>
    <d v="2020-09-24T00:00:00"/>
    <x v="0"/>
    <x v="3"/>
    <x v="0"/>
    <s v="Mumbai"/>
    <s v="OFF-PA-10002986"/>
    <s v="Office Supplies"/>
    <s v="Paper"/>
    <s v="Xerox 1898"/>
    <n v="491.16"/>
    <n v="67"/>
    <s v="S150"/>
    <x v="1"/>
    <s v="W3"/>
    <x v="2"/>
    <s v="FedEx"/>
    <s v="Toronto-Mumbai"/>
    <n v="1105"/>
    <n v="106"/>
    <n v="4"/>
    <n v="903.24"/>
    <n v="412.66"/>
    <n v="1315.9"/>
    <x v="1"/>
    <n v="0"/>
    <n v="85.12"/>
    <n v="96"/>
    <n v="141"/>
  </r>
  <r>
    <s v="O1000983"/>
    <s v="C5206"/>
    <x v="5"/>
    <d v="2023-04-11T00:00:00"/>
    <x v="2"/>
    <x v="0"/>
    <x v="1"/>
    <s v="London"/>
    <s v="TEC-PH-10000455"/>
    <s v="Technology"/>
    <s v="Phones"/>
    <s v="GE 30522EE2"/>
    <n v="319.63"/>
    <n v="13"/>
    <s v="S202"/>
    <x v="1"/>
    <s v="W21"/>
    <x v="1"/>
    <s v="DHL"/>
    <s v="London-Berlin"/>
    <n v="4994"/>
    <n v="128"/>
    <n v="13"/>
    <n v="289.17"/>
    <n v="276.14"/>
    <n v="565.30999999999995"/>
    <x v="1"/>
    <n v="0"/>
    <n v="92.89"/>
    <n v="168"/>
    <n v="126"/>
  </r>
  <r>
    <s v="O1000984"/>
    <s v="C9972"/>
    <x v="770"/>
    <d v="2024-12-15T00:00:00"/>
    <x v="2"/>
    <x v="3"/>
    <x v="0"/>
    <s v="Toronto"/>
    <s v="TEC-PH-10001949"/>
    <s v="Technology"/>
    <s v="Phones"/>
    <s v="Cisco SPA 501G IP Phone"/>
    <n v="427.29"/>
    <n v="2"/>
    <s v="S925"/>
    <x v="3"/>
    <s v="W34"/>
    <x v="0"/>
    <s v="Maersk"/>
    <s v="São Paulo-Berlin"/>
    <n v="2470"/>
    <n v="345"/>
    <n v="1"/>
    <n v="794.16"/>
    <n v="320.08999999999997"/>
    <n v="1114.25"/>
    <x v="1"/>
    <n v="0"/>
    <n v="72.27"/>
    <n v="275"/>
    <n v="317"/>
  </r>
  <r>
    <s v="O1000985"/>
    <s v="C9459"/>
    <x v="771"/>
    <d v="2020-12-05T00:00:00"/>
    <x v="2"/>
    <x v="4"/>
    <x v="3"/>
    <s v="São Paulo"/>
    <s v="FUR-TA-10001857"/>
    <s v="Furniture"/>
    <s v="Tables"/>
    <s v="Balt Solid Wood Rectangular Table"/>
    <n v="52.18"/>
    <n v="54"/>
    <s v="S920"/>
    <x v="2"/>
    <s v="W5"/>
    <x v="1"/>
    <s v="DHL"/>
    <s v="New York-Toronto"/>
    <n v="3674"/>
    <n v="299"/>
    <n v="22"/>
    <n v="912.5"/>
    <n v="428.29"/>
    <n v="1340.79"/>
    <x v="1"/>
    <n v="0"/>
    <n v="84.55"/>
    <n v="218"/>
    <n v="249"/>
  </r>
  <r>
    <s v="O1000986"/>
    <s v="C6842"/>
    <x v="772"/>
    <d v="2020-06-15T00:00:00"/>
    <x v="2"/>
    <x v="3"/>
    <x v="1"/>
    <s v="New York"/>
    <s v="OFF-BI-10004390"/>
    <s v="Office Supplies"/>
    <s v="Binders"/>
    <s v="GBC DocuBind 200 Manual Binding Machine"/>
    <n v="12.89"/>
    <n v="8"/>
    <s v="S240"/>
    <x v="3"/>
    <s v="W48"/>
    <x v="1"/>
    <s v="BlueDart"/>
    <s v="Mumbai-Beijing"/>
    <n v="4420"/>
    <n v="337"/>
    <n v="7"/>
    <n v="1442.34"/>
    <n v="68.849999999999994"/>
    <n v="1511.19"/>
    <x v="0"/>
    <n v="9"/>
    <n v="78.930000000000007"/>
    <n v="487"/>
    <n v="495"/>
  </r>
  <r>
    <s v="O1000987"/>
    <s v="C7528"/>
    <x v="773"/>
    <d v="2023-11-26T00:00:00"/>
    <x v="2"/>
    <x v="3"/>
    <x v="4"/>
    <s v="Beijing"/>
    <s v="OFF-EN-10001749"/>
    <s v="Office Supplies"/>
    <s v="Envelopes"/>
    <s v="Jiffy Padded Mailers with Self-Seal Closure"/>
    <n v="267.32"/>
    <n v="13"/>
    <s v="S897"/>
    <x v="2"/>
    <s v="W5"/>
    <x v="3"/>
    <s v="UPS"/>
    <s v="Cape Town-Beijing"/>
    <n v="2993"/>
    <n v="314"/>
    <n v="1"/>
    <n v="471.39"/>
    <n v="225.36"/>
    <n v="696.75"/>
    <x v="1"/>
    <n v="0"/>
    <n v="90.79"/>
    <n v="422"/>
    <n v="403"/>
  </r>
  <r>
    <s v="O1000988"/>
    <s v="C6104"/>
    <x v="295"/>
    <d v="2020-07-20T00:00:00"/>
    <x v="2"/>
    <x v="3"/>
    <x v="1"/>
    <s v="Toronto"/>
    <s v="OFF-PA-10003001"/>
    <s v="Office Supplies"/>
    <s v="Paper"/>
    <s v="Xerox 1986"/>
    <n v="484.11"/>
    <n v="70"/>
    <s v="S248"/>
    <x v="4"/>
    <s v="W1"/>
    <x v="2"/>
    <s v="DHL"/>
    <s v="Berlin-Toronto"/>
    <n v="3675"/>
    <n v="157"/>
    <n v="5"/>
    <n v="1939.97"/>
    <n v="325.76"/>
    <n v="2265.73"/>
    <x v="1"/>
    <n v="0"/>
    <n v="81.680000000000007"/>
    <n v="275"/>
    <n v="293"/>
  </r>
  <r>
    <s v="O1000989"/>
    <s v="C6968"/>
    <x v="774"/>
    <d v="2023-09-20T00:00:00"/>
    <x v="1"/>
    <x v="4"/>
    <x v="7"/>
    <s v="São Paulo"/>
    <s v="OFF-PA-10004475"/>
    <s v="Office Supplies"/>
    <s v="Paper"/>
    <s v="Xerox 1940"/>
    <n v="112.98"/>
    <n v="40"/>
    <s v="S683"/>
    <x v="2"/>
    <s v="W7"/>
    <x v="3"/>
    <s v="FedEx"/>
    <s v="Berlin-Toronto"/>
    <n v="2510"/>
    <n v="230"/>
    <n v="26"/>
    <n v="1159.1300000000001"/>
    <n v="424.29"/>
    <n v="1583.42"/>
    <x v="1"/>
    <n v="0"/>
    <n v="87.78"/>
    <n v="142"/>
    <n v="154"/>
  </r>
  <r>
    <s v="O1000990"/>
    <s v="C6189"/>
    <x v="775"/>
    <d v="2023-12-26T00:00:00"/>
    <x v="2"/>
    <x v="0"/>
    <x v="2"/>
    <s v="New York"/>
    <s v="OFF-BI-10002432"/>
    <s v="Office Supplies"/>
    <s v="Binders"/>
    <s v="Wilson Jones Standard D-Ring Binders"/>
    <n v="99.07"/>
    <n v="46"/>
    <s v="S684"/>
    <x v="2"/>
    <s v="W1"/>
    <x v="0"/>
    <s v="Maersk"/>
    <s v="Beijing-Beijing"/>
    <n v="652"/>
    <n v="444"/>
    <n v="9"/>
    <n v="1166.02"/>
    <n v="277.63"/>
    <n v="1443.65"/>
    <x v="1"/>
    <n v="0"/>
    <n v="79.72"/>
    <n v="55"/>
    <n v="31"/>
  </r>
  <r>
    <s v="O1000991"/>
    <s v="C1236"/>
    <x v="322"/>
    <d v="2023-09-09T00:00:00"/>
    <x v="0"/>
    <x v="4"/>
    <x v="2"/>
    <s v="Toronto"/>
    <s v="OFF-ST-10000563"/>
    <s v="Office Supplies"/>
    <s v="Storage"/>
    <s v="Fellowes Bankers Box Stor/Drawer Steel Plus"/>
    <n v="406.56"/>
    <n v="13"/>
    <s v="S821"/>
    <x v="3"/>
    <s v="W25"/>
    <x v="2"/>
    <s v="DHL"/>
    <s v="Mumbai-Beijing"/>
    <n v="1227"/>
    <n v="295"/>
    <n v="22"/>
    <n v="839.71"/>
    <n v="217.04"/>
    <n v="1056.75"/>
    <x v="1"/>
    <n v="0"/>
    <n v="90.04"/>
    <n v="224"/>
    <n v="230"/>
  </r>
  <r>
    <s v="O1000992"/>
    <s v="C1910"/>
    <x v="572"/>
    <d v="2024-11-10T00:00:00"/>
    <x v="2"/>
    <x v="3"/>
    <x v="6"/>
    <s v="São Paulo"/>
    <s v="TEC-AC-10001635"/>
    <s v="Technology"/>
    <s v="Accessories"/>
    <s v="KeyTronic KT400U2 - Keyboard - Black"/>
    <n v="310.92"/>
    <n v="63"/>
    <s v="S691"/>
    <x v="4"/>
    <s v="W43"/>
    <x v="1"/>
    <s v="DHL"/>
    <s v="Cape Town-Toronto"/>
    <n v="530"/>
    <n v="170"/>
    <n v="26"/>
    <n v="78.260000000000005"/>
    <n v="281.64"/>
    <n v="359.9"/>
    <x v="1"/>
    <n v="0"/>
    <n v="87.02"/>
    <n v="110"/>
    <n v="108"/>
  </r>
  <r>
    <s v="O1000993"/>
    <s v="C4755"/>
    <x v="776"/>
    <d v="2024-04-06T00:00:00"/>
    <x v="2"/>
    <x v="3"/>
    <x v="6"/>
    <s v="Cape Town"/>
    <s v="OFF-AR-10004042"/>
    <s v="Office Supplies"/>
    <s v="Art"/>
    <s v="BOSTON Model 1800 Electric Pencil Sharpeners, Putty/Woodgrain"/>
    <n v="387.21"/>
    <n v="5"/>
    <s v="S175"/>
    <x v="2"/>
    <s v="W31"/>
    <x v="1"/>
    <s v="Maersk"/>
    <s v="Berlin-Beijing"/>
    <n v="2536"/>
    <n v="343"/>
    <n v="27"/>
    <n v="158.55000000000001"/>
    <n v="237.69"/>
    <n v="396.24"/>
    <x v="1"/>
    <n v="0"/>
    <n v="94.98"/>
    <n v="406"/>
    <n v="369"/>
  </r>
  <r>
    <s v="O1000994"/>
    <s v="C6672"/>
    <x v="777"/>
    <d v="2024-12-26T00:00:00"/>
    <x v="0"/>
    <x v="3"/>
    <x v="2"/>
    <s v="Cape Town"/>
    <s v="OFF-BI-10002949"/>
    <s v="Office Supplies"/>
    <s v="Binders"/>
    <s v="Prestige Round Ring Binders"/>
    <n v="358.21"/>
    <n v="13"/>
    <s v="S979"/>
    <x v="2"/>
    <s v="W41"/>
    <x v="3"/>
    <s v="Maersk"/>
    <s v="Mumbai-São Paulo"/>
    <n v="2889"/>
    <n v="55"/>
    <n v="2"/>
    <n v="259.3"/>
    <n v="48.31"/>
    <n v="307.61"/>
    <x v="1"/>
    <n v="0"/>
    <n v="78.52"/>
    <n v="183"/>
    <n v="173"/>
  </r>
  <r>
    <s v="O1000995"/>
    <s v="C7666"/>
    <x v="158"/>
    <d v="2024-09-05T00:00:00"/>
    <x v="2"/>
    <x v="4"/>
    <x v="0"/>
    <s v="New York"/>
    <s v="OFF-BI-10004716"/>
    <s v="Office Supplies"/>
    <s v="Binders"/>
    <s v="Wilson Jones Hanging Recycled Pressboard Data Binders"/>
    <n v="276.98"/>
    <n v="29"/>
    <s v="S865"/>
    <x v="1"/>
    <s v="W7"/>
    <x v="3"/>
    <s v="BlueDart"/>
    <s v="New York-Berlin"/>
    <n v="1776"/>
    <n v="169"/>
    <n v="28"/>
    <n v="1419.96"/>
    <n v="158.05000000000001"/>
    <n v="1578.01"/>
    <x v="1"/>
    <n v="0"/>
    <n v="97.52"/>
    <n v="437"/>
    <n v="387"/>
  </r>
  <r>
    <s v="O1000996"/>
    <s v="C9301"/>
    <x v="778"/>
    <d v="2023-01-20T00:00:00"/>
    <x v="1"/>
    <x v="3"/>
    <x v="3"/>
    <s v="Mumbai"/>
    <s v="OFF-PA-10004100"/>
    <s v="Office Supplies"/>
    <s v="Paper"/>
    <s v="Xerox 216"/>
    <n v="264.86"/>
    <n v="41"/>
    <s v="S649"/>
    <x v="0"/>
    <s v="W23"/>
    <x v="0"/>
    <s v="DHL"/>
    <s v="Mumbai-Cape Town"/>
    <n v="1791"/>
    <n v="293"/>
    <n v="26"/>
    <n v="1007.51"/>
    <n v="312.86"/>
    <n v="1320.37"/>
    <x v="1"/>
    <n v="0"/>
    <n v="70.510000000000005"/>
    <n v="467"/>
    <n v="426"/>
  </r>
  <r>
    <s v="O1000997"/>
    <s v="C8254"/>
    <x v="779"/>
    <d v="2023-04-17T00:00:00"/>
    <x v="1"/>
    <x v="4"/>
    <x v="0"/>
    <s v="Toronto"/>
    <s v="TEC-AC-10002842"/>
    <s v="Technology"/>
    <s v="Accessories"/>
    <s v="WD My Passport Ultra 2TB Portable External Hard Drive"/>
    <n v="225.91"/>
    <n v="26"/>
    <s v="S672"/>
    <x v="4"/>
    <s v="W29"/>
    <x v="3"/>
    <s v="FedEx"/>
    <s v="Mumbai-Mumbai"/>
    <n v="2198"/>
    <n v="361"/>
    <n v="5"/>
    <n v="1168.73"/>
    <n v="21.93"/>
    <n v="1190.6600000000001"/>
    <x v="1"/>
    <n v="0"/>
    <n v="71.510000000000005"/>
    <n v="483"/>
    <n v="460"/>
  </r>
  <r>
    <s v="O1000998"/>
    <s v="C1354"/>
    <x v="634"/>
    <d v="2024-05-23T00:00:00"/>
    <x v="2"/>
    <x v="1"/>
    <x v="0"/>
    <s v="Beijing"/>
    <s v="FUR-FU-10002116"/>
    <s v="Furniture"/>
    <s v="Furnishings"/>
    <s v="Tenex Carpeted, Granite-Look or Clear Contemporary Contour Shape Chair Mats"/>
    <n v="476.71"/>
    <n v="12"/>
    <s v="S928"/>
    <x v="1"/>
    <s v="W47"/>
    <x v="2"/>
    <s v="BlueDart"/>
    <s v="São Paulo-New York"/>
    <n v="2566"/>
    <n v="108"/>
    <n v="1"/>
    <n v="754.56"/>
    <n v="485.8"/>
    <n v="1240.3599999999999"/>
    <x v="1"/>
    <n v="0"/>
    <n v="96.7"/>
    <n v="176"/>
    <n v="220"/>
  </r>
  <r>
    <s v="O1000999"/>
    <s v="C3295"/>
    <x v="695"/>
    <d v="2021-10-19T00:00:00"/>
    <x v="2"/>
    <x v="1"/>
    <x v="2"/>
    <s v="New York"/>
    <s v="OFF-AP-10001303"/>
    <s v="Office Supplies"/>
    <s v="Appliances"/>
    <s v="Holmes Cool Mist Humidifier for the Whole House with 8-Gallon Output per Day, Extended Life Filter"/>
    <n v="462.35"/>
    <n v="4"/>
    <s v="S485"/>
    <x v="0"/>
    <s v="W13"/>
    <x v="3"/>
    <s v="DHL"/>
    <s v="London-Toronto"/>
    <n v="4955"/>
    <n v="246"/>
    <n v="23"/>
    <n v="1167.01"/>
    <n v="117.86"/>
    <n v="1284.8699999999999"/>
    <x v="1"/>
    <n v="0"/>
    <n v="71.28"/>
    <n v="122"/>
    <n v="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D72333-EABF-46C0-B222-7270F8293A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7" firstHeaderRow="1" firstDataRow="1" firstDataCol="1"/>
  <pivotFields count="34">
    <pivotField dataField="1"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axis="axisRow" showAll="0">
      <items count="6">
        <item x="3"/>
        <item x="0"/>
        <item x="4"/>
        <item x="1"/>
        <item x="2"/>
        <item t="default"/>
      </items>
    </pivotField>
    <pivotField showAll="0">
      <items count="9">
        <item x="7"/>
        <item x="2"/>
        <item x="3"/>
        <item x="5"/>
        <item x="1"/>
        <item x="6"/>
        <item x="4"/>
        <item x="0"/>
        <item t="default"/>
      </items>
    </pivotField>
    <pivotField showAll="0"/>
    <pivotField showAll="0"/>
    <pivotField showAll="0"/>
    <pivotField showAll="0"/>
    <pivotField showAll="0"/>
    <pivotField showAll="0"/>
    <pivotField showAll="0"/>
    <pivotField showAll="0"/>
    <pivotField showAll="0">
      <items count="6">
        <item x="0"/>
        <item x="4"/>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6">
    <i>
      <x/>
    </i>
    <i>
      <x v="1"/>
    </i>
    <i>
      <x v="2"/>
    </i>
    <i>
      <x v="3"/>
    </i>
    <i>
      <x v="4"/>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8F74F7-AA0C-446A-B9F4-19FDF2B7AF8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50:B55" firstHeaderRow="1" firstDataRow="1" firstDataCol="1"/>
  <pivotFields count="34">
    <pivotField dataField="1"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pivotField showAll="0"/>
    <pivotField showAll="0"/>
    <pivotField showAll="0"/>
    <pivotField showAll="0"/>
    <pivotField showAll="0"/>
    <pivotField showAll="0"/>
    <pivotField showAll="0"/>
    <pivotField showAll="0">
      <items count="6">
        <item x="0"/>
        <item x="4"/>
        <item x="1"/>
        <item x="3"/>
        <item x="2"/>
        <item t="default"/>
      </items>
    </pivotField>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9">
        <item sd="0" x="0"/>
        <item sd="0" x="1"/>
        <item sd="0" x="2"/>
        <item sd="0" x="3"/>
        <item sd="0" x="4"/>
        <item sd="0" x="5"/>
        <item sd="0" x="6"/>
        <item sd="0" x="7"/>
        <item t="default" sd="0"/>
      </items>
    </pivotField>
  </pivotFields>
  <rowFields count="1">
    <field x="17"/>
  </rowFields>
  <rowItems count="5">
    <i>
      <x/>
    </i>
    <i>
      <x v="1"/>
    </i>
    <i>
      <x v="2"/>
    </i>
    <i>
      <x v="3"/>
    </i>
    <i t="grand">
      <x/>
    </i>
  </rowItems>
  <colItems count="1">
    <i/>
  </colItems>
  <dataFields count="1">
    <dataField name="Count of Order_ID" fld="0" subtotal="count" baseField="0" baseItem="0"/>
  </dataFields>
  <chartFormats count="2">
    <chartFormat chart="1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4A99FD-AF02-4D4D-99C4-25942DB735C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7:B40" firstHeaderRow="1" firstDataRow="1" firstDataCol="1"/>
  <pivotFields count="34">
    <pivotField dataField="1"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pivotField showAll="0"/>
    <pivotField showAll="0"/>
    <pivotField showAll="0"/>
    <pivotField showAll="0"/>
    <pivotField showAll="0"/>
    <pivotField showAll="0"/>
    <pivotField showAll="0"/>
    <pivotField showAll="0">
      <items count="6">
        <item x="0"/>
        <item x="4"/>
        <item x="1"/>
        <item x="3"/>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9">
        <item sd="0" x="0"/>
        <item sd="0" x="1"/>
        <item sd="0" x="2"/>
        <item sd="0" x="3"/>
        <item sd="0" x="4"/>
        <item sd="0" x="5"/>
        <item sd="0" x="6"/>
        <item sd="0" x="7"/>
        <item t="default" sd="0"/>
      </items>
    </pivotField>
  </pivotFields>
  <rowFields count="1">
    <field x="26"/>
  </rowFields>
  <rowItems count="3">
    <i>
      <x/>
    </i>
    <i>
      <x v="1"/>
    </i>
    <i t="grand">
      <x/>
    </i>
  </rowItems>
  <colItems count="1">
    <i/>
  </colItems>
  <dataFields count="1">
    <dataField name="Count of Order_ID" fld="0" subtotal="count" baseField="0" baseItem="0"/>
  </dataFields>
  <chartFormats count="6">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6"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26" count="1" selected="0">
            <x v="0"/>
          </reference>
        </references>
      </pivotArea>
    </chartFormat>
    <chartFormat chart="18" format="7">
      <pivotArea type="data" outline="0" fieldPosition="0">
        <references count="2">
          <reference field="4294967294" count="1" selected="0">
            <x v="0"/>
          </reference>
          <reference field="26" count="1" selected="0">
            <x v="1"/>
          </reference>
        </references>
      </pivotArea>
    </chartFormat>
    <chartFormat chart="11" format="2">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A17AA6-A1BB-4599-A691-8900DC0B7A8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5:B29" firstHeaderRow="1" firstDataRow="1" firstDataCol="1"/>
  <pivotFields count="34">
    <pivotField dataField="1"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axis="axisRow"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pivotField showAll="0"/>
    <pivotField showAll="0"/>
    <pivotField showAll="0"/>
    <pivotField showAll="0"/>
    <pivotField showAll="0"/>
    <pivotField showAll="0"/>
    <pivotField showAll="0"/>
    <pivotField showAll="0">
      <items count="6">
        <item x="0"/>
        <item x="4"/>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9">
        <item sd="0" x="0"/>
        <item sd="0" x="1"/>
        <item sd="0" x="2"/>
        <item sd="0" x="3"/>
        <item sd="0" x="4"/>
        <item sd="0" x="5"/>
        <item sd="0" x="6"/>
        <item sd="0" x="7"/>
        <item t="default" sd="0"/>
      </items>
    </pivotField>
  </pivotFields>
  <rowFields count="1">
    <field x="4"/>
  </rowFields>
  <rowItems count="4">
    <i>
      <x/>
    </i>
    <i>
      <x v="1"/>
    </i>
    <i>
      <x v="2"/>
    </i>
    <i t="grand">
      <x/>
    </i>
  </rowItems>
  <colItems count="1">
    <i/>
  </colItems>
  <dataFields count="1">
    <dataField name="Count of Order_ID" fld="0" subtotal="count" baseField="0" baseItem="0"/>
  </dataFields>
  <chartFormats count="8">
    <chartFormat chart="7"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4" count="1" selected="0">
            <x v="0"/>
          </reference>
        </references>
      </pivotArea>
    </chartFormat>
    <chartFormat chart="18" format="7">
      <pivotArea type="data" outline="0" fieldPosition="0">
        <references count="2">
          <reference field="4294967294" count="1" selected="0">
            <x v="0"/>
          </reference>
          <reference field="4" count="1" selected="0">
            <x v="1"/>
          </reference>
        </references>
      </pivotArea>
    </chartFormat>
    <chartFormat chart="18" format="8">
      <pivotArea type="data" outline="0" fieldPosition="0">
        <references count="2">
          <reference field="4294967294" count="1" selected="0">
            <x v="0"/>
          </reference>
          <reference field="4" count="1" selected="0">
            <x v="2"/>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1"/>
          </reference>
        </references>
      </pivotArea>
    </chartFormat>
    <chartFormat chart="7"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6EE330-D4A8-4716-9C6C-942A923A2F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3:B20" firstHeaderRow="1" firstDataRow="1" firstDataCol="1"/>
  <pivotFields count="34">
    <pivotField dataField="1" showAll="0"/>
    <pivotField showAll="0"/>
    <pivotField axis="axisRow"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pivotField showAll="0"/>
    <pivotField showAll="0"/>
    <pivotField showAll="0"/>
    <pivotField showAll="0"/>
    <pivotField showAll="0"/>
    <pivotField showAll="0"/>
    <pivotField showAll="0"/>
    <pivotField showAll="0">
      <items count="6">
        <item x="0"/>
        <item x="4"/>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9">
        <item sd="0" x="0"/>
        <item sd="0" x="1"/>
        <item sd="0" x="2"/>
        <item sd="0" x="3"/>
        <item sd="0" x="4"/>
        <item sd="0" x="5"/>
        <item sd="0" x="6"/>
        <item sd="0" x="7"/>
        <item t="default" sd="0"/>
      </items>
    </pivotField>
  </pivotFields>
  <rowFields count="4">
    <field x="33"/>
    <field x="32"/>
    <field x="31"/>
    <field x="2"/>
  </rowFields>
  <rowItems count="7">
    <i>
      <x v="1"/>
    </i>
    <i>
      <x v="2"/>
    </i>
    <i>
      <x v="3"/>
    </i>
    <i>
      <x v="4"/>
    </i>
    <i>
      <x v="5"/>
    </i>
    <i>
      <x v="6"/>
    </i>
    <i t="grand">
      <x/>
    </i>
  </rowItems>
  <colItems count="1">
    <i/>
  </colItems>
  <dataFields count="1">
    <dataField name="Count of Order_ID" fld="0" subtotal="count" baseField="0" baseItem="0"/>
  </dataFields>
  <chartFormats count="4">
    <chartFormat chart="4"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33" count="1" selected="0">
            <x v="6"/>
          </reference>
        </references>
      </pivotArea>
    </chartFormat>
    <chartFormat chart="14" format="4">
      <pivotArea type="data" outline="0" fieldPosition="0">
        <references count="2">
          <reference field="4294967294" count="1" selected="0">
            <x v="0"/>
          </reference>
          <reference field="3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049A4B-44CC-4D8D-9A70-6E75EDAC0818}" autoFormatId="16" applyNumberFormats="0" applyBorderFormats="0" applyFontFormats="0" applyPatternFormats="0" applyAlignmentFormats="0" applyWidthHeightFormats="0">
  <queryTableRefresh nextId="32">
    <queryTableFields count="31">
      <queryTableField id="1" name="Order_ID" tableColumnId="1"/>
      <queryTableField id="2" name="Customer_ID" tableColumnId="2"/>
      <queryTableField id="3" name="Order_Date" tableColumnId="3"/>
      <queryTableField id="4" name="Ship_Date" tableColumnId="4"/>
      <queryTableField id="5" name="Ship_Mode" tableColumnId="5"/>
      <queryTableField id="6" name="Region" tableColumnId="6"/>
      <queryTableField id="7" name="Country" tableColumnId="7"/>
      <queryTableField id="8" name="City" tableColumnId="8"/>
      <queryTableField id="9" name="Product ID" tableColumnId="9"/>
      <queryTableField id="10" name="Category" tableColumnId="10"/>
      <queryTableField id="11" name="Sub-Category" tableColumnId="11"/>
      <queryTableField id="12" name="Product Name" tableColumnId="12"/>
      <queryTableField id="13" name="Unit_Price" tableColumnId="13"/>
      <queryTableField id="14" name="Quantity" tableColumnId="14"/>
      <queryTableField id="15" name="Supplier_ID" tableColumnId="15"/>
      <queryTableField id="16" name="Supplier_Name" tableColumnId="16"/>
      <queryTableField id="17" name="Warehouse_ID" tableColumnId="17"/>
      <queryTableField id="18" name="Transport_Mode" tableColumnId="18"/>
      <queryTableField id="19" name="Carrier" tableColumnId="19"/>
      <queryTableField id="20" name="Route" tableColumnId="20"/>
      <queryTableField id="21" name="Stock_On_Hand" tableColumnId="21"/>
      <queryTableField id="22" name="Reorder_Level" tableColumnId="22"/>
      <queryTableField id="23" name="Lead_Time_Days" tableColumnId="23"/>
      <queryTableField id="24" name="Procurement_Cost" tableColumnId="24"/>
      <queryTableField id="25" name="Transportation_Cost" tableColumnId="25"/>
      <queryTableField id="26" name="Total_Cost" tableColumnId="26"/>
      <queryTableField id="27" name="Delivery_Status" tableColumnId="27"/>
      <queryTableField id="28" name="Delay_Days" tableColumnId="28"/>
      <queryTableField id="29" name="Fill_Rate" tableColumnId="29"/>
      <queryTableField id="30" name="Forecast_Demand" tableColumnId="30"/>
      <queryTableField id="31" name="Actual_Demand"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E39680A-0050-48E7-9986-456C3A1BB5AE}" sourceName="Ship_Mode">
  <pivotTables>
    <pivotTable tabId="4" name="PivotTable3"/>
    <pivotTable tabId="4" name="PivotTable2"/>
    <pivotTable tabId="4" name="PivotTable4"/>
    <pivotTable tabId="4" name="PivotTable5"/>
    <pivotTable tabId="4" name="PivotTable6"/>
  </pivotTables>
  <data>
    <tabular pivotCacheId="14429926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5AB565E6-B8D8-453C-BE56-46718F93BD93}" sourceName="Supplier_Name">
  <pivotTables>
    <pivotTable tabId="4" name="PivotTable3"/>
    <pivotTable tabId="4" name="PivotTable2"/>
    <pivotTable tabId="4" name="PivotTable4"/>
    <pivotTable tabId="4" name="PivotTable5"/>
    <pivotTable tabId="4" name="PivotTable6"/>
  </pivotTables>
  <data>
    <tabular pivotCacheId="144299261">
      <items count="5">
        <i x="0" s="1"/>
        <i x="4"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4873DFF-9874-46C6-8DE5-C205DD61878A}" sourceName="Country">
  <pivotTables>
    <pivotTable tabId="4" name="PivotTable3"/>
    <pivotTable tabId="4" name="PivotTable2"/>
    <pivotTable tabId="4" name="PivotTable4"/>
    <pivotTable tabId="4" name="PivotTable5"/>
    <pivotTable tabId="4" name="PivotTable6"/>
  </pivotTables>
  <data>
    <tabular pivotCacheId="144299261">
      <items count="8">
        <i x="7" s="1"/>
        <i x="2" s="1"/>
        <i x="3" s="1"/>
        <i x="5" s="1"/>
        <i x="1"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_Mode" xr10:uid="{306A18D0-949A-48A8-B890-7D09235126B3}" cache="Slicer_Ship_Mode" caption="Ship_Mode" style="SlicerStyleLight6" rowHeight="251883"/>
  <slicer name="Supplier_Name" xr10:uid="{7802AC63-143B-419C-8F51-0BAF7B4FFA03}" cache="Slicer_Supplier_Name" caption="Supplier_Name" style="SlicerStyleLight6" rowHeight="251883"/>
  <slicer name="Country" xr10:uid="{D2AD3E88-D2AC-4679-82D8-F10B05A32857}" cache="Slicer_Country" caption="Country" style="SlicerStyleLight6"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DAEC7E-E05F-4ACA-93A9-307A8AC110CD}" name="Supply_Chain" displayName="Supply_Chain" ref="A1:AE10195" tableType="queryTable" totalsRowShown="0">
  <autoFilter ref="A1:AE10195" xr:uid="{88DAEC7E-E05F-4ACA-93A9-307A8AC110CD}"/>
  <tableColumns count="31">
    <tableColumn id="1" xr3:uid="{24432AEB-3783-4C79-B9E1-1E42DAD5BC9D}" uniqueName="1" name="Order_ID" queryTableFieldId="1" dataDxfId="18"/>
    <tableColumn id="2" xr3:uid="{69BBC40D-FF0A-42C4-9B6B-5B612EA32A23}" uniqueName="2" name="Customer_ID" queryTableFieldId="2" dataDxfId="17"/>
    <tableColumn id="3" xr3:uid="{264ECA7B-FA0A-46DF-A79A-2D81887970A4}" uniqueName="3" name="Order_Date" queryTableFieldId="3" dataDxfId="16"/>
    <tableColumn id="4" xr3:uid="{7C9EDB3D-C829-4518-86AB-D22763020654}" uniqueName="4" name="Ship_Date" queryTableFieldId="4" dataDxfId="15"/>
    <tableColumn id="5" xr3:uid="{F43DA29B-8163-4460-B842-71AF909C6F5A}" uniqueName="5" name="Ship_Mode" queryTableFieldId="5" dataDxfId="14"/>
    <tableColumn id="6" xr3:uid="{CCB28623-0420-419A-B63B-E4B166F87AC1}" uniqueName="6" name="Region" queryTableFieldId="6" dataDxfId="13"/>
    <tableColumn id="7" xr3:uid="{289D8EBC-355A-4E82-B217-A0A9733B10E2}" uniqueName="7" name="Country" queryTableFieldId="7" dataDxfId="12"/>
    <tableColumn id="8" xr3:uid="{D34E9B02-8882-4B66-B8C8-B5B13646E757}" uniqueName="8" name="City" queryTableFieldId="8" dataDxfId="11"/>
    <tableColumn id="9" xr3:uid="{78E45979-A9CC-41FD-BE41-849119322BF3}" uniqueName="9" name="Product ID" queryTableFieldId="9" dataDxfId="10"/>
    <tableColumn id="10" xr3:uid="{CBB073A7-ECAA-4075-9DCE-3344E9C6FF06}" uniqueName="10" name="Category" queryTableFieldId="10" dataDxfId="9"/>
    <tableColumn id="11" xr3:uid="{457D40B2-C9F7-4B64-BDC2-787360BF240C}" uniqueName="11" name="Sub-Category" queryTableFieldId="11" dataDxfId="8"/>
    <tableColumn id="12" xr3:uid="{F23CAD56-2D60-4B26-9C1F-5A1176B3DCB7}" uniqueName="12" name="Product Name" queryTableFieldId="12" dataDxfId="7"/>
    <tableColumn id="13" xr3:uid="{7E52CE25-F86F-4515-A064-E4CA451C444B}" uniqueName="13" name="Unit_Price" queryTableFieldId="13"/>
    <tableColumn id="14" xr3:uid="{33DBA11C-6866-4372-ACE5-E3C93E58CDE7}" uniqueName="14" name="Quantity" queryTableFieldId="14"/>
    <tableColumn id="15" xr3:uid="{87F783A5-51AE-4828-A469-86CE78342890}" uniqueName="15" name="Supplier_ID" queryTableFieldId="15" dataDxfId="6"/>
    <tableColumn id="16" xr3:uid="{48DC4E17-36FA-4D09-BAE5-063E86F1AD60}" uniqueName="16" name="Supplier_Name" queryTableFieldId="16" dataDxfId="5"/>
    <tableColumn id="17" xr3:uid="{E49596D4-E911-4CC6-AD3B-3D4A2C168470}" uniqueName="17" name="Warehouse_ID" queryTableFieldId="17" dataDxfId="4"/>
    <tableColumn id="18" xr3:uid="{D379F06C-813E-4621-9CF7-751A7DE4CFE4}" uniqueName="18" name="Transport_Mode" queryTableFieldId="18" dataDxfId="3"/>
    <tableColumn id="19" xr3:uid="{3FA07B78-1E89-4FB7-9013-2BD577D762E1}" uniqueName="19" name="Carrier" queryTableFieldId="19" dataDxfId="2"/>
    <tableColumn id="20" xr3:uid="{0D1E0599-AB91-4224-8C57-F7C3F305E086}" uniqueName="20" name="Route" queryTableFieldId="20" dataDxfId="1"/>
    <tableColumn id="21" xr3:uid="{96BA08B4-88F2-4E02-BC5C-C1DE8B230F99}" uniqueName="21" name="Stock_On_Hand" queryTableFieldId="21"/>
    <tableColumn id="22" xr3:uid="{62CD6846-DA83-4B3D-A77D-BAB5A97802A0}" uniqueName="22" name="Reorder_Level" queryTableFieldId="22"/>
    <tableColumn id="23" xr3:uid="{C0EF1A36-3078-46FD-A1BB-66A3213E3865}" uniqueName="23" name="Lead_Time_Days" queryTableFieldId="23"/>
    <tableColumn id="24" xr3:uid="{3980C4C8-EF62-4AA3-BCD0-B438D5666C75}" uniqueName="24" name="Procurement_Cost" queryTableFieldId="24"/>
    <tableColumn id="25" xr3:uid="{923C2AEC-9BCB-4894-B9E0-AA08919AAE3A}" uniqueName="25" name="Transportation_Cost" queryTableFieldId="25"/>
    <tableColumn id="26" xr3:uid="{AA14CC77-8532-41DD-8D54-CA55E4569A72}" uniqueName="26" name="Total_Cost" queryTableFieldId="26"/>
    <tableColumn id="27" xr3:uid="{1EB7981E-6942-4FAD-8EF4-8692E0C9E229}" uniqueName="27" name="Delivery_Status" queryTableFieldId="27" dataDxfId="0"/>
    <tableColumn id="28" xr3:uid="{0FF90B51-9162-47D5-B1F2-21CC92E9DF99}" uniqueName="28" name="Delay_Days" queryTableFieldId="28"/>
    <tableColumn id="29" xr3:uid="{6B5F8DA6-A85F-4DC4-BCBE-F65A076CA20F}" uniqueName="29" name="Fill_Rate" queryTableFieldId="29"/>
    <tableColumn id="30" xr3:uid="{264D80A8-F267-4E51-B3FB-05E3B6EDAF8D}" uniqueName="30" name="Forecast_Demand" queryTableFieldId="30"/>
    <tableColumn id="31" xr3:uid="{A0D82C7B-DEB3-4647-B3E4-79A3D2CD75A3}" uniqueName="31" name="Actual_Demand" queryTableFieldId="3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8A97E-F4AB-4BEA-8750-E547BE27A608}">
  <dimension ref="A1:AE10195"/>
  <sheetViews>
    <sheetView workbookViewId="0">
      <selection activeCell="AH989" sqref="AH989"/>
    </sheetView>
  </sheetViews>
  <sheetFormatPr defaultRowHeight="13.8" x14ac:dyDescent="0.25"/>
  <cols>
    <col min="1" max="1" width="10.296875" bestFit="1" customWidth="1"/>
    <col min="2" max="2" width="13.8984375" bestFit="1" customWidth="1"/>
    <col min="3" max="4" width="14.09765625" bestFit="1" customWidth="1"/>
    <col min="5" max="5" width="12.19921875" bestFit="1" customWidth="1"/>
    <col min="6" max="6" width="12.59765625" bestFit="1" customWidth="1"/>
    <col min="7" max="7" width="10.59765625" bestFit="1" customWidth="1"/>
    <col min="8" max="8" width="9.69921875" bestFit="1" customWidth="1"/>
    <col min="9" max="9" width="16.09765625" bestFit="1" customWidth="1"/>
    <col min="10" max="10" width="13" bestFit="1" customWidth="1"/>
    <col min="11" max="11" width="14.296875" bestFit="1" customWidth="1"/>
    <col min="12" max="12" width="80.796875" bestFit="1" customWidth="1"/>
    <col min="13" max="13" width="11.796875" bestFit="1" customWidth="1"/>
    <col min="14" max="14" width="10.19921875" bestFit="1" customWidth="1"/>
    <col min="15" max="15" width="12.796875" bestFit="1" customWidth="1"/>
    <col min="16" max="16" width="16" bestFit="1" customWidth="1"/>
    <col min="17" max="17" width="15.19921875" bestFit="1" customWidth="1"/>
    <col min="18" max="18" width="16.3984375" bestFit="1" customWidth="1"/>
    <col min="19" max="19" width="8.796875" bestFit="1" customWidth="1"/>
    <col min="20" max="20" width="19.19921875" bestFit="1" customWidth="1"/>
    <col min="21" max="21" width="16.296875" bestFit="1" customWidth="1"/>
    <col min="22" max="22" width="14.796875" bestFit="1" customWidth="1"/>
    <col min="23" max="23" width="17" bestFit="1" customWidth="1"/>
    <col min="24" max="24" width="18.69921875" bestFit="1" customWidth="1"/>
    <col min="25" max="25" width="20.09765625" bestFit="1" customWidth="1"/>
    <col min="26" max="26" width="11.796875" bestFit="1" customWidth="1"/>
    <col min="27" max="27" width="16.19921875" bestFit="1" customWidth="1"/>
    <col min="28" max="28" width="12.796875" bestFit="1" customWidth="1"/>
    <col min="29" max="29" width="10.296875" bestFit="1" customWidth="1"/>
    <col min="30" max="30" width="18.19921875" bestFit="1" customWidth="1"/>
    <col min="31" max="31" width="16.3984375" bestFit="1" customWidth="1"/>
  </cols>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31</v>
      </c>
      <c r="B2" t="s">
        <v>32</v>
      </c>
      <c r="C2" s="1">
        <v>44823</v>
      </c>
      <c r="D2" s="1">
        <v>44160</v>
      </c>
      <c r="E2" t="s">
        <v>33</v>
      </c>
      <c r="F2" t="s">
        <v>34</v>
      </c>
      <c r="G2" t="s">
        <v>35</v>
      </c>
      <c r="H2" t="s">
        <v>36</v>
      </c>
      <c r="I2" t="s">
        <v>37</v>
      </c>
      <c r="J2" t="s">
        <v>38</v>
      </c>
      <c r="K2" t="s">
        <v>39</v>
      </c>
      <c r="L2" t="s">
        <v>40</v>
      </c>
      <c r="M2">
        <v>373.69</v>
      </c>
      <c r="N2">
        <v>55</v>
      </c>
      <c r="O2" t="s">
        <v>41</v>
      </c>
      <c r="P2" t="s">
        <v>42</v>
      </c>
      <c r="Q2" t="s">
        <v>43</v>
      </c>
      <c r="R2" t="s">
        <v>44</v>
      </c>
      <c r="S2" t="s">
        <v>45</v>
      </c>
      <c r="T2" t="s">
        <v>46</v>
      </c>
      <c r="U2">
        <v>4259</v>
      </c>
      <c r="V2">
        <v>214</v>
      </c>
      <c r="W2">
        <v>9</v>
      </c>
      <c r="X2">
        <v>1474.56</v>
      </c>
      <c r="Y2">
        <v>406.15</v>
      </c>
      <c r="Z2">
        <v>1880.71</v>
      </c>
      <c r="AA2" t="s">
        <v>47</v>
      </c>
      <c r="AB2">
        <v>8</v>
      </c>
      <c r="AC2">
        <v>93.39</v>
      </c>
      <c r="AD2">
        <v>341</v>
      </c>
      <c r="AE2">
        <v>291</v>
      </c>
    </row>
    <row r="3" spans="1:31" x14ac:dyDescent="0.25">
      <c r="A3" t="s">
        <v>48</v>
      </c>
      <c r="B3" t="s">
        <v>49</v>
      </c>
      <c r="C3" s="1">
        <v>44555</v>
      </c>
      <c r="D3" s="1">
        <v>44119</v>
      </c>
      <c r="E3" t="s">
        <v>50</v>
      </c>
      <c r="F3" t="s">
        <v>51</v>
      </c>
      <c r="G3" t="s">
        <v>52</v>
      </c>
      <c r="H3" t="s">
        <v>53</v>
      </c>
      <c r="I3" t="s">
        <v>54</v>
      </c>
      <c r="J3" t="s">
        <v>38</v>
      </c>
      <c r="K3" t="s">
        <v>55</v>
      </c>
      <c r="L3" t="s">
        <v>56</v>
      </c>
      <c r="M3">
        <v>264.69</v>
      </c>
      <c r="N3">
        <v>3</v>
      </c>
      <c r="O3" t="s">
        <v>57</v>
      </c>
      <c r="P3" t="s">
        <v>58</v>
      </c>
      <c r="Q3" t="s">
        <v>59</v>
      </c>
      <c r="R3" t="s">
        <v>60</v>
      </c>
      <c r="S3" t="s">
        <v>45</v>
      </c>
      <c r="T3" t="s">
        <v>61</v>
      </c>
      <c r="U3">
        <v>1173</v>
      </c>
      <c r="V3">
        <v>386</v>
      </c>
      <c r="W3">
        <v>24</v>
      </c>
      <c r="X3">
        <v>1874.56</v>
      </c>
      <c r="Y3">
        <v>421.77</v>
      </c>
      <c r="Z3">
        <v>2296.33</v>
      </c>
      <c r="AA3" t="s">
        <v>62</v>
      </c>
      <c r="AB3">
        <v>0</v>
      </c>
      <c r="AC3">
        <v>95.29</v>
      </c>
      <c r="AD3">
        <v>482</v>
      </c>
      <c r="AE3">
        <v>477</v>
      </c>
    </row>
    <row r="4" spans="1:31" x14ac:dyDescent="0.25">
      <c r="A4" t="s">
        <v>63</v>
      </c>
      <c r="B4" t="s">
        <v>64</v>
      </c>
      <c r="C4" s="1">
        <v>44045</v>
      </c>
      <c r="D4" s="1">
        <v>45123</v>
      </c>
      <c r="E4" t="s">
        <v>65</v>
      </c>
      <c r="F4" t="s">
        <v>51</v>
      </c>
      <c r="G4" t="s">
        <v>66</v>
      </c>
      <c r="H4" t="s">
        <v>67</v>
      </c>
      <c r="I4" t="s">
        <v>68</v>
      </c>
      <c r="J4" t="s">
        <v>38</v>
      </c>
      <c r="K4" t="s">
        <v>69</v>
      </c>
      <c r="L4" t="s">
        <v>70</v>
      </c>
      <c r="M4">
        <v>497.44</v>
      </c>
      <c r="N4">
        <v>80</v>
      </c>
      <c r="O4" t="s">
        <v>71</v>
      </c>
      <c r="P4" t="s">
        <v>42</v>
      </c>
      <c r="Q4" t="s">
        <v>72</v>
      </c>
      <c r="R4" t="s">
        <v>44</v>
      </c>
      <c r="S4" t="s">
        <v>73</v>
      </c>
      <c r="T4" t="s">
        <v>74</v>
      </c>
      <c r="U4">
        <v>588</v>
      </c>
      <c r="V4">
        <v>398</v>
      </c>
      <c r="W4">
        <v>27</v>
      </c>
      <c r="X4">
        <v>439.67</v>
      </c>
      <c r="Y4">
        <v>289.19</v>
      </c>
      <c r="Z4">
        <v>728.86</v>
      </c>
      <c r="AA4" t="s">
        <v>62</v>
      </c>
      <c r="AB4">
        <v>0</v>
      </c>
      <c r="AC4">
        <v>76.63</v>
      </c>
      <c r="AD4">
        <v>461</v>
      </c>
      <c r="AE4">
        <v>476</v>
      </c>
    </row>
    <row r="5" spans="1:31" x14ac:dyDescent="0.25">
      <c r="A5" t="s">
        <v>75</v>
      </c>
      <c r="B5" t="s">
        <v>76</v>
      </c>
      <c r="C5" s="1">
        <v>44845</v>
      </c>
      <c r="D5" s="1">
        <v>44888</v>
      </c>
      <c r="E5" t="s">
        <v>50</v>
      </c>
      <c r="F5" t="s">
        <v>77</v>
      </c>
      <c r="G5" t="s">
        <v>78</v>
      </c>
      <c r="H5" t="s">
        <v>79</v>
      </c>
      <c r="I5" t="s">
        <v>80</v>
      </c>
      <c r="J5" t="s">
        <v>38</v>
      </c>
      <c r="K5" t="s">
        <v>81</v>
      </c>
      <c r="L5" t="s">
        <v>82</v>
      </c>
      <c r="M5">
        <v>266.87</v>
      </c>
      <c r="N5">
        <v>44</v>
      </c>
      <c r="O5" t="s">
        <v>83</v>
      </c>
      <c r="P5" t="s">
        <v>84</v>
      </c>
      <c r="Q5" t="s">
        <v>85</v>
      </c>
      <c r="R5" t="s">
        <v>86</v>
      </c>
      <c r="S5" t="s">
        <v>87</v>
      </c>
      <c r="T5" t="s">
        <v>88</v>
      </c>
      <c r="U5">
        <v>4700</v>
      </c>
      <c r="V5">
        <v>381</v>
      </c>
      <c r="W5">
        <v>29</v>
      </c>
      <c r="X5">
        <v>1378.1</v>
      </c>
      <c r="Y5">
        <v>321.73</v>
      </c>
      <c r="Z5">
        <v>1699.83</v>
      </c>
      <c r="AA5" t="s">
        <v>62</v>
      </c>
      <c r="AB5">
        <v>0</v>
      </c>
      <c r="AC5">
        <v>85.24</v>
      </c>
      <c r="AD5">
        <v>150</v>
      </c>
      <c r="AE5">
        <v>198</v>
      </c>
    </row>
    <row r="6" spans="1:31" x14ac:dyDescent="0.25">
      <c r="A6" t="s">
        <v>89</v>
      </c>
      <c r="B6" t="s">
        <v>90</v>
      </c>
      <c r="C6" s="1">
        <v>44403</v>
      </c>
      <c r="D6" s="1">
        <v>45340</v>
      </c>
      <c r="E6" t="s">
        <v>65</v>
      </c>
      <c r="F6" t="s">
        <v>91</v>
      </c>
      <c r="G6" t="s">
        <v>92</v>
      </c>
      <c r="H6" t="s">
        <v>53</v>
      </c>
      <c r="I6" t="s">
        <v>93</v>
      </c>
      <c r="J6" t="s">
        <v>38</v>
      </c>
      <c r="K6" t="s">
        <v>94</v>
      </c>
      <c r="L6" t="s">
        <v>95</v>
      </c>
      <c r="M6">
        <v>360.94</v>
      </c>
      <c r="N6">
        <v>18</v>
      </c>
      <c r="O6" t="s">
        <v>96</v>
      </c>
      <c r="P6" t="s">
        <v>58</v>
      </c>
      <c r="Q6" t="s">
        <v>97</v>
      </c>
      <c r="R6" t="s">
        <v>86</v>
      </c>
      <c r="S6" t="s">
        <v>98</v>
      </c>
      <c r="T6" t="s">
        <v>99</v>
      </c>
      <c r="U6">
        <v>1795</v>
      </c>
      <c r="V6">
        <v>415</v>
      </c>
      <c r="W6">
        <v>27</v>
      </c>
      <c r="X6">
        <v>861.29</v>
      </c>
      <c r="Y6">
        <v>351.29</v>
      </c>
      <c r="Z6">
        <v>1212.58</v>
      </c>
      <c r="AA6" t="s">
        <v>62</v>
      </c>
      <c r="AB6">
        <v>0</v>
      </c>
      <c r="AC6">
        <v>86.44</v>
      </c>
      <c r="AD6">
        <v>89</v>
      </c>
      <c r="AE6">
        <v>93</v>
      </c>
    </row>
    <row r="7" spans="1:31" x14ac:dyDescent="0.25">
      <c r="A7" t="s">
        <v>100</v>
      </c>
      <c r="B7" t="s">
        <v>101</v>
      </c>
      <c r="C7" s="1">
        <v>45254</v>
      </c>
      <c r="D7" s="1">
        <v>44602</v>
      </c>
      <c r="E7" t="s">
        <v>50</v>
      </c>
      <c r="F7" t="s">
        <v>51</v>
      </c>
      <c r="G7" t="s">
        <v>102</v>
      </c>
      <c r="H7" t="s">
        <v>36</v>
      </c>
      <c r="I7" t="s">
        <v>103</v>
      </c>
      <c r="J7" t="s">
        <v>104</v>
      </c>
      <c r="K7" t="s">
        <v>105</v>
      </c>
      <c r="L7" t="s">
        <v>106</v>
      </c>
      <c r="M7">
        <v>172.93</v>
      </c>
      <c r="N7">
        <v>35</v>
      </c>
      <c r="O7" t="s">
        <v>107</v>
      </c>
      <c r="P7" t="s">
        <v>108</v>
      </c>
      <c r="Q7" t="s">
        <v>109</v>
      </c>
      <c r="R7" t="s">
        <v>60</v>
      </c>
      <c r="S7" t="s">
        <v>73</v>
      </c>
      <c r="T7" t="s">
        <v>110</v>
      </c>
      <c r="U7">
        <v>1159</v>
      </c>
      <c r="V7">
        <v>228</v>
      </c>
      <c r="W7">
        <v>13</v>
      </c>
      <c r="X7">
        <v>690.34</v>
      </c>
      <c r="Y7">
        <v>410.07</v>
      </c>
      <c r="Z7">
        <v>1100.4100000000001</v>
      </c>
      <c r="AA7" t="s">
        <v>62</v>
      </c>
      <c r="AB7">
        <v>0</v>
      </c>
      <c r="AC7">
        <v>88.12</v>
      </c>
      <c r="AD7">
        <v>348</v>
      </c>
      <c r="AE7">
        <v>325</v>
      </c>
    </row>
    <row r="8" spans="1:31" x14ac:dyDescent="0.25">
      <c r="A8" t="s">
        <v>111</v>
      </c>
      <c r="B8" t="s">
        <v>112</v>
      </c>
      <c r="C8" s="1">
        <v>45515</v>
      </c>
      <c r="D8" s="1">
        <v>45601</v>
      </c>
      <c r="E8" t="s">
        <v>65</v>
      </c>
      <c r="F8" t="s">
        <v>91</v>
      </c>
      <c r="G8" t="s">
        <v>113</v>
      </c>
      <c r="H8" t="s">
        <v>114</v>
      </c>
      <c r="I8" t="s">
        <v>115</v>
      </c>
      <c r="J8" t="s">
        <v>38</v>
      </c>
      <c r="K8" t="s">
        <v>94</v>
      </c>
      <c r="L8" t="s">
        <v>116</v>
      </c>
      <c r="M8">
        <v>103.93</v>
      </c>
      <c r="N8">
        <v>38</v>
      </c>
      <c r="O8" t="s">
        <v>117</v>
      </c>
      <c r="P8" t="s">
        <v>84</v>
      </c>
      <c r="Q8" t="s">
        <v>118</v>
      </c>
      <c r="R8" t="s">
        <v>86</v>
      </c>
      <c r="S8" t="s">
        <v>87</v>
      </c>
      <c r="T8" t="s">
        <v>119</v>
      </c>
      <c r="U8">
        <v>3330</v>
      </c>
      <c r="V8">
        <v>425</v>
      </c>
      <c r="W8">
        <v>28</v>
      </c>
      <c r="X8">
        <v>1828.88</v>
      </c>
      <c r="Y8">
        <v>314.18</v>
      </c>
      <c r="Z8">
        <v>2143.06</v>
      </c>
      <c r="AA8" t="s">
        <v>62</v>
      </c>
      <c r="AB8">
        <v>0</v>
      </c>
      <c r="AC8">
        <v>93.23</v>
      </c>
      <c r="AD8">
        <v>488</v>
      </c>
      <c r="AE8">
        <v>511</v>
      </c>
    </row>
    <row r="9" spans="1:31" x14ac:dyDescent="0.25">
      <c r="A9" t="s">
        <v>120</v>
      </c>
      <c r="B9" t="s">
        <v>121</v>
      </c>
      <c r="C9" s="1">
        <v>44286</v>
      </c>
      <c r="D9" s="1">
        <v>44938</v>
      </c>
      <c r="E9" t="s">
        <v>65</v>
      </c>
      <c r="F9" t="s">
        <v>34</v>
      </c>
      <c r="G9" t="s">
        <v>78</v>
      </c>
      <c r="H9" t="s">
        <v>36</v>
      </c>
      <c r="I9" t="s">
        <v>122</v>
      </c>
      <c r="J9" t="s">
        <v>38</v>
      </c>
      <c r="K9" t="s">
        <v>94</v>
      </c>
      <c r="L9" t="s">
        <v>123</v>
      </c>
      <c r="M9">
        <v>130.35</v>
      </c>
      <c r="N9">
        <v>32</v>
      </c>
      <c r="O9" t="s">
        <v>124</v>
      </c>
      <c r="P9" t="s">
        <v>42</v>
      </c>
      <c r="Q9" t="s">
        <v>125</v>
      </c>
      <c r="R9" t="s">
        <v>60</v>
      </c>
      <c r="S9" t="s">
        <v>126</v>
      </c>
      <c r="T9" t="s">
        <v>127</v>
      </c>
      <c r="U9">
        <v>4252</v>
      </c>
      <c r="V9">
        <v>229</v>
      </c>
      <c r="W9">
        <v>22</v>
      </c>
      <c r="X9">
        <v>468.41</v>
      </c>
      <c r="Y9">
        <v>453.18</v>
      </c>
      <c r="Z9">
        <v>921.59</v>
      </c>
      <c r="AA9" t="s">
        <v>62</v>
      </c>
      <c r="AB9">
        <v>0</v>
      </c>
      <c r="AC9">
        <v>86.46</v>
      </c>
      <c r="AD9">
        <v>425</v>
      </c>
      <c r="AE9">
        <v>378</v>
      </c>
    </row>
    <row r="10" spans="1:31" x14ac:dyDescent="0.25">
      <c r="A10" t="s">
        <v>128</v>
      </c>
      <c r="B10" t="s">
        <v>129</v>
      </c>
      <c r="C10" s="1">
        <v>44920</v>
      </c>
      <c r="D10" s="1">
        <v>45145</v>
      </c>
      <c r="E10" t="s">
        <v>50</v>
      </c>
      <c r="F10" t="s">
        <v>34</v>
      </c>
      <c r="G10" t="s">
        <v>78</v>
      </c>
      <c r="H10" t="s">
        <v>53</v>
      </c>
      <c r="I10" t="s">
        <v>130</v>
      </c>
      <c r="J10" t="s">
        <v>38</v>
      </c>
      <c r="K10" t="s">
        <v>55</v>
      </c>
      <c r="L10" t="s">
        <v>131</v>
      </c>
      <c r="M10">
        <v>45.53</v>
      </c>
      <c r="N10">
        <v>27</v>
      </c>
      <c r="O10" t="s">
        <v>132</v>
      </c>
      <c r="P10" t="s">
        <v>42</v>
      </c>
      <c r="Q10" t="s">
        <v>133</v>
      </c>
      <c r="R10" t="s">
        <v>86</v>
      </c>
      <c r="S10" t="s">
        <v>126</v>
      </c>
      <c r="T10" t="s">
        <v>134</v>
      </c>
      <c r="U10">
        <v>1395</v>
      </c>
      <c r="V10">
        <v>419</v>
      </c>
      <c r="W10">
        <v>27</v>
      </c>
      <c r="X10">
        <v>1249.0999999999999</v>
      </c>
      <c r="Y10">
        <v>147.27000000000001</v>
      </c>
      <c r="Z10">
        <v>1396.37</v>
      </c>
      <c r="AA10" t="s">
        <v>47</v>
      </c>
      <c r="AB10">
        <v>5</v>
      </c>
      <c r="AC10">
        <v>98.59</v>
      </c>
      <c r="AD10">
        <v>379</v>
      </c>
      <c r="AE10">
        <v>402</v>
      </c>
    </row>
    <row r="11" spans="1:31" x14ac:dyDescent="0.25">
      <c r="A11" t="s">
        <v>135</v>
      </c>
      <c r="B11" t="s">
        <v>136</v>
      </c>
      <c r="C11" s="1">
        <v>43854</v>
      </c>
      <c r="D11" s="1">
        <v>44262</v>
      </c>
      <c r="E11" t="s">
        <v>50</v>
      </c>
      <c r="F11" t="s">
        <v>34</v>
      </c>
      <c r="G11" t="s">
        <v>102</v>
      </c>
      <c r="H11" t="s">
        <v>36</v>
      </c>
      <c r="I11" t="s">
        <v>137</v>
      </c>
      <c r="J11" t="s">
        <v>38</v>
      </c>
      <c r="K11" t="s">
        <v>138</v>
      </c>
      <c r="L11" t="s">
        <v>139</v>
      </c>
      <c r="M11">
        <v>65.62</v>
      </c>
      <c r="N11">
        <v>65</v>
      </c>
      <c r="O11" t="s">
        <v>140</v>
      </c>
      <c r="P11" t="s">
        <v>141</v>
      </c>
      <c r="Q11" t="s">
        <v>142</v>
      </c>
      <c r="R11" t="s">
        <v>44</v>
      </c>
      <c r="S11" t="s">
        <v>126</v>
      </c>
      <c r="T11" t="s">
        <v>143</v>
      </c>
      <c r="U11">
        <v>1590</v>
      </c>
      <c r="V11">
        <v>246</v>
      </c>
      <c r="W11">
        <v>29</v>
      </c>
      <c r="X11">
        <v>1632.88</v>
      </c>
      <c r="Y11">
        <v>415.97</v>
      </c>
      <c r="Z11">
        <v>2048.85</v>
      </c>
      <c r="AA11" t="s">
        <v>47</v>
      </c>
      <c r="AB11">
        <v>11</v>
      </c>
      <c r="AC11">
        <v>84.77</v>
      </c>
      <c r="AD11">
        <v>300</v>
      </c>
      <c r="AE11">
        <v>306</v>
      </c>
    </row>
    <row r="12" spans="1:31" x14ac:dyDescent="0.25">
      <c r="A12" t="s">
        <v>144</v>
      </c>
      <c r="B12" t="s">
        <v>145</v>
      </c>
      <c r="C12" s="1">
        <v>43854</v>
      </c>
      <c r="D12" s="1">
        <v>44059</v>
      </c>
      <c r="E12" t="s">
        <v>33</v>
      </c>
      <c r="F12" t="s">
        <v>146</v>
      </c>
      <c r="G12" t="s">
        <v>35</v>
      </c>
      <c r="H12" t="s">
        <v>147</v>
      </c>
      <c r="I12" t="s">
        <v>148</v>
      </c>
      <c r="J12" t="s">
        <v>38</v>
      </c>
      <c r="K12" t="s">
        <v>39</v>
      </c>
      <c r="L12" t="s">
        <v>149</v>
      </c>
      <c r="M12">
        <v>309.55</v>
      </c>
      <c r="N12">
        <v>93</v>
      </c>
      <c r="O12" t="s">
        <v>150</v>
      </c>
      <c r="P12" t="s">
        <v>42</v>
      </c>
      <c r="Q12" t="s">
        <v>151</v>
      </c>
      <c r="R12" t="s">
        <v>152</v>
      </c>
      <c r="S12" t="s">
        <v>73</v>
      </c>
      <c r="T12" t="s">
        <v>153</v>
      </c>
      <c r="U12">
        <v>2116</v>
      </c>
      <c r="V12">
        <v>291</v>
      </c>
      <c r="W12">
        <v>4</v>
      </c>
      <c r="X12">
        <v>384.63</v>
      </c>
      <c r="Y12">
        <v>337.66</v>
      </c>
      <c r="Z12">
        <v>722.29</v>
      </c>
      <c r="AA12" t="s">
        <v>62</v>
      </c>
      <c r="AB12">
        <v>0</v>
      </c>
      <c r="AC12">
        <v>94.8</v>
      </c>
      <c r="AD12">
        <v>425</v>
      </c>
      <c r="AE12">
        <v>386</v>
      </c>
    </row>
    <row r="13" spans="1:31" x14ac:dyDescent="0.25">
      <c r="A13" t="s">
        <v>154</v>
      </c>
      <c r="B13" t="s">
        <v>155</v>
      </c>
      <c r="C13" s="1">
        <v>45631</v>
      </c>
      <c r="D13" s="1">
        <v>44030</v>
      </c>
      <c r="E13" t="s">
        <v>50</v>
      </c>
      <c r="F13" t="s">
        <v>146</v>
      </c>
      <c r="G13" t="s">
        <v>78</v>
      </c>
      <c r="H13" t="s">
        <v>53</v>
      </c>
      <c r="I13" t="s">
        <v>156</v>
      </c>
      <c r="J13" t="s">
        <v>38</v>
      </c>
      <c r="K13" t="s">
        <v>39</v>
      </c>
      <c r="L13" t="s">
        <v>157</v>
      </c>
      <c r="M13">
        <v>186.56</v>
      </c>
      <c r="N13">
        <v>93</v>
      </c>
      <c r="O13" t="s">
        <v>158</v>
      </c>
      <c r="P13" t="s">
        <v>42</v>
      </c>
      <c r="Q13" t="s">
        <v>159</v>
      </c>
      <c r="R13" t="s">
        <v>60</v>
      </c>
      <c r="S13" t="s">
        <v>126</v>
      </c>
      <c r="T13" t="s">
        <v>160</v>
      </c>
      <c r="U13">
        <v>4911</v>
      </c>
      <c r="V13">
        <v>358</v>
      </c>
      <c r="W13">
        <v>18</v>
      </c>
      <c r="X13">
        <v>706.31</v>
      </c>
      <c r="Y13">
        <v>293.54000000000002</v>
      </c>
      <c r="Z13">
        <v>999.84999999999991</v>
      </c>
      <c r="AA13" t="s">
        <v>62</v>
      </c>
      <c r="AB13">
        <v>0</v>
      </c>
      <c r="AC13">
        <v>70.02</v>
      </c>
      <c r="AD13">
        <v>257</v>
      </c>
      <c r="AE13">
        <v>257</v>
      </c>
    </row>
    <row r="14" spans="1:31" x14ac:dyDescent="0.25">
      <c r="A14" t="s">
        <v>161</v>
      </c>
      <c r="B14" t="s">
        <v>162</v>
      </c>
      <c r="C14" s="1">
        <v>45194</v>
      </c>
      <c r="D14" s="1">
        <v>44024</v>
      </c>
      <c r="E14" t="s">
        <v>65</v>
      </c>
      <c r="F14" t="s">
        <v>77</v>
      </c>
      <c r="G14" t="s">
        <v>113</v>
      </c>
      <c r="H14" t="s">
        <v>163</v>
      </c>
      <c r="I14" t="s">
        <v>164</v>
      </c>
      <c r="J14" t="s">
        <v>165</v>
      </c>
      <c r="K14" t="s">
        <v>166</v>
      </c>
      <c r="L14" t="s">
        <v>167</v>
      </c>
      <c r="M14">
        <v>88.2</v>
      </c>
      <c r="N14">
        <v>91</v>
      </c>
      <c r="O14" t="s">
        <v>168</v>
      </c>
      <c r="P14" t="s">
        <v>108</v>
      </c>
      <c r="Q14" t="s">
        <v>169</v>
      </c>
      <c r="R14" t="s">
        <v>86</v>
      </c>
      <c r="S14" t="s">
        <v>73</v>
      </c>
      <c r="T14" t="s">
        <v>170</v>
      </c>
      <c r="U14">
        <v>2805</v>
      </c>
      <c r="V14">
        <v>490</v>
      </c>
      <c r="W14">
        <v>2</v>
      </c>
      <c r="X14">
        <v>1263.24</v>
      </c>
      <c r="Y14">
        <v>80.16</v>
      </c>
      <c r="Z14">
        <v>1343.4</v>
      </c>
      <c r="AA14" t="s">
        <v>62</v>
      </c>
      <c r="AB14">
        <v>0</v>
      </c>
      <c r="AC14">
        <v>76.64</v>
      </c>
      <c r="AD14">
        <v>428</v>
      </c>
      <c r="AE14">
        <v>434</v>
      </c>
    </row>
    <row r="15" spans="1:31" x14ac:dyDescent="0.25">
      <c r="A15" t="s">
        <v>171</v>
      </c>
      <c r="B15" t="s">
        <v>172</v>
      </c>
      <c r="C15" s="1">
        <v>45272</v>
      </c>
      <c r="D15" s="1">
        <v>45403</v>
      </c>
      <c r="E15" t="s">
        <v>65</v>
      </c>
      <c r="F15" t="s">
        <v>77</v>
      </c>
      <c r="G15" t="s">
        <v>113</v>
      </c>
      <c r="H15" t="s">
        <v>114</v>
      </c>
      <c r="I15" t="s">
        <v>173</v>
      </c>
      <c r="J15" t="s">
        <v>165</v>
      </c>
      <c r="K15" t="s">
        <v>166</v>
      </c>
      <c r="L15" t="s">
        <v>174</v>
      </c>
      <c r="M15">
        <v>165.4</v>
      </c>
      <c r="N15">
        <v>55</v>
      </c>
      <c r="O15" t="s">
        <v>175</v>
      </c>
      <c r="P15" t="s">
        <v>58</v>
      </c>
      <c r="Q15" t="s">
        <v>176</v>
      </c>
      <c r="R15" t="s">
        <v>44</v>
      </c>
      <c r="S15" t="s">
        <v>73</v>
      </c>
      <c r="T15" t="s">
        <v>177</v>
      </c>
      <c r="U15">
        <v>4728</v>
      </c>
      <c r="V15">
        <v>220</v>
      </c>
      <c r="W15">
        <v>26</v>
      </c>
      <c r="X15">
        <v>1831.52</v>
      </c>
      <c r="Y15">
        <v>70.27</v>
      </c>
      <c r="Z15">
        <v>1901.79</v>
      </c>
      <c r="AA15" t="s">
        <v>47</v>
      </c>
      <c r="AB15">
        <v>10</v>
      </c>
      <c r="AC15">
        <v>91.19</v>
      </c>
      <c r="AD15">
        <v>252</v>
      </c>
      <c r="AE15">
        <v>222</v>
      </c>
    </row>
    <row r="16" spans="1:31" x14ac:dyDescent="0.25">
      <c r="A16" t="s">
        <v>178</v>
      </c>
      <c r="B16" t="s">
        <v>179</v>
      </c>
      <c r="C16" s="1">
        <v>45585</v>
      </c>
      <c r="D16" s="1">
        <v>44435</v>
      </c>
      <c r="E16" t="s">
        <v>50</v>
      </c>
      <c r="F16" t="s">
        <v>51</v>
      </c>
      <c r="G16" t="s">
        <v>92</v>
      </c>
      <c r="H16" t="s">
        <v>147</v>
      </c>
      <c r="I16" t="s">
        <v>180</v>
      </c>
      <c r="J16" t="s">
        <v>104</v>
      </c>
      <c r="K16" t="s">
        <v>181</v>
      </c>
      <c r="L16" t="s">
        <v>182</v>
      </c>
      <c r="M16">
        <v>20.3</v>
      </c>
      <c r="N16">
        <v>56</v>
      </c>
      <c r="O16" t="s">
        <v>183</v>
      </c>
      <c r="P16" t="s">
        <v>141</v>
      </c>
      <c r="Q16" t="s">
        <v>184</v>
      </c>
      <c r="R16" t="s">
        <v>44</v>
      </c>
      <c r="S16" t="s">
        <v>73</v>
      </c>
      <c r="T16" t="s">
        <v>185</v>
      </c>
      <c r="U16">
        <v>3385</v>
      </c>
      <c r="V16">
        <v>274</v>
      </c>
      <c r="W16">
        <v>6</v>
      </c>
      <c r="X16">
        <v>1243.6500000000001</v>
      </c>
      <c r="Y16">
        <v>168.46</v>
      </c>
      <c r="Z16">
        <v>1412.11</v>
      </c>
      <c r="AA16" t="s">
        <v>62</v>
      </c>
      <c r="AB16">
        <v>0</v>
      </c>
      <c r="AC16">
        <v>83.04</v>
      </c>
      <c r="AD16">
        <v>421</v>
      </c>
      <c r="AE16">
        <v>445</v>
      </c>
    </row>
    <row r="17" spans="1:31" x14ac:dyDescent="0.25">
      <c r="A17" t="s">
        <v>186</v>
      </c>
      <c r="B17" t="s">
        <v>187</v>
      </c>
      <c r="C17" s="1">
        <v>44785</v>
      </c>
      <c r="D17" s="1">
        <v>45429</v>
      </c>
      <c r="E17" t="s">
        <v>50</v>
      </c>
      <c r="F17" t="s">
        <v>51</v>
      </c>
      <c r="G17" t="s">
        <v>52</v>
      </c>
      <c r="H17" t="s">
        <v>147</v>
      </c>
      <c r="I17" t="s">
        <v>188</v>
      </c>
      <c r="J17" t="s">
        <v>38</v>
      </c>
      <c r="K17" t="s">
        <v>55</v>
      </c>
      <c r="L17" t="s">
        <v>189</v>
      </c>
      <c r="M17">
        <v>94.21</v>
      </c>
      <c r="N17">
        <v>19</v>
      </c>
      <c r="O17" t="s">
        <v>190</v>
      </c>
      <c r="P17" t="s">
        <v>42</v>
      </c>
      <c r="Q17" t="s">
        <v>191</v>
      </c>
      <c r="R17" t="s">
        <v>86</v>
      </c>
      <c r="S17" t="s">
        <v>98</v>
      </c>
      <c r="T17" t="s">
        <v>192</v>
      </c>
      <c r="U17">
        <v>551</v>
      </c>
      <c r="V17">
        <v>202</v>
      </c>
      <c r="W17">
        <v>20</v>
      </c>
      <c r="X17">
        <v>245.11</v>
      </c>
      <c r="Y17">
        <v>180.68</v>
      </c>
      <c r="Z17">
        <v>425.79</v>
      </c>
      <c r="AA17" t="s">
        <v>62</v>
      </c>
      <c r="AB17">
        <v>0</v>
      </c>
      <c r="AC17">
        <v>93.23</v>
      </c>
      <c r="AD17">
        <v>199</v>
      </c>
      <c r="AE17">
        <v>218</v>
      </c>
    </row>
    <row r="18" spans="1:31" x14ac:dyDescent="0.25">
      <c r="A18" t="s">
        <v>193</v>
      </c>
      <c r="B18" t="s">
        <v>194</v>
      </c>
      <c r="C18" s="1">
        <v>44688</v>
      </c>
      <c r="D18" s="1">
        <v>44554</v>
      </c>
      <c r="E18" t="s">
        <v>50</v>
      </c>
      <c r="F18" t="s">
        <v>77</v>
      </c>
      <c r="G18" t="s">
        <v>35</v>
      </c>
      <c r="H18" t="s">
        <v>67</v>
      </c>
      <c r="I18" t="s">
        <v>195</v>
      </c>
      <c r="J18" t="s">
        <v>38</v>
      </c>
      <c r="K18" t="s">
        <v>94</v>
      </c>
      <c r="L18" t="s">
        <v>196</v>
      </c>
      <c r="M18">
        <v>33</v>
      </c>
      <c r="N18">
        <v>16</v>
      </c>
      <c r="O18" t="s">
        <v>197</v>
      </c>
      <c r="P18" t="s">
        <v>84</v>
      </c>
      <c r="Q18" t="s">
        <v>176</v>
      </c>
      <c r="R18" t="s">
        <v>86</v>
      </c>
      <c r="S18" t="s">
        <v>87</v>
      </c>
      <c r="T18" t="s">
        <v>198</v>
      </c>
      <c r="U18">
        <v>2548</v>
      </c>
      <c r="V18">
        <v>53</v>
      </c>
      <c r="W18">
        <v>8</v>
      </c>
      <c r="X18">
        <v>1545.99</v>
      </c>
      <c r="Y18">
        <v>22.39</v>
      </c>
      <c r="Z18">
        <v>1568.38</v>
      </c>
      <c r="AA18" t="s">
        <v>62</v>
      </c>
      <c r="AB18">
        <v>0</v>
      </c>
      <c r="AC18">
        <v>76.39</v>
      </c>
      <c r="AD18">
        <v>320</v>
      </c>
      <c r="AE18">
        <v>313</v>
      </c>
    </row>
    <row r="19" spans="1:31" x14ac:dyDescent="0.25">
      <c r="A19" t="s">
        <v>199</v>
      </c>
      <c r="B19" t="s">
        <v>200</v>
      </c>
      <c r="C19" s="1">
        <v>44022</v>
      </c>
      <c r="D19" s="1">
        <v>45530</v>
      </c>
      <c r="E19" t="s">
        <v>65</v>
      </c>
      <c r="F19" t="s">
        <v>51</v>
      </c>
      <c r="G19" t="s">
        <v>113</v>
      </c>
      <c r="H19" t="s">
        <v>147</v>
      </c>
      <c r="I19" t="s">
        <v>201</v>
      </c>
      <c r="J19" t="s">
        <v>165</v>
      </c>
      <c r="K19" t="s">
        <v>202</v>
      </c>
      <c r="L19" t="s">
        <v>203</v>
      </c>
      <c r="M19">
        <v>397.89</v>
      </c>
      <c r="N19">
        <v>60</v>
      </c>
      <c r="O19" t="s">
        <v>204</v>
      </c>
      <c r="P19" t="s">
        <v>58</v>
      </c>
      <c r="Q19" t="s">
        <v>205</v>
      </c>
      <c r="R19" t="s">
        <v>44</v>
      </c>
      <c r="S19" t="s">
        <v>126</v>
      </c>
      <c r="T19" t="s">
        <v>206</v>
      </c>
      <c r="U19">
        <v>1899</v>
      </c>
      <c r="V19">
        <v>368</v>
      </c>
      <c r="W19">
        <v>1</v>
      </c>
      <c r="X19">
        <v>1961.05</v>
      </c>
      <c r="Y19">
        <v>348.86</v>
      </c>
      <c r="Z19">
        <v>2309.91</v>
      </c>
      <c r="AA19" t="s">
        <v>62</v>
      </c>
      <c r="AB19">
        <v>0</v>
      </c>
      <c r="AC19">
        <v>92.39</v>
      </c>
      <c r="AD19">
        <v>263</v>
      </c>
      <c r="AE19">
        <v>226</v>
      </c>
    </row>
    <row r="20" spans="1:31" x14ac:dyDescent="0.25">
      <c r="A20" t="s">
        <v>207</v>
      </c>
      <c r="B20" t="s">
        <v>208</v>
      </c>
      <c r="C20" s="1">
        <v>44082</v>
      </c>
      <c r="D20" s="1">
        <v>45056</v>
      </c>
      <c r="E20" t="s">
        <v>65</v>
      </c>
      <c r="F20" t="s">
        <v>146</v>
      </c>
      <c r="G20" t="s">
        <v>35</v>
      </c>
      <c r="H20" t="s">
        <v>114</v>
      </c>
      <c r="I20" t="s">
        <v>209</v>
      </c>
      <c r="J20" t="s">
        <v>104</v>
      </c>
      <c r="K20" t="s">
        <v>181</v>
      </c>
      <c r="L20" t="s">
        <v>210</v>
      </c>
      <c r="M20">
        <v>127.64</v>
      </c>
      <c r="N20">
        <v>27</v>
      </c>
      <c r="O20" t="s">
        <v>211</v>
      </c>
      <c r="P20" t="s">
        <v>108</v>
      </c>
      <c r="Q20" t="s">
        <v>151</v>
      </c>
      <c r="R20" t="s">
        <v>60</v>
      </c>
      <c r="S20" t="s">
        <v>98</v>
      </c>
      <c r="T20" t="s">
        <v>110</v>
      </c>
      <c r="U20">
        <v>2169</v>
      </c>
      <c r="V20">
        <v>153</v>
      </c>
      <c r="W20">
        <v>12</v>
      </c>
      <c r="X20">
        <v>972.32</v>
      </c>
      <c r="Y20">
        <v>327.31</v>
      </c>
      <c r="Z20">
        <v>1299.6300000000001</v>
      </c>
      <c r="AA20" t="s">
        <v>62</v>
      </c>
      <c r="AB20">
        <v>0</v>
      </c>
      <c r="AC20">
        <v>74.36</v>
      </c>
      <c r="AD20">
        <v>356</v>
      </c>
      <c r="AE20">
        <v>350</v>
      </c>
    </row>
    <row r="21" spans="1:31" x14ac:dyDescent="0.25">
      <c r="A21" t="s">
        <v>212</v>
      </c>
      <c r="B21" t="s">
        <v>213</v>
      </c>
      <c r="C21" s="1">
        <v>45394</v>
      </c>
      <c r="D21" s="1">
        <v>45350</v>
      </c>
      <c r="E21" t="s">
        <v>65</v>
      </c>
      <c r="F21" t="s">
        <v>51</v>
      </c>
      <c r="G21" t="s">
        <v>102</v>
      </c>
      <c r="H21" t="s">
        <v>114</v>
      </c>
      <c r="I21" t="s">
        <v>214</v>
      </c>
      <c r="J21" t="s">
        <v>38</v>
      </c>
      <c r="K21" t="s">
        <v>69</v>
      </c>
      <c r="L21" t="s">
        <v>215</v>
      </c>
      <c r="M21">
        <v>209.01</v>
      </c>
      <c r="N21">
        <v>84</v>
      </c>
      <c r="O21" t="s">
        <v>216</v>
      </c>
      <c r="P21" t="s">
        <v>141</v>
      </c>
      <c r="Q21" t="s">
        <v>217</v>
      </c>
      <c r="R21" t="s">
        <v>86</v>
      </c>
      <c r="S21" t="s">
        <v>126</v>
      </c>
      <c r="T21" t="s">
        <v>218</v>
      </c>
      <c r="U21">
        <v>4885</v>
      </c>
      <c r="V21">
        <v>158</v>
      </c>
      <c r="W21">
        <v>1</v>
      </c>
      <c r="X21">
        <v>1991.58</v>
      </c>
      <c r="Y21">
        <v>297.87</v>
      </c>
      <c r="Z21">
        <v>2289.4499999999998</v>
      </c>
      <c r="AA21" t="s">
        <v>62</v>
      </c>
      <c r="AB21">
        <v>0</v>
      </c>
      <c r="AC21">
        <v>80.67</v>
      </c>
      <c r="AD21">
        <v>456</v>
      </c>
      <c r="AE21">
        <v>477</v>
      </c>
    </row>
    <row r="22" spans="1:31" x14ac:dyDescent="0.25">
      <c r="A22" t="s">
        <v>219</v>
      </c>
      <c r="B22" t="s">
        <v>220</v>
      </c>
      <c r="C22" s="1">
        <v>44207</v>
      </c>
      <c r="D22" s="1">
        <v>43911</v>
      </c>
      <c r="E22" t="s">
        <v>65</v>
      </c>
      <c r="F22" t="s">
        <v>77</v>
      </c>
      <c r="G22" t="s">
        <v>66</v>
      </c>
      <c r="H22" t="s">
        <v>221</v>
      </c>
      <c r="I22" t="s">
        <v>222</v>
      </c>
      <c r="J22" t="s">
        <v>104</v>
      </c>
      <c r="K22" t="s">
        <v>181</v>
      </c>
      <c r="L22" t="s">
        <v>223</v>
      </c>
      <c r="M22">
        <v>173.65</v>
      </c>
      <c r="N22">
        <v>94</v>
      </c>
      <c r="O22" t="s">
        <v>224</v>
      </c>
      <c r="P22" t="s">
        <v>84</v>
      </c>
      <c r="Q22" t="s">
        <v>217</v>
      </c>
      <c r="R22" t="s">
        <v>44</v>
      </c>
      <c r="S22" t="s">
        <v>87</v>
      </c>
      <c r="T22" t="s">
        <v>225</v>
      </c>
      <c r="U22">
        <v>3809</v>
      </c>
      <c r="V22">
        <v>442</v>
      </c>
      <c r="W22">
        <v>27</v>
      </c>
      <c r="X22">
        <v>842.25</v>
      </c>
      <c r="Y22">
        <v>325.32</v>
      </c>
      <c r="Z22">
        <v>1167.57</v>
      </c>
      <c r="AA22" t="s">
        <v>62</v>
      </c>
      <c r="AB22">
        <v>0</v>
      </c>
      <c r="AC22">
        <v>81.75</v>
      </c>
      <c r="AD22">
        <v>298</v>
      </c>
      <c r="AE22">
        <v>300</v>
      </c>
    </row>
    <row r="23" spans="1:31" x14ac:dyDescent="0.25">
      <c r="A23" t="s">
        <v>226</v>
      </c>
      <c r="B23" t="s">
        <v>227</v>
      </c>
      <c r="C23" s="1">
        <v>44995</v>
      </c>
      <c r="D23" s="1">
        <v>45601</v>
      </c>
      <c r="E23" t="s">
        <v>50</v>
      </c>
      <c r="F23" t="s">
        <v>91</v>
      </c>
      <c r="G23" t="s">
        <v>102</v>
      </c>
      <c r="H23" t="s">
        <v>114</v>
      </c>
      <c r="I23" t="s">
        <v>228</v>
      </c>
      <c r="J23" t="s">
        <v>104</v>
      </c>
      <c r="K23" t="s">
        <v>229</v>
      </c>
      <c r="L23" t="s">
        <v>230</v>
      </c>
      <c r="M23">
        <v>118.26</v>
      </c>
      <c r="N23">
        <v>88</v>
      </c>
      <c r="O23" t="s">
        <v>231</v>
      </c>
      <c r="P23" t="s">
        <v>141</v>
      </c>
      <c r="Q23" t="s">
        <v>232</v>
      </c>
      <c r="R23" t="s">
        <v>60</v>
      </c>
      <c r="S23" t="s">
        <v>87</v>
      </c>
      <c r="T23" t="s">
        <v>160</v>
      </c>
      <c r="U23">
        <v>3553</v>
      </c>
      <c r="V23">
        <v>417</v>
      </c>
      <c r="W23">
        <v>25</v>
      </c>
      <c r="X23">
        <v>1100.94</v>
      </c>
      <c r="Y23">
        <v>287.49</v>
      </c>
      <c r="Z23">
        <v>1388.43</v>
      </c>
      <c r="AA23" t="s">
        <v>47</v>
      </c>
      <c r="AB23">
        <v>5</v>
      </c>
      <c r="AC23">
        <v>94.24</v>
      </c>
      <c r="AD23">
        <v>466</v>
      </c>
      <c r="AE23">
        <v>491</v>
      </c>
    </row>
    <row r="24" spans="1:31" x14ac:dyDescent="0.25">
      <c r="A24" t="s">
        <v>233</v>
      </c>
      <c r="B24" t="s">
        <v>234</v>
      </c>
      <c r="C24" s="1">
        <v>44043</v>
      </c>
      <c r="D24" s="1">
        <v>44021</v>
      </c>
      <c r="E24" t="s">
        <v>33</v>
      </c>
      <c r="F24" t="s">
        <v>146</v>
      </c>
      <c r="G24" t="s">
        <v>35</v>
      </c>
      <c r="H24" t="s">
        <v>79</v>
      </c>
      <c r="I24" t="s">
        <v>235</v>
      </c>
      <c r="J24" t="s">
        <v>104</v>
      </c>
      <c r="K24" t="s">
        <v>105</v>
      </c>
      <c r="L24" t="s">
        <v>236</v>
      </c>
      <c r="M24">
        <v>282.82</v>
      </c>
      <c r="N24">
        <v>52</v>
      </c>
      <c r="O24" t="s">
        <v>237</v>
      </c>
      <c r="P24" t="s">
        <v>58</v>
      </c>
      <c r="Q24" t="s">
        <v>238</v>
      </c>
      <c r="R24" t="s">
        <v>152</v>
      </c>
      <c r="S24" t="s">
        <v>98</v>
      </c>
      <c r="T24" t="s">
        <v>239</v>
      </c>
      <c r="U24">
        <v>2101</v>
      </c>
      <c r="V24">
        <v>169</v>
      </c>
      <c r="W24">
        <v>8</v>
      </c>
      <c r="X24">
        <v>1318.04</v>
      </c>
      <c r="Y24">
        <v>448.9</v>
      </c>
      <c r="Z24">
        <v>1766.94</v>
      </c>
      <c r="AA24" t="s">
        <v>62</v>
      </c>
      <c r="AB24">
        <v>0</v>
      </c>
      <c r="AC24">
        <v>93.64</v>
      </c>
      <c r="AD24">
        <v>128</v>
      </c>
      <c r="AE24">
        <v>123</v>
      </c>
    </row>
    <row r="25" spans="1:31" x14ac:dyDescent="0.25">
      <c r="A25" t="s">
        <v>240</v>
      </c>
      <c r="B25" t="s">
        <v>241</v>
      </c>
      <c r="C25" s="1">
        <v>44426</v>
      </c>
      <c r="D25" s="1">
        <v>44044</v>
      </c>
      <c r="E25" t="s">
        <v>65</v>
      </c>
      <c r="F25" t="s">
        <v>77</v>
      </c>
      <c r="G25" t="s">
        <v>35</v>
      </c>
      <c r="H25" t="s">
        <v>53</v>
      </c>
      <c r="I25" t="s">
        <v>242</v>
      </c>
      <c r="J25" t="s">
        <v>38</v>
      </c>
      <c r="K25" t="s">
        <v>94</v>
      </c>
      <c r="L25" t="s">
        <v>243</v>
      </c>
      <c r="M25">
        <v>332.15</v>
      </c>
      <c r="N25">
        <v>64</v>
      </c>
      <c r="O25" t="s">
        <v>244</v>
      </c>
      <c r="P25" t="s">
        <v>42</v>
      </c>
      <c r="Q25" t="s">
        <v>245</v>
      </c>
      <c r="R25" t="s">
        <v>86</v>
      </c>
      <c r="S25" t="s">
        <v>73</v>
      </c>
      <c r="T25" t="s">
        <v>246</v>
      </c>
      <c r="U25">
        <v>2108</v>
      </c>
      <c r="V25">
        <v>181</v>
      </c>
      <c r="W25">
        <v>5</v>
      </c>
      <c r="X25">
        <v>596.41</v>
      </c>
      <c r="Y25">
        <v>250.91</v>
      </c>
      <c r="Z25">
        <v>847.31999999999994</v>
      </c>
      <c r="AA25" t="s">
        <v>62</v>
      </c>
      <c r="AB25">
        <v>0</v>
      </c>
      <c r="AC25">
        <v>70.77</v>
      </c>
      <c r="AD25">
        <v>316</v>
      </c>
      <c r="AE25">
        <v>343</v>
      </c>
    </row>
    <row r="26" spans="1:31" x14ac:dyDescent="0.25">
      <c r="A26" t="s">
        <v>247</v>
      </c>
      <c r="B26" t="s">
        <v>248</v>
      </c>
      <c r="C26" s="1">
        <v>44942</v>
      </c>
      <c r="D26" s="1">
        <v>44607</v>
      </c>
      <c r="E26" t="s">
        <v>65</v>
      </c>
      <c r="F26" t="s">
        <v>77</v>
      </c>
      <c r="G26" t="s">
        <v>35</v>
      </c>
      <c r="H26" t="s">
        <v>163</v>
      </c>
      <c r="I26" t="s">
        <v>249</v>
      </c>
      <c r="J26" t="s">
        <v>38</v>
      </c>
      <c r="K26" t="s">
        <v>55</v>
      </c>
      <c r="L26" t="s">
        <v>250</v>
      </c>
      <c r="M26">
        <v>320.01</v>
      </c>
      <c r="N26">
        <v>42</v>
      </c>
      <c r="O26" t="s">
        <v>251</v>
      </c>
      <c r="P26" t="s">
        <v>108</v>
      </c>
      <c r="Q26" t="s">
        <v>252</v>
      </c>
      <c r="R26" t="s">
        <v>60</v>
      </c>
      <c r="S26" t="s">
        <v>87</v>
      </c>
      <c r="T26" t="s">
        <v>253</v>
      </c>
      <c r="U26">
        <v>861</v>
      </c>
      <c r="V26">
        <v>169</v>
      </c>
      <c r="W26">
        <v>24</v>
      </c>
      <c r="X26">
        <v>1865.44</v>
      </c>
      <c r="Y26">
        <v>442.41</v>
      </c>
      <c r="Z26">
        <v>2307.85</v>
      </c>
      <c r="AA26" t="s">
        <v>62</v>
      </c>
      <c r="AB26">
        <v>0</v>
      </c>
      <c r="AC26">
        <v>78.569999999999993</v>
      </c>
      <c r="AD26">
        <v>335</v>
      </c>
      <c r="AE26">
        <v>311</v>
      </c>
    </row>
    <row r="27" spans="1:31" x14ac:dyDescent="0.25">
      <c r="A27" t="s">
        <v>254</v>
      </c>
      <c r="B27" t="s">
        <v>255</v>
      </c>
      <c r="C27" s="1">
        <v>45441</v>
      </c>
      <c r="D27" s="1">
        <v>45625</v>
      </c>
      <c r="E27" t="s">
        <v>50</v>
      </c>
      <c r="F27" t="s">
        <v>34</v>
      </c>
      <c r="G27" t="s">
        <v>78</v>
      </c>
      <c r="H27" t="s">
        <v>53</v>
      </c>
      <c r="I27" t="s">
        <v>256</v>
      </c>
      <c r="J27" t="s">
        <v>38</v>
      </c>
      <c r="K27" t="s">
        <v>55</v>
      </c>
      <c r="L27" t="s">
        <v>257</v>
      </c>
      <c r="M27">
        <v>386.85</v>
      </c>
      <c r="N27">
        <v>93</v>
      </c>
      <c r="O27" t="s">
        <v>258</v>
      </c>
      <c r="P27" t="s">
        <v>141</v>
      </c>
      <c r="Q27" t="s">
        <v>109</v>
      </c>
      <c r="R27" t="s">
        <v>44</v>
      </c>
      <c r="S27" t="s">
        <v>98</v>
      </c>
      <c r="T27" t="s">
        <v>259</v>
      </c>
      <c r="U27">
        <v>1879</v>
      </c>
      <c r="V27">
        <v>64</v>
      </c>
      <c r="W27">
        <v>4</v>
      </c>
      <c r="X27">
        <v>1019.67</v>
      </c>
      <c r="Y27">
        <v>486.56</v>
      </c>
      <c r="Z27">
        <v>1506.23</v>
      </c>
      <c r="AA27" t="s">
        <v>62</v>
      </c>
      <c r="AB27">
        <v>0</v>
      </c>
      <c r="AC27">
        <v>95.27</v>
      </c>
      <c r="AD27">
        <v>85</v>
      </c>
      <c r="AE27">
        <v>121</v>
      </c>
    </row>
    <row r="28" spans="1:31" x14ac:dyDescent="0.25">
      <c r="A28" t="s">
        <v>260</v>
      </c>
      <c r="B28" t="s">
        <v>261</v>
      </c>
      <c r="C28" s="1">
        <v>44905</v>
      </c>
      <c r="D28" s="1">
        <v>44192</v>
      </c>
      <c r="E28" t="s">
        <v>65</v>
      </c>
      <c r="F28" t="s">
        <v>91</v>
      </c>
      <c r="G28" t="s">
        <v>102</v>
      </c>
      <c r="H28" t="s">
        <v>67</v>
      </c>
      <c r="I28" t="s">
        <v>262</v>
      </c>
      <c r="J28" t="s">
        <v>38</v>
      </c>
      <c r="K28" t="s">
        <v>263</v>
      </c>
      <c r="L28" t="s">
        <v>264</v>
      </c>
      <c r="M28">
        <v>145.83000000000001</v>
      </c>
      <c r="N28">
        <v>81</v>
      </c>
      <c r="O28" t="s">
        <v>265</v>
      </c>
      <c r="P28" t="s">
        <v>42</v>
      </c>
      <c r="Q28" t="s">
        <v>266</v>
      </c>
      <c r="R28" t="s">
        <v>60</v>
      </c>
      <c r="S28" t="s">
        <v>87</v>
      </c>
      <c r="T28" t="s">
        <v>267</v>
      </c>
      <c r="U28">
        <v>2241</v>
      </c>
      <c r="V28">
        <v>314</v>
      </c>
      <c r="W28">
        <v>14</v>
      </c>
      <c r="X28">
        <v>1043.45</v>
      </c>
      <c r="Y28">
        <v>220.42</v>
      </c>
      <c r="Z28">
        <v>1263.8699999999999</v>
      </c>
      <c r="AA28" t="s">
        <v>62</v>
      </c>
      <c r="AB28">
        <v>0</v>
      </c>
      <c r="AC28">
        <v>81.22</v>
      </c>
      <c r="AD28">
        <v>325</v>
      </c>
      <c r="AE28">
        <v>287</v>
      </c>
    </row>
    <row r="29" spans="1:31" x14ac:dyDescent="0.25">
      <c r="A29" t="s">
        <v>268</v>
      </c>
      <c r="B29" t="s">
        <v>269</v>
      </c>
      <c r="C29" s="1">
        <v>44397</v>
      </c>
      <c r="D29" s="1">
        <v>45630</v>
      </c>
      <c r="E29" t="s">
        <v>50</v>
      </c>
      <c r="F29" t="s">
        <v>146</v>
      </c>
      <c r="G29" t="s">
        <v>66</v>
      </c>
      <c r="H29" t="s">
        <v>163</v>
      </c>
      <c r="I29" t="s">
        <v>270</v>
      </c>
      <c r="J29" t="s">
        <v>38</v>
      </c>
      <c r="K29" t="s">
        <v>263</v>
      </c>
      <c r="L29" t="s">
        <v>271</v>
      </c>
      <c r="M29">
        <v>468.12</v>
      </c>
      <c r="N29">
        <v>82</v>
      </c>
      <c r="O29" t="s">
        <v>272</v>
      </c>
      <c r="P29" t="s">
        <v>58</v>
      </c>
      <c r="Q29" t="s">
        <v>151</v>
      </c>
      <c r="R29" t="s">
        <v>86</v>
      </c>
      <c r="S29" t="s">
        <v>87</v>
      </c>
      <c r="T29" t="s">
        <v>218</v>
      </c>
      <c r="U29">
        <v>4837</v>
      </c>
      <c r="V29">
        <v>267</v>
      </c>
      <c r="W29">
        <v>10</v>
      </c>
      <c r="X29">
        <v>1473.47</v>
      </c>
      <c r="Y29">
        <v>10.39</v>
      </c>
      <c r="Z29">
        <v>1483.86</v>
      </c>
      <c r="AA29" t="s">
        <v>62</v>
      </c>
      <c r="AB29">
        <v>0</v>
      </c>
      <c r="AC29">
        <v>79.400000000000006</v>
      </c>
      <c r="AD29">
        <v>297</v>
      </c>
      <c r="AE29">
        <v>342</v>
      </c>
    </row>
    <row r="30" spans="1:31" x14ac:dyDescent="0.25">
      <c r="A30" t="s">
        <v>273</v>
      </c>
      <c r="B30" t="s">
        <v>274</v>
      </c>
      <c r="C30" s="1">
        <v>44699</v>
      </c>
      <c r="D30" s="1">
        <v>43914</v>
      </c>
      <c r="E30" t="s">
        <v>65</v>
      </c>
      <c r="F30" t="s">
        <v>77</v>
      </c>
      <c r="G30" t="s">
        <v>35</v>
      </c>
      <c r="H30" t="s">
        <v>53</v>
      </c>
      <c r="I30" t="s">
        <v>275</v>
      </c>
      <c r="J30" t="s">
        <v>38</v>
      </c>
      <c r="K30" t="s">
        <v>39</v>
      </c>
      <c r="L30" t="s">
        <v>276</v>
      </c>
      <c r="M30">
        <v>242.57</v>
      </c>
      <c r="N30">
        <v>80</v>
      </c>
      <c r="O30" t="s">
        <v>277</v>
      </c>
      <c r="P30" t="s">
        <v>84</v>
      </c>
      <c r="Q30" t="s">
        <v>133</v>
      </c>
      <c r="R30" t="s">
        <v>86</v>
      </c>
      <c r="S30" t="s">
        <v>126</v>
      </c>
      <c r="T30" t="s">
        <v>278</v>
      </c>
      <c r="U30">
        <v>4069</v>
      </c>
      <c r="V30">
        <v>438</v>
      </c>
      <c r="W30">
        <v>29</v>
      </c>
      <c r="X30">
        <v>1043.1099999999999</v>
      </c>
      <c r="Y30">
        <v>204.1</v>
      </c>
      <c r="Z30">
        <v>1247.21</v>
      </c>
      <c r="AA30" t="s">
        <v>62</v>
      </c>
      <c r="AB30">
        <v>0</v>
      </c>
      <c r="AC30">
        <v>83.57</v>
      </c>
      <c r="AD30">
        <v>121</v>
      </c>
      <c r="AE30">
        <v>161</v>
      </c>
    </row>
    <row r="31" spans="1:31" x14ac:dyDescent="0.25">
      <c r="A31" t="s">
        <v>279</v>
      </c>
      <c r="B31" t="s">
        <v>280</v>
      </c>
      <c r="C31" s="1">
        <v>44368</v>
      </c>
      <c r="D31" s="1">
        <v>45078</v>
      </c>
      <c r="E31" t="s">
        <v>50</v>
      </c>
      <c r="F31" t="s">
        <v>77</v>
      </c>
      <c r="G31" t="s">
        <v>113</v>
      </c>
      <c r="H31" t="s">
        <v>53</v>
      </c>
      <c r="I31" t="s">
        <v>281</v>
      </c>
      <c r="J31" t="s">
        <v>38</v>
      </c>
      <c r="K31" t="s">
        <v>81</v>
      </c>
      <c r="L31" t="s">
        <v>282</v>
      </c>
      <c r="M31">
        <v>351.99</v>
      </c>
      <c r="N31">
        <v>13</v>
      </c>
      <c r="O31" t="s">
        <v>283</v>
      </c>
      <c r="P31" t="s">
        <v>58</v>
      </c>
      <c r="Q31" t="s">
        <v>238</v>
      </c>
      <c r="R31" t="s">
        <v>86</v>
      </c>
      <c r="S31" t="s">
        <v>126</v>
      </c>
      <c r="T31" t="s">
        <v>284</v>
      </c>
      <c r="U31">
        <v>844</v>
      </c>
      <c r="V31">
        <v>135</v>
      </c>
      <c r="W31">
        <v>22</v>
      </c>
      <c r="X31">
        <v>828.72</v>
      </c>
      <c r="Y31">
        <v>468.59</v>
      </c>
      <c r="Z31">
        <v>1297.31</v>
      </c>
      <c r="AA31" t="s">
        <v>47</v>
      </c>
      <c r="AB31">
        <v>1</v>
      </c>
      <c r="AC31">
        <v>93.61</v>
      </c>
      <c r="AD31">
        <v>69</v>
      </c>
      <c r="AE31">
        <v>22</v>
      </c>
    </row>
    <row r="32" spans="1:31" x14ac:dyDescent="0.25">
      <c r="A32" t="s">
        <v>285</v>
      </c>
      <c r="B32" t="s">
        <v>286</v>
      </c>
      <c r="C32" s="1">
        <v>43849</v>
      </c>
      <c r="D32" s="1">
        <v>44295</v>
      </c>
      <c r="E32" t="s">
        <v>50</v>
      </c>
      <c r="F32" t="s">
        <v>146</v>
      </c>
      <c r="G32" t="s">
        <v>78</v>
      </c>
      <c r="H32" t="s">
        <v>79</v>
      </c>
      <c r="I32" t="s">
        <v>287</v>
      </c>
      <c r="J32" t="s">
        <v>38</v>
      </c>
      <c r="K32" t="s">
        <v>81</v>
      </c>
      <c r="L32" t="s">
        <v>288</v>
      </c>
      <c r="M32">
        <v>411.06</v>
      </c>
      <c r="N32">
        <v>7</v>
      </c>
      <c r="O32" t="s">
        <v>289</v>
      </c>
      <c r="P32" t="s">
        <v>141</v>
      </c>
      <c r="Q32" t="s">
        <v>252</v>
      </c>
      <c r="R32" t="s">
        <v>86</v>
      </c>
      <c r="S32" t="s">
        <v>126</v>
      </c>
      <c r="T32" t="s">
        <v>61</v>
      </c>
      <c r="U32">
        <v>94</v>
      </c>
      <c r="V32">
        <v>201</v>
      </c>
      <c r="W32">
        <v>25</v>
      </c>
      <c r="X32">
        <v>1488.94</v>
      </c>
      <c r="Y32">
        <v>168.71</v>
      </c>
      <c r="Z32">
        <v>1657.65</v>
      </c>
      <c r="AA32" t="s">
        <v>62</v>
      </c>
      <c r="AB32">
        <v>0</v>
      </c>
      <c r="AC32">
        <v>79.900000000000006</v>
      </c>
      <c r="AD32">
        <v>107</v>
      </c>
      <c r="AE32">
        <v>114</v>
      </c>
    </row>
    <row r="33" spans="1:31" x14ac:dyDescent="0.25">
      <c r="A33" t="s">
        <v>290</v>
      </c>
      <c r="B33" t="s">
        <v>291</v>
      </c>
      <c r="C33" s="1">
        <v>45603</v>
      </c>
      <c r="D33" s="1">
        <v>45516</v>
      </c>
      <c r="E33" t="s">
        <v>65</v>
      </c>
      <c r="F33" t="s">
        <v>91</v>
      </c>
      <c r="G33" t="s">
        <v>35</v>
      </c>
      <c r="H33" t="s">
        <v>114</v>
      </c>
      <c r="I33" t="s">
        <v>292</v>
      </c>
      <c r="J33" t="s">
        <v>165</v>
      </c>
      <c r="K33" t="s">
        <v>202</v>
      </c>
      <c r="L33" t="s">
        <v>293</v>
      </c>
      <c r="M33">
        <v>137.82</v>
      </c>
      <c r="N33">
        <v>54</v>
      </c>
      <c r="O33" t="s">
        <v>294</v>
      </c>
      <c r="P33" t="s">
        <v>42</v>
      </c>
      <c r="Q33" t="s">
        <v>295</v>
      </c>
      <c r="R33" t="s">
        <v>60</v>
      </c>
      <c r="S33" t="s">
        <v>73</v>
      </c>
      <c r="T33" t="s">
        <v>296</v>
      </c>
      <c r="U33">
        <v>69</v>
      </c>
      <c r="V33">
        <v>344</v>
      </c>
      <c r="W33">
        <v>25</v>
      </c>
      <c r="X33">
        <v>1967.45</v>
      </c>
      <c r="Y33">
        <v>375.64</v>
      </c>
      <c r="Z33">
        <v>2343.09</v>
      </c>
      <c r="AA33" t="s">
        <v>62</v>
      </c>
      <c r="AB33">
        <v>0</v>
      </c>
      <c r="AC33">
        <v>83.54</v>
      </c>
      <c r="AD33">
        <v>438</v>
      </c>
      <c r="AE33">
        <v>395</v>
      </c>
    </row>
    <row r="34" spans="1:31" x14ac:dyDescent="0.25">
      <c r="A34" t="s">
        <v>297</v>
      </c>
      <c r="B34" t="s">
        <v>298</v>
      </c>
      <c r="C34" s="1">
        <v>45146</v>
      </c>
      <c r="D34" s="1">
        <v>44514</v>
      </c>
      <c r="E34" t="s">
        <v>50</v>
      </c>
      <c r="F34" t="s">
        <v>146</v>
      </c>
      <c r="G34" t="s">
        <v>66</v>
      </c>
      <c r="H34" t="s">
        <v>67</v>
      </c>
      <c r="I34" t="s">
        <v>299</v>
      </c>
      <c r="J34" t="s">
        <v>104</v>
      </c>
      <c r="K34" t="s">
        <v>229</v>
      </c>
      <c r="L34" t="s">
        <v>300</v>
      </c>
      <c r="M34">
        <v>300.33999999999997</v>
      </c>
      <c r="N34">
        <v>24</v>
      </c>
      <c r="O34" t="s">
        <v>301</v>
      </c>
      <c r="P34" t="s">
        <v>141</v>
      </c>
      <c r="Q34" t="s">
        <v>252</v>
      </c>
      <c r="R34" t="s">
        <v>44</v>
      </c>
      <c r="S34" t="s">
        <v>126</v>
      </c>
      <c r="T34" t="s">
        <v>302</v>
      </c>
      <c r="U34">
        <v>4925</v>
      </c>
      <c r="V34">
        <v>263</v>
      </c>
      <c r="W34">
        <v>24</v>
      </c>
      <c r="X34">
        <v>1282.05</v>
      </c>
      <c r="Y34">
        <v>333.53</v>
      </c>
      <c r="Z34">
        <v>1615.58</v>
      </c>
      <c r="AA34" t="s">
        <v>62</v>
      </c>
      <c r="AB34">
        <v>0</v>
      </c>
      <c r="AC34">
        <v>89.63</v>
      </c>
      <c r="AD34">
        <v>210</v>
      </c>
      <c r="AE34">
        <v>216</v>
      </c>
    </row>
    <row r="35" spans="1:31" x14ac:dyDescent="0.25">
      <c r="A35" t="s">
        <v>303</v>
      </c>
      <c r="B35" t="s">
        <v>304</v>
      </c>
      <c r="C35" s="1">
        <v>44022</v>
      </c>
      <c r="D35" s="1">
        <v>45238</v>
      </c>
      <c r="E35" t="s">
        <v>65</v>
      </c>
      <c r="F35" t="s">
        <v>51</v>
      </c>
      <c r="G35" t="s">
        <v>35</v>
      </c>
      <c r="H35" t="s">
        <v>79</v>
      </c>
      <c r="I35" t="s">
        <v>305</v>
      </c>
      <c r="J35" t="s">
        <v>165</v>
      </c>
      <c r="K35" t="s">
        <v>202</v>
      </c>
      <c r="L35" t="s">
        <v>306</v>
      </c>
      <c r="M35">
        <v>216.49</v>
      </c>
      <c r="N35">
        <v>37</v>
      </c>
      <c r="O35" t="s">
        <v>307</v>
      </c>
      <c r="P35" t="s">
        <v>141</v>
      </c>
      <c r="Q35" t="s">
        <v>133</v>
      </c>
      <c r="R35" t="s">
        <v>152</v>
      </c>
      <c r="S35" t="s">
        <v>98</v>
      </c>
      <c r="T35" t="s">
        <v>308</v>
      </c>
      <c r="U35">
        <v>3907</v>
      </c>
      <c r="V35">
        <v>302</v>
      </c>
      <c r="W35">
        <v>15</v>
      </c>
      <c r="X35">
        <v>1106.1099999999999</v>
      </c>
      <c r="Y35">
        <v>27.21</v>
      </c>
      <c r="Z35">
        <v>1133.32</v>
      </c>
      <c r="AA35" t="s">
        <v>62</v>
      </c>
      <c r="AB35">
        <v>0</v>
      </c>
      <c r="AC35">
        <v>71.8</v>
      </c>
      <c r="AD35">
        <v>53</v>
      </c>
      <c r="AE35">
        <v>52</v>
      </c>
    </row>
    <row r="36" spans="1:31" x14ac:dyDescent="0.25">
      <c r="A36" t="s">
        <v>309</v>
      </c>
      <c r="B36" t="s">
        <v>310</v>
      </c>
      <c r="C36" s="1">
        <v>44696</v>
      </c>
      <c r="D36" s="1">
        <v>44533</v>
      </c>
      <c r="E36" t="s">
        <v>65</v>
      </c>
      <c r="F36" t="s">
        <v>77</v>
      </c>
      <c r="G36" t="s">
        <v>78</v>
      </c>
      <c r="H36" t="s">
        <v>53</v>
      </c>
      <c r="I36" t="s">
        <v>311</v>
      </c>
      <c r="J36" t="s">
        <v>104</v>
      </c>
      <c r="K36" t="s">
        <v>181</v>
      </c>
      <c r="L36" t="s">
        <v>312</v>
      </c>
      <c r="M36">
        <v>333.08</v>
      </c>
      <c r="N36">
        <v>75</v>
      </c>
      <c r="O36" t="s">
        <v>313</v>
      </c>
      <c r="P36" t="s">
        <v>42</v>
      </c>
      <c r="Q36" t="s">
        <v>245</v>
      </c>
      <c r="R36" t="s">
        <v>152</v>
      </c>
      <c r="S36" t="s">
        <v>73</v>
      </c>
      <c r="T36" t="s">
        <v>314</v>
      </c>
      <c r="U36">
        <v>2211</v>
      </c>
      <c r="V36">
        <v>55</v>
      </c>
      <c r="W36">
        <v>11</v>
      </c>
      <c r="X36">
        <v>578.38</v>
      </c>
      <c r="Y36">
        <v>28.73</v>
      </c>
      <c r="Z36">
        <v>607.11</v>
      </c>
      <c r="AA36" t="s">
        <v>47</v>
      </c>
      <c r="AB36">
        <v>9</v>
      </c>
      <c r="AC36">
        <v>94.51</v>
      </c>
      <c r="AD36">
        <v>319</v>
      </c>
      <c r="AE36">
        <v>343</v>
      </c>
    </row>
    <row r="37" spans="1:31" x14ac:dyDescent="0.25">
      <c r="A37" t="s">
        <v>315</v>
      </c>
      <c r="B37" t="s">
        <v>316</v>
      </c>
      <c r="C37" s="1">
        <v>44924</v>
      </c>
      <c r="D37" s="1">
        <v>44760</v>
      </c>
      <c r="E37" t="s">
        <v>65</v>
      </c>
      <c r="F37" t="s">
        <v>146</v>
      </c>
      <c r="G37" t="s">
        <v>78</v>
      </c>
      <c r="H37" t="s">
        <v>53</v>
      </c>
      <c r="I37" t="s">
        <v>317</v>
      </c>
      <c r="J37" t="s">
        <v>38</v>
      </c>
      <c r="K37" t="s">
        <v>55</v>
      </c>
      <c r="L37" t="s">
        <v>318</v>
      </c>
      <c r="M37">
        <v>145.38</v>
      </c>
      <c r="N37">
        <v>1</v>
      </c>
      <c r="O37" t="s">
        <v>319</v>
      </c>
      <c r="P37" t="s">
        <v>141</v>
      </c>
      <c r="Q37" t="s">
        <v>320</v>
      </c>
      <c r="R37" t="s">
        <v>152</v>
      </c>
      <c r="S37" t="s">
        <v>87</v>
      </c>
      <c r="T37" t="s">
        <v>321</v>
      </c>
      <c r="U37">
        <v>3348</v>
      </c>
      <c r="V37">
        <v>136</v>
      </c>
      <c r="W37">
        <v>13</v>
      </c>
      <c r="X37">
        <v>1821.62</v>
      </c>
      <c r="Y37">
        <v>340.54</v>
      </c>
      <c r="Z37">
        <v>2162.16</v>
      </c>
      <c r="AA37" t="s">
        <v>62</v>
      </c>
      <c r="AB37">
        <v>0</v>
      </c>
      <c r="AC37">
        <v>78.680000000000007</v>
      </c>
      <c r="AD37">
        <v>87</v>
      </c>
      <c r="AE37">
        <v>40</v>
      </c>
    </row>
    <row r="38" spans="1:31" x14ac:dyDescent="0.25">
      <c r="A38" t="s">
        <v>322</v>
      </c>
      <c r="B38" t="s">
        <v>323</v>
      </c>
      <c r="C38" s="1">
        <v>43882</v>
      </c>
      <c r="D38" s="1">
        <v>44530</v>
      </c>
      <c r="E38" t="s">
        <v>65</v>
      </c>
      <c r="F38" t="s">
        <v>51</v>
      </c>
      <c r="G38" t="s">
        <v>92</v>
      </c>
      <c r="H38" t="s">
        <v>147</v>
      </c>
      <c r="I38" t="s">
        <v>324</v>
      </c>
      <c r="J38" t="s">
        <v>38</v>
      </c>
      <c r="K38" t="s">
        <v>69</v>
      </c>
      <c r="L38" t="s">
        <v>325</v>
      </c>
      <c r="M38">
        <v>480</v>
      </c>
      <c r="N38">
        <v>51</v>
      </c>
      <c r="O38" t="s">
        <v>326</v>
      </c>
      <c r="P38" t="s">
        <v>58</v>
      </c>
      <c r="Q38" t="s">
        <v>327</v>
      </c>
      <c r="R38" t="s">
        <v>44</v>
      </c>
      <c r="S38" t="s">
        <v>126</v>
      </c>
      <c r="T38" t="s">
        <v>160</v>
      </c>
      <c r="U38">
        <v>1715</v>
      </c>
      <c r="V38">
        <v>134</v>
      </c>
      <c r="W38">
        <v>4</v>
      </c>
      <c r="X38">
        <v>1113.7</v>
      </c>
      <c r="Y38">
        <v>465.86</v>
      </c>
      <c r="Z38">
        <v>1579.56</v>
      </c>
      <c r="AA38" t="s">
        <v>62</v>
      </c>
      <c r="AB38">
        <v>0</v>
      </c>
      <c r="AC38">
        <v>98.67</v>
      </c>
      <c r="AD38">
        <v>94</v>
      </c>
      <c r="AE38">
        <v>120</v>
      </c>
    </row>
    <row r="39" spans="1:31" x14ac:dyDescent="0.25">
      <c r="A39" t="s">
        <v>328</v>
      </c>
      <c r="B39" t="s">
        <v>329</v>
      </c>
      <c r="C39" s="1">
        <v>44262</v>
      </c>
      <c r="D39" s="1">
        <v>44627</v>
      </c>
      <c r="E39" t="s">
        <v>50</v>
      </c>
      <c r="F39" t="s">
        <v>91</v>
      </c>
      <c r="G39" t="s">
        <v>92</v>
      </c>
      <c r="H39" t="s">
        <v>79</v>
      </c>
      <c r="I39" t="s">
        <v>330</v>
      </c>
      <c r="J39" t="s">
        <v>165</v>
      </c>
      <c r="K39" t="s">
        <v>166</v>
      </c>
      <c r="L39" t="s">
        <v>331</v>
      </c>
      <c r="M39">
        <v>470.66</v>
      </c>
      <c r="N39">
        <v>68</v>
      </c>
      <c r="O39" t="s">
        <v>332</v>
      </c>
      <c r="P39" t="s">
        <v>42</v>
      </c>
      <c r="Q39" t="s">
        <v>333</v>
      </c>
      <c r="R39" t="s">
        <v>86</v>
      </c>
      <c r="S39" t="s">
        <v>45</v>
      </c>
      <c r="T39" t="s">
        <v>334</v>
      </c>
      <c r="U39">
        <v>4201</v>
      </c>
      <c r="V39">
        <v>360</v>
      </c>
      <c r="W39">
        <v>28</v>
      </c>
      <c r="X39">
        <v>606.94000000000005</v>
      </c>
      <c r="Y39">
        <v>164.04</v>
      </c>
      <c r="Z39">
        <v>770.98</v>
      </c>
      <c r="AA39" t="s">
        <v>47</v>
      </c>
      <c r="AB39">
        <v>7</v>
      </c>
      <c r="AC39">
        <v>70.42</v>
      </c>
      <c r="AD39">
        <v>286</v>
      </c>
      <c r="AE39">
        <v>243</v>
      </c>
    </row>
    <row r="40" spans="1:31" x14ac:dyDescent="0.25">
      <c r="A40" t="s">
        <v>335</v>
      </c>
      <c r="B40" t="s">
        <v>336</v>
      </c>
      <c r="C40" s="1">
        <v>44229</v>
      </c>
      <c r="D40" s="1">
        <v>43895</v>
      </c>
      <c r="E40" t="s">
        <v>65</v>
      </c>
      <c r="F40" t="s">
        <v>34</v>
      </c>
      <c r="G40" t="s">
        <v>52</v>
      </c>
      <c r="H40" t="s">
        <v>36</v>
      </c>
      <c r="I40" t="s">
        <v>337</v>
      </c>
      <c r="J40" t="s">
        <v>38</v>
      </c>
      <c r="K40" t="s">
        <v>338</v>
      </c>
      <c r="L40" t="s">
        <v>339</v>
      </c>
      <c r="M40">
        <v>180</v>
      </c>
      <c r="N40">
        <v>67</v>
      </c>
      <c r="O40" t="s">
        <v>340</v>
      </c>
      <c r="P40" t="s">
        <v>42</v>
      </c>
      <c r="Q40" t="s">
        <v>151</v>
      </c>
      <c r="R40" t="s">
        <v>60</v>
      </c>
      <c r="S40" t="s">
        <v>98</v>
      </c>
      <c r="T40" t="s">
        <v>296</v>
      </c>
      <c r="U40">
        <v>1642</v>
      </c>
      <c r="V40">
        <v>144</v>
      </c>
      <c r="W40">
        <v>2</v>
      </c>
      <c r="X40">
        <v>1800.52</v>
      </c>
      <c r="Y40">
        <v>464.69</v>
      </c>
      <c r="Z40">
        <v>2265.21</v>
      </c>
      <c r="AA40" t="s">
        <v>47</v>
      </c>
      <c r="AB40">
        <v>13</v>
      </c>
      <c r="AC40">
        <v>74.709999999999994</v>
      </c>
      <c r="AD40">
        <v>255</v>
      </c>
      <c r="AE40">
        <v>255</v>
      </c>
    </row>
    <row r="41" spans="1:31" x14ac:dyDescent="0.25">
      <c r="A41" t="s">
        <v>341</v>
      </c>
      <c r="B41" t="s">
        <v>342</v>
      </c>
      <c r="C41" s="1">
        <v>45144</v>
      </c>
      <c r="D41" s="1">
        <v>44791</v>
      </c>
      <c r="E41" t="s">
        <v>65</v>
      </c>
      <c r="F41" t="s">
        <v>77</v>
      </c>
      <c r="G41" t="s">
        <v>343</v>
      </c>
      <c r="H41" t="s">
        <v>147</v>
      </c>
      <c r="I41" t="s">
        <v>344</v>
      </c>
      <c r="J41" t="s">
        <v>104</v>
      </c>
      <c r="K41" t="s">
        <v>229</v>
      </c>
      <c r="L41" t="s">
        <v>345</v>
      </c>
      <c r="M41">
        <v>99.22</v>
      </c>
      <c r="N41">
        <v>60</v>
      </c>
      <c r="O41" t="s">
        <v>158</v>
      </c>
      <c r="P41" t="s">
        <v>108</v>
      </c>
      <c r="Q41" t="s">
        <v>346</v>
      </c>
      <c r="R41" t="s">
        <v>86</v>
      </c>
      <c r="S41" t="s">
        <v>87</v>
      </c>
      <c r="T41" t="s">
        <v>347</v>
      </c>
      <c r="U41">
        <v>4384</v>
      </c>
      <c r="V41">
        <v>346</v>
      </c>
      <c r="W41">
        <v>21</v>
      </c>
      <c r="X41">
        <v>1003.34</v>
      </c>
      <c r="Y41">
        <v>141.62</v>
      </c>
      <c r="Z41">
        <v>1144.96</v>
      </c>
      <c r="AA41" t="s">
        <v>62</v>
      </c>
      <c r="AB41">
        <v>0</v>
      </c>
      <c r="AC41">
        <v>76.63</v>
      </c>
      <c r="AD41">
        <v>433</v>
      </c>
      <c r="AE41">
        <v>448</v>
      </c>
    </row>
    <row r="42" spans="1:31" x14ac:dyDescent="0.25">
      <c r="A42" t="s">
        <v>348</v>
      </c>
      <c r="B42" t="s">
        <v>349</v>
      </c>
      <c r="C42" s="1">
        <v>45372</v>
      </c>
      <c r="D42" s="1">
        <v>45633</v>
      </c>
      <c r="E42" t="s">
        <v>65</v>
      </c>
      <c r="F42" t="s">
        <v>77</v>
      </c>
      <c r="G42" t="s">
        <v>35</v>
      </c>
      <c r="H42" t="s">
        <v>163</v>
      </c>
      <c r="I42" t="s">
        <v>350</v>
      </c>
      <c r="J42" t="s">
        <v>38</v>
      </c>
      <c r="K42" t="s">
        <v>55</v>
      </c>
      <c r="L42" t="s">
        <v>351</v>
      </c>
      <c r="M42">
        <v>214.03</v>
      </c>
      <c r="N42">
        <v>46</v>
      </c>
      <c r="O42" t="s">
        <v>352</v>
      </c>
      <c r="P42" t="s">
        <v>141</v>
      </c>
      <c r="Q42" t="s">
        <v>353</v>
      </c>
      <c r="R42" t="s">
        <v>86</v>
      </c>
      <c r="S42" t="s">
        <v>73</v>
      </c>
      <c r="T42" t="s">
        <v>110</v>
      </c>
      <c r="U42">
        <v>141</v>
      </c>
      <c r="V42">
        <v>93</v>
      </c>
      <c r="W42">
        <v>22</v>
      </c>
      <c r="X42">
        <v>720.04</v>
      </c>
      <c r="Y42">
        <v>53.53</v>
      </c>
      <c r="Z42">
        <v>773.56999999999994</v>
      </c>
      <c r="AA42" t="s">
        <v>62</v>
      </c>
      <c r="AB42">
        <v>0</v>
      </c>
      <c r="AC42">
        <v>70.56</v>
      </c>
      <c r="AD42">
        <v>136</v>
      </c>
      <c r="AE42">
        <v>142</v>
      </c>
    </row>
    <row r="43" spans="1:31" x14ac:dyDescent="0.25">
      <c r="A43" t="s">
        <v>354</v>
      </c>
      <c r="B43" t="s">
        <v>355</v>
      </c>
      <c r="C43" s="1">
        <v>43987</v>
      </c>
      <c r="D43" s="1">
        <v>45172</v>
      </c>
      <c r="E43" t="s">
        <v>65</v>
      </c>
      <c r="F43" t="s">
        <v>91</v>
      </c>
      <c r="G43" t="s">
        <v>343</v>
      </c>
      <c r="H43" t="s">
        <v>79</v>
      </c>
      <c r="I43" t="s">
        <v>356</v>
      </c>
      <c r="J43" t="s">
        <v>38</v>
      </c>
      <c r="K43" t="s">
        <v>263</v>
      </c>
      <c r="L43" t="s">
        <v>357</v>
      </c>
      <c r="M43">
        <v>101.7</v>
      </c>
      <c r="N43">
        <v>40</v>
      </c>
      <c r="O43" t="s">
        <v>358</v>
      </c>
      <c r="P43" t="s">
        <v>42</v>
      </c>
      <c r="Q43" t="s">
        <v>169</v>
      </c>
      <c r="R43" t="s">
        <v>44</v>
      </c>
      <c r="S43" t="s">
        <v>73</v>
      </c>
      <c r="T43" t="s">
        <v>359</v>
      </c>
      <c r="U43">
        <v>2411</v>
      </c>
      <c r="V43">
        <v>281</v>
      </c>
      <c r="W43">
        <v>15</v>
      </c>
      <c r="X43">
        <v>915.63</v>
      </c>
      <c r="Y43">
        <v>97.85</v>
      </c>
      <c r="Z43">
        <v>1013.48</v>
      </c>
      <c r="AA43" t="s">
        <v>62</v>
      </c>
      <c r="AB43">
        <v>0</v>
      </c>
      <c r="AC43">
        <v>79.010000000000005</v>
      </c>
      <c r="AD43">
        <v>411</v>
      </c>
      <c r="AE43">
        <v>389</v>
      </c>
    </row>
    <row r="44" spans="1:31" x14ac:dyDescent="0.25">
      <c r="A44" t="s">
        <v>360</v>
      </c>
      <c r="B44" t="s">
        <v>361</v>
      </c>
      <c r="C44" s="1">
        <v>44861</v>
      </c>
      <c r="D44" s="1">
        <v>45582</v>
      </c>
      <c r="E44" t="s">
        <v>65</v>
      </c>
      <c r="F44" t="s">
        <v>91</v>
      </c>
      <c r="G44" t="s">
        <v>113</v>
      </c>
      <c r="H44" t="s">
        <v>79</v>
      </c>
      <c r="I44" t="s">
        <v>362</v>
      </c>
      <c r="J44" t="s">
        <v>38</v>
      </c>
      <c r="K44" t="s">
        <v>39</v>
      </c>
      <c r="L44" t="s">
        <v>363</v>
      </c>
      <c r="M44">
        <v>35.479999999999997</v>
      </c>
      <c r="N44">
        <v>88</v>
      </c>
      <c r="O44" t="s">
        <v>364</v>
      </c>
      <c r="P44" t="s">
        <v>42</v>
      </c>
      <c r="Q44" t="s">
        <v>217</v>
      </c>
      <c r="R44" t="s">
        <v>44</v>
      </c>
      <c r="S44" t="s">
        <v>98</v>
      </c>
      <c r="T44" t="s">
        <v>218</v>
      </c>
      <c r="U44">
        <v>4523</v>
      </c>
      <c r="V44">
        <v>193</v>
      </c>
      <c r="W44">
        <v>25</v>
      </c>
      <c r="X44">
        <v>1326.42</v>
      </c>
      <c r="Y44">
        <v>235.58</v>
      </c>
      <c r="Z44">
        <v>1562</v>
      </c>
      <c r="AA44" t="s">
        <v>62</v>
      </c>
      <c r="AB44">
        <v>0</v>
      </c>
      <c r="AC44">
        <v>79.67</v>
      </c>
      <c r="AD44">
        <v>306</v>
      </c>
      <c r="AE44">
        <v>256</v>
      </c>
    </row>
    <row r="45" spans="1:31" x14ac:dyDescent="0.25">
      <c r="A45" t="s">
        <v>365</v>
      </c>
      <c r="B45" t="s">
        <v>366</v>
      </c>
      <c r="C45" s="1">
        <v>44505</v>
      </c>
      <c r="D45" s="1">
        <v>44454</v>
      </c>
      <c r="E45" t="s">
        <v>50</v>
      </c>
      <c r="F45" t="s">
        <v>91</v>
      </c>
      <c r="G45" t="s">
        <v>102</v>
      </c>
      <c r="H45" t="s">
        <v>147</v>
      </c>
      <c r="I45" t="s">
        <v>367</v>
      </c>
      <c r="J45" t="s">
        <v>104</v>
      </c>
      <c r="K45" t="s">
        <v>105</v>
      </c>
      <c r="L45" t="s">
        <v>368</v>
      </c>
      <c r="M45">
        <v>10.63</v>
      </c>
      <c r="N45">
        <v>28</v>
      </c>
      <c r="O45" t="s">
        <v>369</v>
      </c>
      <c r="P45" t="s">
        <v>58</v>
      </c>
      <c r="Q45" t="s">
        <v>370</v>
      </c>
      <c r="R45" t="s">
        <v>152</v>
      </c>
      <c r="S45" t="s">
        <v>45</v>
      </c>
      <c r="T45" t="s">
        <v>371</v>
      </c>
      <c r="U45">
        <v>2820</v>
      </c>
      <c r="V45">
        <v>366</v>
      </c>
      <c r="W45">
        <v>12</v>
      </c>
      <c r="X45">
        <v>212.88</v>
      </c>
      <c r="Y45">
        <v>153.52000000000001</v>
      </c>
      <c r="Z45">
        <v>366.4</v>
      </c>
      <c r="AA45" t="s">
        <v>62</v>
      </c>
      <c r="AB45">
        <v>0</v>
      </c>
      <c r="AC45">
        <v>75.5</v>
      </c>
      <c r="AD45">
        <v>233</v>
      </c>
      <c r="AE45">
        <v>185</v>
      </c>
    </row>
    <row r="46" spans="1:31" x14ac:dyDescent="0.25">
      <c r="A46" t="s">
        <v>372</v>
      </c>
      <c r="B46" t="s">
        <v>373</v>
      </c>
      <c r="C46" s="1">
        <v>45212</v>
      </c>
      <c r="D46" s="1">
        <v>45358</v>
      </c>
      <c r="E46" t="s">
        <v>65</v>
      </c>
      <c r="F46" t="s">
        <v>91</v>
      </c>
      <c r="G46" t="s">
        <v>35</v>
      </c>
      <c r="H46" t="s">
        <v>36</v>
      </c>
      <c r="I46" t="s">
        <v>374</v>
      </c>
      <c r="J46" t="s">
        <v>104</v>
      </c>
      <c r="K46" t="s">
        <v>181</v>
      </c>
      <c r="L46" t="s">
        <v>375</v>
      </c>
      <c r="M46">
        <v>463.15</v>
      </c>
      <c r="N46">
        <v>17</v>
      </c>
      <c r="O46" t="s">
        <v>376</v>
      </c>
      <c r="P46" t="s">
        <v>84</v>
      </c>
      <c r="Q46" t="s">
        <v>377</v>
      </c>
      <c r="R46" t="s">
        <v>152</v>
      </c>
      <c r="S46" t="s">
        <v>98</v>
      </c>
      <c r="T46" t="s">
        <v>378</v>
      </c>
      <c r="U46">
        <v>4892</v>
      </c>
      <c r="V46">
        <v>165</v>
      </c>
      <c r="W46">
        <v>14</v>
      </c>
      <c r="X46">
        <v>1330.81</v>
      </c>
      <c r="Y46">
        <v>261.88</v>
      </c>
      <c r="Z46">
        <v>1592.69</v>
      </c>
      <c r="AA46" t="s">
        <v>62</v>
      </c>
      <c r="AB46">
        <v>0</v>
      </c>
      <c r="AC46">
        <v>76.61</v>
      </c>
      <c r="AD46">
        <v>93</v>
      </c>
      <c r="AE46">
        <v>102</v>
      </c>
    </row>
    <row r="47" spans="1:31" x14ac:dyDescent="0.25">
      <c r="A47" t="s">
        <v>379</v>
      </c>
      <c r="B47" t="s">
        <v>380</v>
      </c>
      <c r="C47" s="1">
        <v>44894</v>
      </c>
      <c r="D47" s="1">
        <v>44573</v>
      </c>
      <c r="E47" t="s">
        <v>50</v>
      </c>
      <c r="F47" t="s">
        <v>146</v>
      </c>
      <c r="G47" t="s">
        <v>102</v>
      </c>
      <c r="H47" t="s">
        <v>114</v>
      </c>
      <c r="I47" t="s">
        <v>381</v>
      </c>
      <c r="J47" t="s">
        <v>104</v>
      </c>
      <c r="K47" t="s">
        <v>181</v>
      </c>
      <c r="L47" t="s">
        <v>382</v>
      </c>
      <c r="M47">
        <v>208.71</v>
      </c>
      <c r="N47">
        <v>61</v>
      </c>
      <c r="O47" t="s">
        <v>383</v>
      </c>
      <c r="P47" t="s">
        <v>108</v>
      </c>
      <c r="Q47" t="s">
        <v>191</v>
      </c>
      <c r="R47" t="s">
        <v>44</v>
      </c>
      <c r="S47" t="s">
        <v>73</v>
      </c>
      <c r="T47" t="s">
        <v>143</v>
      </c>
      <c r="U47">
        <v>4975</v>
      </c>
      <c r="V47">
        <v>368</v>
      </c>
      <c r="W47">
        <v>11</v>
      </c>
      <c r="X47">
        <v>1868.54</v>
      </c>
      <c r="Y47">
        <v>45.52</v>
      </c>
      <c r="Z47">
        <v>1914.06</v>
      </c>
      <c r="AA47" t="s">
        <v>62</v>
      </c>
      <c r="AB47">
        <v>0</v>
      </c>
      <c r="AC47">
        <v>88.77</v>
      </c>
      <c r="AD47">
        <v>305</v>
      </c>
      <c r="AE47">
        <v>315</v>
      </c>
    </row>
    <row r="48" spans="1:31" x14ac:dyDescent="0.25">
      <c r="A48" t="s">
        <v>384</v>
      </c>
      <c r="B48" t="s">
        <v>385</v>
      </c>
      <c r="C48" s="1">
        <v>44512</v>
      </c>
      <c r="D48" s="1">
        <v>45044</v>
      </c>
      <c r="E48" t="s">
        <v>65</v>
      </c>
      <c r="F48" t="s">
        <v>91</v>
      </c>
      <c r="G48" t="s">
        <v>92</v>
      </c>
      <c r="H48" t="s">
        <v>147</v>
      </c>
      <c r="I48" t="s">
        <v>386</v>
      </c>
      <c r="J48" t="s">
        <v>104</v>
      </c>
      <c r="K48" t="s">
        <v>181</v>
      </c>
      <c r="L48" t="s">
        <v>387</v>
      </c>
      <c r="M48">
        <v>18.760000000000002</v>
      </c>
      <c r="N48">
        <v>44</v>
      </c>
      <c r="O48" t="s">
        <v>388</v>
      </c>
      <c r="P48" t="s">
        <v>84</v>
      </c>
      <c r="Q48" t="s">
        <v>389</v>
      </c>
      <c r="R48" t="s">
        <v>86</v>
      </c>
      <c r="S48" t="s">
        <v>73</v>
      </c>
      <c r="T48" t="s">
        <v>302</v>
      </c>
      <c r="U48">
        <v>4633</v>
      </c>
      <c r="V48">
        <v>97</v>
      </c>
      <c r="W48">
        <v>15</v>
      </c>
      <c r="X48">
        <v>391.26</v>
      </c>
      <c r="Y48">
        <v>106.04</v>
      </c>
      <c r="Z48">
        <v>497.3</v>
      </c>
      <c r="AA48" t="s">
        <v>62</v>
      </c>
      <c r="AB48">
        <v>0</v>
      </c>
      <c r="AC48">
        <v>71.75</v>
      </c>
      <c r="AD48">
        <v>411</v>
      </c>
      <c r="AE48">
        <v>364</v>
      </c>
    </row>
    <row r="49" spans="1:31" x14ac:dyDescent="0.25">
      <c r="A49" t="s">
        <v>390</v>
      </c>
      <c r="B49" t="s">
        <v>391</v>
      </c>
      <c r="C49" s="1">
        <v>44095</v>
      </c>
      <c r="D49" s="1">
        <v>45470</v>
      </c>
      <c r="E49" t="s">
        <v>50</v>
      </c>
      <c r="F49" t="s">
        <v>91</v>
      </c>
      <c r="G49" t="s">
        <v>113</v>
      </c>
      <c r="H49" t="s">
        <v>163</v>
      </c>
      <c r="I49" t="s">
        <v>386</v>
      </c>
      <c r="J49" t="s">
        <v>104</v>
      </c>
      <c r="K49" t="s">
        <v>181</v>
      </c>
      <c r="L49" t="s">
        <v>387</v>
      </c>
      <c r="M49">
        <v>93.37</v>
      </c>
      <c r="N49">
        <v>86</v>
      </c>
      <c r="O49" t="s">
        <v>392</v>
      </c>
      <c r="P49" t="s">
        <v>42</v>
      </c>
      <c r="Q49" t="s">
        <v>295</v>
      </c>
      <c r="R49" t="s">
        <v>44</v>
      </c>
      <c r="S49" t="s">
        <v>126</v>
      </c>
      <c r="T49" t="s">
        <v>308</v>
      </c>
      <c r="U49">
        <v>1142</v>
      </c>
      <c r="V49">
        <v>296</v>
      </c>
      <c r="W49">
        <v>23</v>
      </c>
      <c r="X49">
        <v>1209.5</v>
      </c>
      <c r="Y49">
        <v>292.60000000000002</v>
      </c>
      <c r="Z49">
        <v>1502.1</v>
      </c>
      <c r="AA49" t="s">
        <v>62</v>
      </c>
      <c r="AB49">
        <v>0</v>
      </c>
      <c r="AC49">
        <v>94.7</v>
      </c>
      <c r="AD49">
        <v>398</v>
      </c>
      <c r="AE49">
        <v>410</v>
      </c>
    </row>
    <row r="50" spans="1:31" x14ac:dyDescent="0.25">
      <c r="A50" t="s">
        <v>393</v>
      </c>
      <c r="B50" t="s">
        <v>394</v>
      </c>
      <c r="C50" s="1">
        <v>45374</v>
      </c>
      <c r="D50" s="1">
        <v>44625</v>
      </c>
      <c r="E50" t="s">
        <v>65</v>
      </c>
      <c r="F50" t="s">
        <v>91</v>
      </c>
      <c r="G50" t="s">
        <v>35</v>
      </c>
      <c r="H50" t="s">
        <v>163</v>
      </c>
      <c r="I50" t="s">
        <v>395</v>
      </c>
      <c r="J50" t="s">
        <v>38</v>
      </c>
      <c r="K50" t="s">
        <v>338</v>
      </c>
      <c r="L50" t="s">
        <v>396</v>
      </c>
      <c r="M50">
        <v>365.29</v>
      </c>
      <c r="N50">
        <v>29</v>
      </c>
      <c r="O50" t="s">
        <v>397</v>
      </c>
      <c r="P50" t="s">
        <v>84</v>
      </c>
      <c r="Q50" t="s">
        <v>142</v>
      </c>
      <c r="R50" t="s">
        <v>60</v>
      </c>
      <c r="S50" t="s">
        <v>87</v>
      </c>
      <c r="T50" t="s">
        <v>218</v>
      </c>
      <c r="U50">
        <v>4605</v>
      </c>
      <c r="V50">
        <v>112</v>
      </c>
      <c r="W50">
        <v>10</v>
      </c>
      <c r="X50">
        <v>1592.91</v>
      </c>
      <c r="Y50">
        <v>57.77</v>
      </c>
      <c r="Z50">
        <v>1650.68</v>
      </c>
      <c r="AA50" t="s">
        <v>62</v>
      </c>
      <c r="AB50">
        <v>0</v>
      </c>
      <c r="AC50">
        <v>93.45</v>
      </c>
      <c r="AD50">
        <v>252</v>
      </c>
      <c r="AE50">
        <v>217</v>
      </c>
    </row>
    <row r="51" spans="1:31" x14ac:dyDescent="0.25">
      <c r="A51" t="s">
        <v>398</v>
      </c>
      <c r="B51" t="s">
        <v>399</v>
      </c>
      <c r="C51" s="1">
        <v>44784</v>
      </c>
      <c r="D51" s="1">
        <v>44846</v>
      </c>
      <c r="E51" t="s">
        <v>50</v>
      </c>
      <c r="F51" t="s">
        <v>34</v>
      </c>
      <c r="G51" t="s">
        <v>35</v>
      </c>
      <c r="H51" t="s">
        <v>53</v>
      </c>
      <c r="I51" t="s">
        <v>400</v>
      </c>
      <c r="J51" t="s">
        <v>38</v>
      </c>
      <c r="K51" t="s">
        <v>94</v>
      </c>
      <c r="L51" t="s">
        <v>401</v>
      </c>
      <c r="M51">
        <v>110.25</v>
      </c>
      <c r="N51">
        <v>52</v>
      </c>
      <c r="O51" t="s">
        <v>402</v>
      </c>
      <c r="P51" t="s">
        <v>42</v>
      </c>
      <c r="Q51" t="s">
        <v>232</v>
      </c>
      <c r="R51" t="s">
        <v>44</v>
      </c>
      <c r="S51" t="s">
        <v>126</v>
      </c>
      <c r="T51" t="s">
        <v>192</v>
      </c>
      <c r="U51">
        <v>2592</v>
      </c>
      <c r="V51">
        <v>140</v>
      </c>
      <c r="W51">
        <v>17</v>
      </c>
      <c r="X51">
        <v>1427.44</v>
      </c>
      <c r="Y51">
        <v>305.92</v>
      </c>
      <c r="Z51">
        <v>1733.36</v>
      </c>
      <c r="AA51" t="s">
        <v>62</v>
      </c>
      <c r="AB51">
        <v>0</v>
      </c>
      <c r="AC51">
        <v>94.22</v>
      </c>
      <c r="AD51">
        <v>229</v>
      </c>
      <c r="AE51">
        <v>207</v>
      </c>
    </row>
    <row r="52" spans="1:31" x14ac:dyDescent="0.25">
      <c r="A52" t="s">
        <v>403</v>
      </c>
      <c r="B52" t="s">
        <v>404</v>
      </c>
      <c r="C52" s="1">
        <v>44948</v>
      </c>
      <c r="D52" s="1">
        <v>44990</v>
      </c>
      <c r="E52" t="s">
        <v>50</v>
      </c>
      <c r="F52" t="s">
        <v>51</v>
      </c>
      <c r="G52" t="s">
        <v>66</v>
      </c>
      <c r="H52" t="s">
        <v>221</v>
      </c>
      <c r="I52" t="s">
        <v>405</v>
      </c>
      <c r="J52" t="s">
        <v>38</v>
      </c>
      <c r="K52" t="s">
        <v>94</v>
      </c>
      <c r="L52" t="s">
        <v>406</v>
      </c>
      <c r="M52">
        <v>205.05</v>
      </c>
      <c r="N52">
        <v>48</v>
      </c>
      <c r="O52" t="s">
        <v>407</v>
      </c>
      <c r="P52" t="s">
        <v>58</v>
      </c>
      <c r="Q52" t="s">
        <v>408</v>
      </c>
      <c r="R52" t="s">
        <v>152</v>
      </c>
      <c r="S52" t="s">
        <v>87</v>
      </c>
      <c r="T52" t="s">
        <v>409</v>
      </c>
      <c r="U52">
        <v>4968</v>
      </c>
      <c r="V52">
        <v>316</v>
      </c>
      <c r="W52">
        <v>4</v>
      </c>
      <c r="X52">
        <v>1153.44</v>
      </c>
      <c r="Y52">
        <v>179.71</v>
      </c>
      <c r="Z52">
        <v>1333.15</v>
      </c>
      <c r="AA52" t="s">
        <v>62</v>
      </c>
      <c r="AB52">
        <v>0</v>
      </c>
      <c r="AC52">
        <v>86.04</v>
      </c>
      <c r="AD52">
        <v>198</v>
      </c>
      <c r="AE52">
        <v>178</v>
      </c>
    </row>
    <row r="53" spans="1:31" x14ac:dyDescent="0.25">
      <c r="A53" t="s">
        <v>410</v>
      </c>
      <c r="B53" t="s">
        <v>411</v>
      </c>
      <c r="C53" s="1">
        <v>45658</v>
      </c>
      <c r="D53" s="1">
        <v>44601</v>
      </c>
      <c r="E53" t="s">
        <v>33</v>
      </c>
      <c r="F53" t="s">
        <v>146</v>
      </c>
      <c r="G53" t="s">
        <v>35</v>
      </c>
      <c r="H53" t="s">
        <v>114</v>
      </c>
      <c r="I53" t="s">
        <v>412</v>
      </c>
      <c r="J53" t="s">
        <v>38</v>
      </c>
      <c r="K53" t="s">
        <v>94</v>
      </c>
      <c r="L53" t="s">
        <v>413</v>
      </c>
      <c r="M53">
        <v>216.53</v>
      </c>
      <c r="N53">
        <v>23</v>
      </c>
      <c r="O53" t="s">
        <v>414</v>
      </c>
      <c r="P53" t="s">
        <v>42</v>
      </c>
      <c r="Q53" t="s">
        <v>346</v>
      </c>
      <c r="R53" t="s">
        <v>152</v>
      </c>
      <c r="S53" t="s">
        <v>126</v>
      </c>
      <c r="T53" t="s">
        <v>177</v>
      </c>
      <c r="U53">
        <v>4279</v>
      </c>
      <c r="V53">
        <v>344</v>
      </c>
      <c r="W53">
        <v>21</v>
      </c>
      <c r="X53">
        <v>709.52</v>
      </c>
      <c r="Y53">
        <v>456.6</v>
      </c>
      <c r="Z53">
        <v>1166.1199999999999</v>
      </c>
      <c r="AA53" t="s">
        <v>62</v>
      </c>
      <c r="AB53">
        <v>0</v>
      </c>
      <c r="AC53">
        <v>90.13</v>
      </c>
      <c r="AD53">
        <v>400</v>
      </c>
      <c r="AE53">
        <v>380</v>
      </c>
    </row>
    <row r="54" spans="1:31" x14ac:dyDescent="0.25">
      <c r="A54" t="s">
        <v>415</v>
      </c>
      <c r="B54" t="s">
        <v>416</v>
      </c>
      <c r="C54" s="1">
        <v>44154</v>
      </c>
      <c r="D54" s="1">
        <v>44773</v>
      </c>
      <c r="E54" t="s">
        <v>50</v>
      </c>
      <c r="F54" t="s">
        <v>77</v>
      </c>
      <c r="G54" t="s">
        <v>92</v>
      </c>
      <c r="H54" t="s">
        <v>114</v>
      </c>
      <c r="I54" t="s">
        <v>417</v>
      </c>
      <c r="J54" t="s">
        <v>38</v>
      </c>
      <c r="K54" t="s">
        <v>55</v>
      </c>
      <c r="L54" t="s">
        <v>418</v>
      </c>
      <c r="M54">
        <v>101.14</v>
      </c>
      <c r="N54">
        <v>62</v>
      </c>
      <c r="O54" t="s">
        <v>197</v>
      </c>
      <c r="P54" t="s">
        <v>84</v>
      </c>
      <c r="Q54" t="s">
        <v>238</v>
      </c>
      <c r="R54" t="s">
        <v>44</v>
      </c>
      <c r="S54" t="s">
        <v>126</v>
      </c>
      <c r="T54" t="s">
        <v>419</v>
      </c>
      <c r="U54">
        <v>4009</v>
      </c>
      <c r="V54">
        <v>402</v>
      </c>
      <c r="W54">
        <v>4</v>
      </c>
      <c r="X54">
        <v>1354.13</v>
      </c>
      <c r="Y54">
        <v>410.63</v>
      </c>
      <c r="Z54">
        <v>1764.76</v>
      </c>
      <c r="AA54" t="s">
        <v>62</v>
      </c>
      <c r="AB54">
        <v>0</v>
      </c>
      <c r="AC54">
        <v>93.56</v>
      </c>
      <c r="AD54">
        <v>201</v>
      </c>
      <c r="AE54">
        <v>202</v>
      </c>
    </row>
    <row r="55" spans="1:31" x14ac:dyDescent="0.25">
      <c r="A55" t="s">
        <v>420</v>
      </c>
      <c r="B55" t="s">
        <v>421</v>
      </c>
      <c r="C55" s="1">
        <v>44739</v>
      </c>
      <c r="D55" s="1">
        <v>44202</v>
      </c>
      <c r="E55" t="s">
        <v>65</v>
      </c>
      <c r="F55" t="s">
        <v>77</v>
      </c>
      <c r="G55" t="s">
        <v>343</v>
      </c>
      <c r="H55" t="s">
        <v>53</v>
      </c>
      <c r="I55" t="s">
        <v>422</v>
      </c>
      <c r="J55" t="s">
        <v>38</v>
      </c>
      <c r="K55" t="s">
        <v>55</v>
      </c>
      <c r="L55" t="s">
        <v>423</v>
      </c>
      <c r="M55">
        <v>465.3</v>
      </c>
      <c r="N55">
        <v>45</v>
      </c>
      <c r="O55" t="s">
        <v>424</v>
      </c>
      <c r="P55" t="s">
        <v>141</v>
      </c>
      <c r="Q55" t="s">
        <v>425</v>
      </c>
      <c r="R55" t="s">
        <v>152</v>
      </c>
      <c r="S55" t="s">
        <v>45</v>
      </c>
      <c r="T55" t="s">
        <v>426</v>
      </c>
      <c r="U55">
        <v>4235</v>
      </c>
      <c r="V55">
        <v>96</v>
      </c>
      <c r="W55">
        <v>15</v>
      </c>
      <c r="X55">
        <v>1212.1099999999999</v>
      </c>
      <c r="Y55">
        <v>115.93</v>
      </c>
      <c r="Z55">
        <v>1328.04</v>
      </c>
      <c r="AA55" t="s">
        <v>62</v>
      </c>
      <c r="AB55">
        <v>0</v>
      </c>
      <c r="AC55">
        <v>72.56</v>
      </c>
      <c r="AD55">
        <v>353</v>
      </c>
      <c r="AE55">
        <v>308</v>
      </c>
    </row>
    <row r="56" spans="1:31" x14ac:dyDescent="0.25">
      <c r="A56" t="s">
        <v>427</v>
      </c>
      <c r="B56" t="s">
        <v>428</v>
      </c>
      <c r="C56" s="1">
        <v>44310</v>
      </c>
      <c r="D56" s="1">
        <v>44737</v>
      </c>
      <c r="E56" t="s">
        <v>65</v>
      </c>
      <c r="F56" t="s">
        <v>91</v>
      </c>
      <c r="G56" t="s">
        <v>102</v>
      </c>
      <c r="H56" t="s">
        <v>114</v>
      </c>
      <c r="I56" t="s">
        <v>429</v>
      </c>
      <c r="J56" t="s">
        <v>38</v>
      </c>
      <c r="K56" t="s">
        <v>55</v>
      </c>
      <c r="L56" t="s">
        <v>430</v>
      </c>
      <c r="M56">
        <v>276.12</v>
      </c>
      <c r="N56">
        <v>14</v>
      </c>
      <c r="O56" t="s">
        <v>431</v>
      </c>
      <c r="P56" t="s">
        <v>141</v>
      </c>
      <c r="Q56" t="s">
        <v>432</v>
      </c>
      <c r="R56" t="s">
        <v>60</v>
      </c>
      <c r="S56" t="s">
        <v>87</v>
      </c>
      <c r="T56" t="s">
        <v>153</v>
      </c>
      <c r="U56">
        <v>4843</v>
      </c>
      <c r="V56">
        <v>135</v>
      </c>
      <c r="W56">
        <v>12</v>
      </c>
      <c r="X56">
        <v>225.58</v>
      </c>
      <c r="Y56">
        <v>162.09</v>
      </c>
      <c r="Z56">
        <v>387.67</v>
      </c>
      <c r="AA56" t="s">
        <v>62</v>
      </c>
      <c r="AB56">
        <v>0</v>
      </c>
      <c r="AC56">
        <v>72.78</v>
      </c>
      <c r="AD56">
        <v>128</v>
      </c>
      <c r="AE56">
        <v>95</v>
      </c>
    </row>
    <row r="57" spans="1:31" x14ac:dyDescent="0.25">
      <c r="A57" t="s">
        <v>433</v>
      </c>
      <c r="B57" t="s">
        <v>434</v>
      </c>
      <c r="C57" s="1">
        <v>44432</v>
      </c>
      <c r="D57" s="1">
        <v>43913</v>
      </c>
      <c r="E57" t="s">
        <v>50</v>
      </c>
      <c r="F57" t="s">
        <v>51</v>
      </c>
      <c r="G57" t="s">
        <v>52</v>
      </c>
      <c r="H57" t="s">
        <v>79</v>
      </c>
      <c r="I57" t="s">
        <v>435</v>
      </c>
      <c r="J57" t="s">
        <v>38</v>
      </c>
      <c r="K57" t="s">
        <v>263</v>
      </c>
      <c r="L57" t="s">
        <v>271</v>
      </c>
      <c r="M57">
        <v>325.14999999999998</v>
      </c>
      <c r="N57">
        <v>83</v>
      </c>
      <c r="O57" t="s">
        <v>436</v>
      </c>
      <c r="P57" t="s">
        <v>141</v>
      </c>
      <c r="Q57" t="s">
        <v>266</v>
      </c>
      <c r="R57" t="s">
        <v>152</v>
      </c>
      <c r="S57" t="s">
        <v>87</v>
      </c>
      <c r="T57" t="s">
        <v>437</v>
      </c>
      <c r="U57">
        <v>4036</v>
      </c>
      <c r="V57">
        <v>69</v>
      </c>
      <c r="W57">
        <v>10</v>
      </c>
      <c r="X57">
        <v>1946.25</v>
      </c>
      <c r="Y57">
        <v>366.75</v>
      </c>
      <c r="Z57">
        <v>2313</v>
      </c>
      <c r="AA57" t="s">
        <v>62</v>
      </c>
      <c r="AB57">
        <v>0</v>
      </c>
      <c r="AC57">
        <v>86.74</v>
      </c>
      <c r="AD57">
        <v>486</v>
      </c>
      <c r="AE57">
        <v>490</v>
      </c>
    </row>
    <row r="58" spans="1:31" x14ac:dyDescent="0.25">
      <c r="A58" t="s">
        <v>438</v>
      </c>
      <c r="B58" t="s">
        <v>439</v>
      </c>
      <c r="C58" s="1">
        <v>44737</v>
      </c>
      <c r="D58" s="1">
        <v>44450</v>
      </c>
      <c r="E58" t="s">
        <v>65</v>
      </c>
      <c r="F58" t="s">
        <v>51</v>
      </c>
      <c r="G58" t="s">
        <v>52</v>
      </c>
      <c r="H58" t="s">
        <v>36</v>
      </c>
      <c r="I58" t="s">
        <v>440</v>
      </c>
      <c r="J58" t="s">
        <v>38</v>
      </c>
      <c r="K58" t="s">
        <v>39</v>
      </c>
      <c r="L58" t="s">
        <v>441</v>
      </c>
      <c r="M58">
        <v>11.75</v>
      </c>
      <c r="N58">
        <v>81</v>
      </c>
      <c r="O58" t="s">
        <v>442</v>
      </c>
      <c r="P58" t="s">
        <v>84</v>
      </c>
      <c r="Q58" t="s">
        <v>142</v>
      </c>
      <c r="R58" t="s">
        <v>60</v>
      </c>
      <c r="S58" t="s">
        <v>98</v>
      </c>
      <c r="T58" t="s">
        <v>284</v>
      </c>
      <c r="U58">
        <v>4874</v>
      </c>
      <c r="V58">
        <v>145</v>
      </c>
      <c r="W58">
        <v>20</v>
      </c>
      <c r="X58">
        <v>65.150000000000006</v>
      </c>
      <c r="Y58">
        <v>114.97</v>
      </c>
      <c r="Z58">
        <v>180.12</v>
      </c>
      <c r="AA58" t="s">
        <v>62</v>
      </c>
      <c r="AB58">
        <v>0</v>
      </c>
      <c r="AC58">
        <v>76.459999999999994</v>
      </c>
      <c r="AD58">
        <v>125</v>
      </c>
      <c r="AE58">
        <v>115</v>
      </c>
    </row>
    <row r="59" spans="1:31" x14ac:dyDescent="0.25">
      <c r="A59" t="s">
        <v>443</v>
      </c>
      <c r="B59" t="s">
        <v>444</v>
      </c>
      <c r="C59" s="1">
        <v>45280</v>
      </c>
      <c r="D59" s="1">
        <v>45462</v>
      </c>
      <c r="E59" t="s">
        <v>65</v>
      </c>
      <c r="F59" t="s">
        <v>51</v>
      </c>
      <c r="G59" t="s">
        <v>66</v>
      </c>
      <c r="H59" t="s">
        <v>221</v>
      </c>
      <c r="I59" t="s">
        <v>445</v>
      </c>
      <c r="J59" t="s">
        <v>38</v>
      </c>
      <c r="K59" t="s">
        <v>81</v>
      </c>
      <c r="L59" t="s">
        <v>446</v>
      </c>
      <c r="M59">
        <v>203.59</v>
      </c>
      <c r="N59">
        <v>55</v>
      </c>
      <c r="O59" t="s">
        <v>277</v>
      </c>
      <c r="P59" t="s">
        <v>84</v>
      </c>
      <c r="Q59" t="s">
        <v>377</v>
      </c>
      <c r="R59" t="s">
        <v>60</v>
      </c>
      <c r="S59" t="s">
        <v>87</v>
      </c>
      <c r="T59" t="s">
        <v>447</v>
      </c>
      <c r="U59">
        <v>1329</v>
      </c>
      <c r="V59">
        <v>449</v>
      </c>
      <c r="W59">
        <v>29</v>
      </c>
      <c r="X59">
        <v>1258.25</v>
      </c>
      <c r="Y59">
        <v>152.4</v>
      </c>
      <c r="Z59">
        <v>1410.65</v>
      </c>
      <c r="AA59" t="s">
        <v>62</v>
      </c>
      <c r="AB59">
        <v>0</v>
      </c>
      <c r="AC59">
        <v>90.85</v>
      </c>
      <c r="AD59">
        <v>456</v>
      </c>
      <c r="AE59">
        <v>455</v>
      </c>
    </row>
    <row r="60" spans="1:31" x14ac:dyDescent="0.25">
      <c r="A60" t="s">
        <v>448</v>
      </c>
      <c r="B60" t="s">
        <v>449</v>
      </c>
      <c r="C60" s="1">
        <v>45543</v>
      </c>
      <c r="D60" s="1">
        <v>45197</v>
      </c>
      <c r="E60" t="s">
        <v>33</v>
      </c>
      <c r="F60" t="s">
        <v>51</v>
      </c>
      <c r="G60" t="s">
        <v>92</v>
      </c>
      <c r="H60" t="s">
        <v>147</v>
      </c>
      <c r="I60" t="s">
        <v>450</v>
      </c>
      <c r="J60" t="s">
        <v>38</v>
      </c>
      <c r="K60" t="s">
        <v>81</v>
      </c>
      <c r="L60" t="s">
        <v>451</v>
      </c>
      <c r="M60">
        <v>76.849999999999994</v>
      </c>
      <c r="N60">
        <v>10</v>
      </c>
      <c r="O60" t="s">
        <v>452</v>
      </c>
      <c r="P60" t="s">
        <v>108</v>
      </c>
      <c r="Q60" t="s">
        <v>191</v>
      </c>
      <c r="R60" t="s">
        <v>86</v>
      </c>
      <c r="S60" t="s">
        <v>73</v>
      </c>
      <c r="T60" t="s">
        <v>259</v>
      </c>
      <c r="U60">
        <v>2697</v>
      </c>
      <c r="V60">
        <v>484</v>
      </c>
      <c r="W60">
        <v>11</v>
      </c>
      <c r="X60">
        <v>533.53</v>
      </c>
      <c r="Y60">
        <v>376.26</v>
      </c>
      <c r="Z60">
        <v>909.79</v>
      </c>
      <c r="AA60" t="s">
        <v>62</v>
      </c>
      <c r="AB60">
        <v>0</v>
      </c>
      <c r="AC60">
        <v>73.2</v>
      </c>
      <c r="AD60">
        <v>255</v>
      </c>
      <c r="AE60">
        <v>255</v>
      </c>
    </row>
    <row r="61" spans="1:31" x14ac:dyDescent="0.25">
      <c r="A61" t="s">
        <v>453</v>
      </c>
      <c r="B61" t="s">
        <v>454</v>
      </c>
      <c r="C61" s="1">
        <v>44472</v>
      </c>
      <c r="D61" s="1">
        <v>45195</v>
      </c>
      <c r="E61" t="s">
        <v>65</v>
      </c>
      <c r="F61" t="s">
        <v>146</v>
      </c>
      <c r="G61" t="s">
        <v>113</v>
      </c>
      <c r="H61" t="s">
        <v>163</v>
      </c>
      <c r="I61" t="s">
        <v>455</v>
      </c>
      <c r="J61" t="s">
        <v>165</v>
      </c>
      <c r="K61" t="s">
        <v>166</v>
      </c>
      <c r="L61" t="s">
        <v>456</v>
      </c>
      <c r="M61">
        <v>105.66</v>
      </c>
      <c r="N61">
        <v>34</v>
      </c>
      <c r="O61" t="s">
        <v>457</v>
      </c>
      <c r="P61" t="s">
        <v>42</v>
      </c>
      <c r="Q61" t="s">
        <v>458</v>
      </c>
      <c r="R61" t="s">
        <v>86</v>
      </c>
      <c r="S61" t="s">
        <v>126</v>
      </c>
      <c r="T61" t="s">
        <v>253</v>
      </c>
      <c r="U61">
        <v>1661</v>
      </c>
      <c r="V61">
        <v>358</v>
      </c>
      <c r="W61">
        <v>8</v>
      </c>
      <c r="X61">
        <v>893.39</v>
      </c>
      <c r="Y61">
        <v>406.09</v>
      </c>
      <c r="Z61">
        <v>1299.48</v>
      </c>
      <c r="AA61" t="s">
        <v>62</v>
      </c>
      <c r="AB61">
        <v>0</v>
      </c>
      <c r="AC61">
        <v>76.42</v>
      </c>
      <c r="AD61">
        <v>483</v>
      </c>
      <c r="AE61">
        <v>511</v>
      </c>
    </row>
    <row r="62" spans="1:31" x14ac:dyDescent="0.25">
      <c r="A62" t="s">
        <v>459</v>
      </c>
      <c r="B62" t="s">
        <v>460</v>
      </c>
      <c r="C62" s="1">
        <v>45013</v>
      </c>
      <c r="D62" s="1">
        <v>43904</v>
      </c>
      <c r="E62" t="s">
        <v>65</v>
      </c>
      <c r="F62" t="s">
        <v>91</v>
      </c>
      <c r="G62" t="s">
        <v>92</v>
      </c>
      <c r="H62" t="s">
        <v>114</v>
      </c>
      <c r="I62" t="s">
        <v>461</v>
      </c>
      <c r="J62" t="s">
        <v>104</v>
      </c>
      <c r="K62" t="s">
        <v>181</v>
      </c>
      <c r="L62" t="s">
        <v>462</v>
      </c>
      <c r="M62">
        <v>476.68</v>
      </c>
      <c r="N62">
        <v>98</v>
      </c>
      <c r="O62" t="s">
        <v>463</v>
      </c>
      <c r="P62" t="s">
        <v>58</v>
      </c>
      <c r="Q62" t="s">
        <v>464</v>
      </c>
      <c r="R62" t="s">
        <v>60</v>
      </c>
      <c r="S62" t="s">
        <v>45</v>
      </c>
      <c r="T62" t="s">
        <v>185</v>
      </c>
      <c r="U62">
        <v>4942</v>
      </c>
      <c r="V62">
        <v>55</v>
      </c>
      <c r="W62">
        <v>21</v>
      </c>
      <c r="X62">
        <v>497.09</v>
      </c>
      <c r="Y62">
        <v>96.28</v>
      </c>
      <c r="Z62">
        <v>593.37</v>
      </c>
      <c r="AA62" t="s">
        <v>47</v>
      </c>
      <c r="AB62">
        <v>13</v>
      </c>
      <c r="AC62">
        <v>99.02</v>
      </c>
      <c r="AD62">
        <v>94</v>
      </c>
      <c r="AE62">
        <v>45</v>
      </c>
    </row>
    <row r="63" spans="1:31" x14ac:dyDescent="0.25">
      <c r="A63" t="s">
        <v>465</v>
      </c>
      <c r="B63" t="s">
        <v>466</v>
      </c>
      <c r="C63" s="1">
        <v>45636</v>
      </c>
      <c r="D63" s="1">
        <v>44379</v>
      </c>
      <c r="E63" t="s">
        <v>65</v>
      </c>
      <c r="F63" t="s">
        <v>77</v>
      </c>
      <c r="G63" t="s">
        <v>35</v>
      </c>
      <c r="H63" t="s">
        <v>114</v>
      </c>
      <c r="I63" t="s">
        <v>467</v>
      </c>
      <c r="J63" t="s">
        <v>104</v>
      </c>
      <c r="K63" t="s">
        <v>181</v>
      </c>
      <c r="L63" t="s">
        <v>468</v>
      </c>
      <c r="M63">
        <v>166.59</v>
      </c>
      <c r="N63">
        <v>85</v>
      </c>
      <c r="O63" t="s">
        <v>469</v>
      </c>
      <c r="P63" t="s">
        <v>84</v>
      </c>
      <c r="Q63" t="s">
        <v>184</v>
      </c>
      <c r="R63" t="s">
        <v>60</v>
      </c>
      <c r="S63" t="s">
        <v>73</v>
      </c>
      <c r="T63" t="s">
        <v>470</v>
      </c>
      <c r="U63">
        <v>3485</v>
      </c>
      <c r="V63">
        <v>108</v>
      </c>
      <c r="W63">
        <v>14</v>
      </c>
      <c r="X63">
        <v>978.84</v>
      </c>
      <c r="Y63">
        <v>473.11</v>
      </c>
      <c r="Z63">
        <v>1451.95</v>
      </c>
      <c r="AA63" t="s">
        <v>62</v>
      </c>
      <c r="AB63">
        <v>0</v>
      </c>
      <c r="AC63">
        <v>82.29</v>
      </c>
      <c r="AD63">
        <v>78</v>
      </c>
      <c r="AE63">
        <v>123</v>
      </c>
    </row>
    <row r="64" spans="1:31" x14ac:dyDescent="0.25">
      <c r="A64" t="s">
        <v>471</v>
      </c>
      <c r="B64" t="s">
        <v>472</v>
      </c>
      <c r="C64" s="1">
        <v>45077</v>
      </c>
      <c r="D64" s="1">
        <v>45338</v>
      </c>
      <c r="E64" t="s">
        <v>65</v>
      </c>
      <c r="F64" t="s">
        <v>34</v>
      </c>
      <c r="G64" t="s">
        <v>35</v>
      </c>
      <c r="H64" t="s">
        <v>79</v>
      </c>
      <c r="I64" t="s">
        <v>473</v>
      </c>
      <c r="J64" t="s">
        <v>104</v>
      </c>
      <c r="K64" t="s">
        <v>181</v>
      </c>
      <c r="L64" t="s">
        <v>474</v>
      </c>
      <c r="M64">
        <v>33.25</v>
      </c>
      <c r="N64">
        <v>10</v>
      </c>
      <c r="O64" t="s">
        <v>475</v>
      </c>
      <c r="P64" t="s">
        <v>108</v>
      </c>
      <c r="Q64" t="s">
        <v>184</v>
      </c>
      <c r="R64" t="s">
        <v>44</v>
      </c>
      <c r="S64" t="s">
        <v>126</v>
      </c>
      <c r="T64" t="s">
        <v>74</v>
      </c>
      <c r="U64">
        <v>147</v>
      </c>
      <c r="V64">
        <v>426</v>
      </c>
      <c r="W64">
        <v>14</v>
      </c>
      <c r="X64">
        <v>1774.41</v>
      </c>
      <c r="Y64">
        <v>347.7</v>
      </c>
      <c r="Z64">
        <v>2122.11</v>
      </c>
      <c r="AA64" t="s">
        <v>62</v>
      </c>
      <c r="AB64">
        <v>0</v>
      </c>
      <c r="AC64">
        <v>90.92</v>
      </c>
      <c r="AD64">
        <v>479</v>
      </c>
      <c r="AE64">
        <v>523</v>
      </c>
    </row>
    <row r="65" spans="1:31" x14ac:dyDescent="0.25">
      <c r="A65" t="s">
        <v>476</v>
      </c>
      <c r="B65" t="s">
        <v>477</v>
      </c>
      <c r="C65" s="1">
        <v>45311</v>
      </c>
      <c r="D65" s="1">
        <v>45352</v>
      </c>
      <c r="E65" t="s">
        <v>50</v>
      </c>
      <c r="F65" t="s">
        <v>51</v>
      </c>
      <c r="G65" t="s">
        <v>92</v>
      </c>
      <c r="H65" t="s">
        <v>114</v>
      </c>
      <c r="I65" t="s">
        <v>478</v>
      </c>
      <c r="J65" t="s">
        <v>104</v>
      </c>
      <c r="K65" t="s">
        <v>181</v>
      </c>
      <c r="L65" t="s">
        <v>479</v>
      </c>
      <c r="M65">
        <v>483.49</v>
      </c>
      <c r="N65">
        <v>59</v>
      </c>
      <c r="O65" t="s">
        <v>480</v>
      </c>
      <c r="P65" t="s">
        <v>84</v>
      </c>
      <c r="Q65" t="s">
        <v>353</v>
      </c>
      <c r="R65" t="s">
        <v>152</v>
      </c>
      <c r="S65" t="s">
        <v>45</v>
      </c>
      <c r="T65" t="s">
        <v>481</v>
      </c>
      <c r="U65">
        <v>2253</v>
      </c>
      <c r="V65">
        <v>495</v>
      </c>
      <c r="W65">
        <v>1</v>
      </c>
      <c r="X65">
        <v>1916.37</v>
      </c>
      <c r="Y65">
        <v>51.89</v>
      </c>
      <c r="Z65">
        <v>1968.26</v>
      </c>
      <c r="AA65" t="s">
        <v>62</v>
      </c>
      <c r="AB65">
        <v>0</v>
      </c>
      <c r="AC65">
        <v>85.52</v>
      </c>
      <c r="AD65">
        <v>124</v>
      </c>
      <c r="AE65">
        <v>99</v>
      </c>
    </row>
    <row r="66" spans="1:31" x14ac:dyDescent="0.25">
      <c r="A66" t="s">
        <v>482</v>
      </c>
      <c r="B66" t="s">
        <v>483</v>
      </c>
      <c r="C66" s="1">
        <v>45393</v>
      </c>
      <c r="D66" s="1">
        <v>45446</v>
      </c>
      <c r="E66" t="s">
        <v>65</v>
      </c>
      <c r="F66" t="s">
        <v>51</v>
      </c>
      <c r="G66" t="s">
        <v>113</v>
      </c>
      <c r="H66" t="s">
        <v>36</v>
      </c>
      <c r="I66" t="s">
        <v>484</v>
      </c>
      <c r="J66" t="s">
        <v>38</v>
      </c>
      <c r="K66" t="s">
        <v>39</v>
      </c>
      <c r="L66" t="s">
        <v>485</v>
      </c>
      <c r="M66">
        <v>313.57</v>
      </c>
      <c r="N66">
        <v>23</v>
      </c>
      <c r="O66" t="s">
        <v>442</v>
      </c>
      <c r="P66" t="s">
        <v>42</v>
      </c>
      <c r="Q66" t="s">
        <v>72</v>
      </c>
      <c r="R66" t="s">
        <v>152</v>
      </c>
      <c r="S66" t="s">
        <v>73</v>
      </c>
      <c r="T66" t="s">
        <v>218</v>
      </c>
      <c r="U66">
        <v>2488</v>
      </c>
      <c r="V66">
        <v>50</v>
      </c>
      <c r="W66">
        <v>28</v>
      </c>
      <c r="X66">
        <v>1727.84</v>
      </c>
      <c r="Y66">
        <v>103.95</v>
      </c>
      <c r="Z66">
        <v>1831.79</v>
      </c>
      <c r="AA66" t="s">
        <v>62</v>
      </c>
      <c r="AB66">
        <v>0</v>
      </c>
      <c r="AC66">
        <v>84.33</v>
      </c>
      <c r="AD66">
        <v>335</v>
      </c>
      <c r="AE66">
        <v>343</v>
      </c>
    </row>
    <row r="67" spans="1:31" x14ac:dyDescent="0.25">
      <c r="A67" t="s">
        <v>486</v>
      </c>
      <c r="B67" t="s">
        <v>487</v>
      </c>
      <c r="C67" s="1">
        <v>44610</v>
      </c>
      <c r="D67" s="1">
        <v>44786</v>
      </c>
      <c r="E67" t="s">
        <v>50</v>
      </c>
      <c r="F67" t="s">
        <v>77</v>
      </c>
      <c r="G67" t="s">
        <v>78</v>
      </c>
      <c r="H67" t="s">
        <v>147</v>
      </c>
      <c r="I67" t="s">
        <v>488</v>
      </c>
      <c r="J67" t="s">
        <v>165</v>
      </c>
      <c r="K67" t="s">
        <v>166</v>
      </c>
      <c r="L67" t="s">
        <v>489</v>
      </c>
      <c r="M67">
        <v>146.75</v>
      </c>
      <c r="N67">
        <v>43</v>
      </c>
      <c r="O67" t="s">
        <v>490</v>
      </c>
      <c r="P67" t="s">
        <v>84</v>
      </c>
      <c r="Q67" t="s">
        <v>491</v>
      </c>
      <c r="R67" t="s">
        <v>152</v>
      </c>
      <c r="S67" t="s">
        <v>126</v>
      </c>
      <c r="T67" t="s">
        <v>481</v>
      </c>
      <c r="U67">
        <v>3200</v>
      </c>
      <c r="V67">
        <v>86</v>
      </c>
      <c r="W67">
        <v>20</v>
      </c>
      <c r="X67">
        <v>1073.94</v>
      </c>
      <c r="Y67">
        <v>308.13</v>
      </c>
      <c r="Z67">
        <v>1382.07</v>
      </c>
      <c r="AA67" t="s">
        <v>62</v>
      </c>
      <c r="AB67">
        <v>0</v>
      </c>
      <c r="AC67">
        <v>98.94</v>
      </c>
      <c r="AD67">
        <v>386</v>
      </c>
      <c r="AE67">
        <v>384</v>
      </c>
    </row>
    <row r="68" spans="1:31" x14ac:dyDescent="0.25">
      <c r="A68" t="s">
        <v>492</v>
      </c>
      <c r="B68" t="s">
        <v>493</v>
      </c>
      <c r="C68" s="1">
        <v>44465</v>
      </c>
      <c r="D68" s="1">
        <v>45051</v>
      </c>
      <c r="E68" t="s">
        <v>65</v>
      </c>
      <c r="F68" t="s">
        <v>34</v>
      </c>
      <c r="G68" t="s">
        <v>78</v>
      </c>
      <c r="H68" t="s">
        <v>79</v>
      </c>
      <c r="I68" t="s">
        <v>494</v>
      </c>
      <c r="J68" t="s">
        <v>38</v>
      </c>
      <c r="K68" t="s">
        <v>138</v>
      </c>
      <c r="L68" t="s">
        <v>495</v>
      </c>
      <c r="M68">
        <v>84.76</v>
      </c>
      <c r="N68">
        <v>32</v>
      </c>
      <c r="O68" t="s">
        <v>457</v>
      </c>
      <c r="P68" t="s">
        <v>108</v>
      </c>
      <c r="Q68" t="s">
        <v>118</v>
      </c>
      <c r="R68" t="s">
        <v>86</v>
      </c>
      <c r="S68" t="s">
        <v>45</v>
      </c>
      <c r="T68" t="s">
        <v>267</v>
      </c>
      <c r="U68">
        <v>4423</v>
      </c>
      <c r="V68">
        <v>260</v>
      </c>
      <c r="W68">
        <v>29</v>
      </c>
      <c r="X68">
        <v>451.29</v>
      </c>
      <c r="Y68">
        <v>370.49</v>
      </c>
      <c r="Z68">
        <v>821.78</v>
      </c>
      <c r="AA68" t="s">
        <v>47</v>
      </c>
      <c r="AB68">
        <v>7</v>
      </c>
      <c r="AC68">
        <v>70.27</v>
      </c>
      <c r="AD68">
        <v>170</v>
      </c>
      <c r="AE68">
        <v>146</v>
      </c>
    </row>
    <row r="69" spans="1:31" x14ac:dyDescent="0.25">
      <c r="A69" t="s">
        <v>496</v>
      </c>
      <c r="B69" t="s">
        <v>497</v>
      </c>
      <c r="C69" s="1">
        <v>45001</v>
      </c>
      <c r="D69" s="1">
        <v>43923</v>
      </c>
      <c r="E69" t="s">
        <v>65</v>
      </c>
      <c r="F69" t="s">
        <v>51</v>
      </c>
      <c r="G69" t="s">
        <v>92</v>
      </c>
      <c r="H69" t="s">
        <v>221</v>
      </c>
      <c r="I69" t="s">
        <v>498</v>
      </c>
      <c r="J69" t="s">
        <v>38</v>
      </c>
      <c r="K69" t="s">
        <v>39</v>
      </c>
      <c r="L69" t="s">
        <v>499</v>
      </c>
      <c r="M69">
        <v>390.58</v>
      </c>
      <c r="N69">
        <v>13</v>
      </c>
      <c r="O69" t="s">
        <v>500</v>
      </c>
      <c r="P69" t="s">
        <v>108</v>
      </c>
      <c r="Q69" t="s">
        <v>333</v>
      </c>
      <c r="R69" t="s">
        <v>44</v>
      </c>
      <c r="S69" t="s">
        <v>87</v>
      </c>
      <c r="T69" t="s">
        <v>296</v>
      </c>
      <c r="U69">
        <v>9</v>
      </c>
      <c r="V69">
        <v>470</v>
      </c>
      <c r="W69">
        <v>18</v>
      </c>
      <c r="X69">
        <v>793.99</v>
      </c>
      <c r="Y69">
        <v>477.49</v>
      </c>
      <c r="Z69">
        <v>1271.48</v>
      </c>
      <c r="AA69" t="s">
        <v>62</v>
      </c>
      <c r="AB69">
        <v>0</v>
      </c>
      <c r="AC69">
        <v>91.78</v>
      </c>
      <c r="AD69">
        <v>133</v>
      </c>
      <c r="AE69">
        <v>89</v>
      </c>
    </row>
    <row r="70" spans="1:31" x14ac:dyDescent="0.25">
      <c r="A70" t="s">
        <v>501</v>
      </c>
      <c r="B70" t="s">
        <v>502</v>
      </c>
      <c r="C70" s="1">
        <v>44649</v>
      </c>
      <c r="D70" s="1">
        <v>44458</v>
      </c>
      <c r="E70" t="s">
        <v>33</v>
      </c>
      <c r="F70" t="s">
        <v>91</v>
      </c>
      <c r="G70" t="s">
        <v>92</v>
      </c>
      <c r="H70" t="s">
        <v>79</v>
      </c>
      <c r="I70" t="s">
        <v>503</v>
      </c>
      <c r="J70" t="s">
        <v>104</v>
      </c>
      <c r="K70" t="s">
        <v>229</v>
      </c>
      <c r="L70" t="s">
        <v>504</v>
      </c>
      <c r="M70">
        <v>461.67</v>
      </c>
      <c r="N70">
        <v>17</v>
      </c>
      <c r="O70" t="s">
        <v>505</v>
      </c>
      <c r="P70" t="s">
        <v>42</v>
      </c>
      <c r="Q70" t="s">
        <v>142</v>
      </c>
      <c r="R70" t="s">
        <v>86</v>
      </c>
      <c r="S70" t="s">
        <v>98</v>
      </c>
      <c r="T70" t="s">
        <v>308</v>
      </c>
      <c r="U70">
        <v>3119</v>
      </c>
      <c r="V70">
        <v>403</v>
      </c>
      <c r="W70">
        <v>19</v>
      </c>
      <c r="X70">
        <v>1454.25</v>
      </c>
      <c r="Y70">
        <v>161.87</v>
      </c>
      <c r="Z70">
        <v>1616.12</v>
      </c>
      <c r="AA70" t="s">
        <v>62</v>
      </c>
      <c r="AB70">
        <v>0</v>
      </c>
      <c r="AC70">
        <v>96.67</v>
      </c>
      <c r="AD70">
        <v>479</v>
      </c>
      <c r="AE70">
        <v>460</v>
      </c>
    </row>
    <row r="71" spans="1:31" x14ac:dyDescent="0.25">
      <c r="A71" t="s">
        <v>506</v>
      </c>
      <c r="B71" t="s">
        <v>507</v>
      </c>
      <c r="C71" s="1">
        <v>43911</v>
      </c>
      <c r="D71" s="1">
        <v>45117</v>
      </c>
      <c r="E71" t="s">
        <v>65</v>
      </c>
      <c r="F71" t="s">
        <v>91</v>
      </c>
      <c r="G71" t="s">
        <v>52</v>
      </c>
      <c r="H71" t="s">
        <v>147</v>
      </c>
      <c r="I71" t="s">
        <v>508</v>
      </c>
      <c r="J71" t="s">
        <v>104</v>
      </c>
      <c r="K71" t="s">
        <v>181</v>
      </c>
      <c r="L71" t="s">
        <v>509</v>
      </c>
      <c r="M71">
        <v>179.86</v>
      </c>
      <c r="N71">
        <v>11</v>
      </c>
      <c r="O71" t="s">
        <v>510</v>
      </c>
      <c r="P71" t="s">
        <v>42</v>
      </c>
      <c r="Q71" t="s">
        <v>142</v>
      </c>
      <c r="R71" t="s">
        <v>152</v>
      </c>
      <c r="S71" t="s">
        <v>87</v>
      </c>
      <c r="T71" t="s">
        <v>511</v>
      </c>
      <c r="U71">
        <v>3541</v>
      </c>
      <c r="V71">
        <v>355</v>
      </c>
      <c r="W71">
        <v>25</v>
      </c>
      <c r="X71">
        <v>994.43</v>
      </c>
      <c r="Y71">
        <v>429.07</v>
      </c>
      <c r="Z71">
        <v>1423.5</v>
      </c>
      <c r="AA71" t="s">
        <v>62</v>
      </c>
      <c r="AB71">
        <v>0</v>
      </c>
      <c r="AC71">
        <v>97.89</v>
      </c>
      <c r="AD71">
        <v>122</v>
      </c>
      <c r="AE71">
        <v>144</v>
      </c>
    </row>
    <row r="72" spans="1:31" x14ac:dyDescent="0.25">
      <c r="A72" t="s">
        <v>512</v>
      </c>
      <c r="B72" t="s">
        <v>513</v>
      </c>
      <c r="C72" s="1">
        <v>44768</v>
      </c>
      <c r="D72" s="1">
        <v>44710</v>
      </c>
      <c r="E72" t="s">
        <v>65</v>
      </c>
      <c r="F72" t="s">
        <v>77</v>
      </c>
      <c r="G72" t="s">
        <v>52</v>
      </c>
      <c r="H72" t="s">
        <v>163</v>
      </c>
      <c r="I72" t="s">
        <v>514</v>
      </c>
      <c r="J72" t="s">
        <v>104</v>
      </c>
      <c r="K72" t="s">
        <v>181</v>
      </c>
      <c r="L72" t="s">
        <v>515</v>
      </c>
      <c r="M72">
        <v>113.1</v>
      </c>
      <c r="N72">
        <v>87</v>
      </c>
      <c r="O72" t="s">
        <v>516</v>
      </c>
      <c r="P72" t="s">
        <v>42</v>
      </c>
      <c r="Q72" t="s">
        <v>517</v>
      </c>
      <c r="R72" t="s">
        <v>152</v>
      </c>
      <c r="S72" t="s">
        <v>87</v>
      </c>
      <c r="T72" t="s">
        <v>239</v>
      </c>
      <c r="U72">
        <v>1673</v>
      </c>
      <c r="V72">
        <v>493</v>
      </c>
      <c r="W72">
        <v>5</v>
      </c>
      <c r="X72">
        <v>1386.02</v>
      </c>
      <c r="Y72">
        <v>317.89999999999998</v>
      </c>
      <c r="Z72">
        <v>1703.92</v>
      </c>
      <c r="AA72" t="s">
        <v>62</v>
      </c>
      <c r="AB72">
        <v>0</v>
      </c>
      <c r="AC72">
        <v>97.31</v>
      </c>
      <c r="AD72">
        <v>480</v>
      </c>
      <c r="AE72">
        <v>451</v>
      </c>
    </row>
    <row r="73" spans="1:31" x14ac:dyDescent="0.25">
      <c r="A73" t="s">
        <v>518</v>
      </c>
      <c r="B73" t="s">
        <v>519</v>
      </c>
      <c r="C73" s="1">
        <v>44010</v>
      </c>
      <c r="D73" s="1">
        <v>45489</v>
      </c>
      <c r="E73" t="s">
        <v>65</v>
      </c>
      <c r="F73" t="s">
        <v>34</v>
      </c>
      <c r="G73" t="s">
        <v>113</v>
      </c>
      <c r="H73" t="s">
        <v>53</v>
      </c>
      <c r="I73" t="s">
        <v>520</v>
      </c>
      <c r="J73" t="s">
        <v>38</v>
      </c>
      <c r="K73" t="s">
        <v>55</v>
      </c>
      <c r="L73" t="s">
        <v>521</v>
      </c>
      <c r="M73">
        <v>129.01</v>
      </c>
      <c r="N73">
        <v>62</v>
      </c>
      <c r="O73" t="s">
        <v>522</v>
      </c>
      <c r="P73" t="s">
        <v>108</v>
      </c>
      <c r="Q73" t="s">
        <v>353</v>
      </c>
      <c r="R73" t="s">
        <v>44</v>
      </c>
      <c r="S73" t="s">
        <v>126</v>
      </c>
      <c r="T73" t="s">
        <v>239</v>
      </c>
      <c r="U73">
        <v>371</v>
      </c>
      <c r="V73">
        <v>180</v>
      </c>
      <c r="W73">
        <v>16</v>
      </c>
      <c r="X73">
        <v>312.06</v>
      </c>
      <c r="Y73">
        <v>85.69</v>
      </c>
      <c r="Z73">
        <v>397.75</v>
      </c>
      <c r="AA73" t="s">
        <v>62</v>
      </c>
      <c r="AB73">
        <v>0</v>
      </c>
      <c r="AC73">
        <v>87.37</v>
      </c>
      <c r="AD73">
        <v>250</v>
      </c>
      <c r="AE73">
        <v>299</v>
      </c>
    </row>
    <row r="74" spans="1:31" x14ac:dyDescent="0.25">
      <c r="A74" t="s">
        <v>523</v>
      </c>
      <c r="B74" t="s">
        <v>524</v>
      </c>
      <c r="C74" s="1">
        <v>43858</v>
      </c>
      <c r="D74" s="1">
        <v>44881</v>
      </c>
      <c r="E74" t="s">
        <v>50</v>
      </c>
      <c r="F74" t="s">
        <v>77</v>
      </c>
      <c r="G74" t="s">
        <v>35</v>
      </c>
      <c r="H74" t="s">
        <v>221</v>
      </c>
      <c r="I74" t="s">
        <v>525</v>
      </c>
      <c r="J74" t="s">
        <v>38</v>
      </c>
      <c r="K74" t="s">
        <v>39</v>
      </c>
      <c r="L74" t="s">
        <v>526</v>
      </c>
      <c r="M74">
        <v>294.23</v>
      </c>
      <c r="N74">
        <v>31</v>
      </c>
      <c r="O74" t="s">
        <v>527</v>
      </c>
      <c r="P74" t="s">
        <v>58</v>
      </c>
      <c r="Q74" t="s">
        <v>517</v>
      </c>
      <c r="R74" t="s">
        <v>152</v>
      </c>
      <c r="S74" t="s">
        <v>98</v>
      </c>
      <c r="T74" t="s">
        <v>284</v>
      </c>
      <c r="U74">
        <v>4004</v>
      </c>
      <c r="V74">
        <v>425</v>
      </c>
      <c r="W74">
        <v>6</v>
      </c>
      <c r="X74">
        <v>627.67999999999995</v>
      </c>
      <c r="Y74">
        <v>329.71</v>
      </c>
      <c r="Z74">
        <v>957.38999999999987</v>
      </c>
      <c r="AA74" t="s">
        <v>62</v>
      </c>
      <c r="AB74">
        <v>0</v>
      </c>
      <c r="AC74">
        <v>90.19</v>
      </c>
      <c r="AD74">
        <v>267</v>
      </c>
      <c r="AE74">
        <v>238</v>
      </c>
    </row>
    <row r="75" spans="1:31" x14ac:dyDescent="0.25">
      <c r="A75" t="s">
        <v>528</v>
      </c>
      <c r="B75" t="s">
        <v>529</v>
      </c>
      <c r="C75" s="1">
        <v>43987</v>
      </c>
      <c r="D75" s="1">
        <v>43932</v>
      </c>
      <c r="E75" t="s">
        <v>65</v>
      </c>
      <c r="F75" t="s">
        <v>51</v>
      </c>
      <c r="G75" t="s">
        <v>35</v>
      </c>
      <c r="H75" t="s">
        <v>36</v>
      </c>
      <c r="I75" t="s">
        <v>530</v>
      </c>
      <c r="J75" t="s">
        <v>38</v>
      </c>
      <c r="K75" t="s">
        <v>39</v>
      </c>
      <c r="L75" t="s">
        <v>531</v>
      </c>
      <c r="M75">
        <v>84.81</v>
      </c>
      <c r="N75">
        <v>76</v>
      </c>
      <c r="O75" t="s">
        <v>258</v>
      </c>
      <c r="P75" t="s">
        <v>108</v>
      </c>
      <c r="Q75" t="s">
        <v>532</v>
      </c>
      <c r="R75" t="s">
        <v>86</v>
      </c>
      <c r="S75" t="s">
        <v>126</v>
      </c>
      <c r="T75" t="s">
        <v>533</v>
      </c>
      <c r="U75">
        <v>2204</v>
      </c>
      <c r="V75">
        <v>205</v>
      </c>
      <c r="W75">
        <v>26</v>
      </c>
      <c r="X75">
        <v>1805.72</v>
      </c>
      <c r="Y75">
        <v>60.63</v>
      </c>
      <c r="Z75">
        <v>1866.35</v>
      </c>
      <c r="AA75" t="s">
        <v>47</v>
      </c>
      <c r="AB75">
        <v>10</v>
      </c>
      <c r="AC75">
        <v>91.14</v>
      </c>
      <c r="AD75">
        <v>449</v>
      </c>
      <c r="AE75">
        <v>441</v>
      </c>
    </row>
    <row r="76" spans="1:31" x14ac:dyDescent="0.25">
      <c r="A76" t="s">
        <v>534</v>
      </c>
      <c r="B76" t="s">
        <v>535</v>
      </c>
      <c r="C76" s="1">
        <v>43836</v>
      </c>
      <c r="D76" s="1">
        <v>45257</v>
      </c>
      <c r="E76" t="s">
        <v>50</v>
      </c>
      <c r="F76" t="s">
        <v>91</v>
      </c>
      <c r="G76" t="s">
        <v>343</v>
      </c>
      <c r="H76" t="s">
        <v>147</v>
      </c>
      <c r="I76" t="s">
        <v>536</v>
      </c>
      <c r="J76" t="s">
        <v>38</v>
      </c>
      <c r="K76" t="s">
        <v>81</v>
      </c>
      <c r="L76" t="s">
        <v>537</v>
      </c>
      <c r="M76">
        <v>398.93</v>
      </c>
      <c r="N76">
        <v>37</v>
      </c>
      <c r="O76" t="s">
        <v>538</v>
      </c>
      <c r="P76" t="s">
        <v>108</v>
      </c>
      <c r="Q76" t="s">
        <v>295</v>
      </c>
      <c r="R76" t="s">
        <v>152</v>
      </c>
      <c r="S76" t="s">
        <v>73</v>
      </c>
      <c r="T76" t="s">
        <v>296</v>
      </c>
      <c r="U76">
        <v>1456</v>
      </c>
      <c r="V76">
        <v>373</v>
      </c>
      <c r="W76">
        <v>24</v>
      </c>
      <c r="X76">
        <v>1916.61</v>
      </c>
      <c r="Y76">
        <v>465.67</v>
      </c>
      <c r="Z76">
        <v>2382.2800000000002</v>
      </c>
      <c r="AA76" t="s">
        <v>62</v>
      </c>
      <c r="AB76">
        <v>0</v>
      </c>
      <c r="AC76">
        <v>87.17</v>
      </c>
      <c r="AD76">
        <v>75</v>
      </c>
      <c r="AE76">
        <v>94</v>
      </c>
    </row>
    <row r="77" spans="1:31" x14ac:dyDescent="0.25">
      <c r="A77" t="s">
        <v>539</v>
      </c>
      <c r="B77" t="s">
        <v>540</v>
      </c>
      <c r="C77" s="1">
        <v>45301</v>
      </c>
      <c r="D77" s="1">
        <v>45063</v>
      </c>
      <c r="E77" t="s">
        <v>33</v>
      </c>
      <c r="F77" t="s">
        <v>146</v>
      </c>
      <c r="G77" t="s">
        <v>92</v>
      </c>
      <c r="H77" t="s">
        <v>67</v>
      </c>
      <c r="I77" t="s">
        <v>541</v>
      </c>
      <c r="J77" t="s">
        <v>165</v>
      </c>
      <c r="K77" t="s">
        <v>166</v>
      </c>
      <c r="L77" t="s">
        <v>542</v>
      </c>
      <c r="M77">
        <v>125.42</v>
      </c>
      <c r="N77">
        <v>55</v>
      </c>
      <c r="O77" t="s">
        <v>543</v>
      </c>
      <c r="P77" t="s">
        <v>108</v>
      </c>
      <c r="Q77" t="s">
        <v>544</v>
      </c>
      <c r="R77" t="s">
        <v>44</v>
      </c>
      <c r="S77" t="s">
        <v>87</v>
      </c>
      <c r="T77" t="s">
        <v>545</v>
      </c>
      <c r="U77">
        <v>2429</v>
      </c>
      <c r="V77">
        <v>287</v>
      </c>
      <c r="W77">
        <v>10</v>
      </c>
      <c r="X77">
        <v>1932.32</v>
      </c>
      <c r="Y77">
        <v>457.87</v>
      </c>
      <c r="Z77">
        <v>2390.19</v>
      </c>
      <c r="AA77" t="s">
        <v>62</v>
      </c>
      <c r="AB77">
        <v>0</v>
      </c>
      <c r="AC77">
        <v>73.22</v>
      </c>
      <c r="AD77">
        <v>458</v>
      </c>
      <c r="AE77">
        <v>460</v>
      </c>
    </row>
    <row r="78" spans="1:31" x14ac:dyDescent="0.25">
      <c r="A78" t="s">
        <v>546</v>
      </c>
      <c r="B78" t="s">
        <v>547</v>
      </c>
      <c r="C78" s="1">
        <v>45631</v>
      </c>
      <c r="D78" s="1">
        <v>45112</v>
      </c>
      <c r="E78" t="s">
        <v>65</v>
      </c>
      <c r="F78" t="s">
        <v>51</v>
      </c>
      <c r="G78" t="s">
        <v>78</v>
      </c>
      <c r="H78" t="s">
        <v>36</v>
      </c>
      <c r="I78" t="s">
        <v>548</v>
      </c>
      <c r="J78" t="s">
        <v>165</v>
      </c>
      <c r="K78" t="s">
        <v>166</v>
      </c>
      <c r="L78" t="s">
        <v>549</v>
      </c>
      <c r="M78">
        <v>421.19</v>
      </c>
      <c r="N78">
        <v>94</v>
      </c>
      <c r="O78" t="s">
        <v>550</v>
      </c>
      <c r="P78" t="s">
        <v>84</v>
      </c>
      <c r="Q78" t="s">
        <v>133</v>
      </c>
      <c r="R78" t="s">
        <v>152</v>
      </c>
      <c r="S78" t="s">
        <v>98</v>
      </c>
      <c r="T78" t="s">
        <v>192</v>
      </c>
      <c r="U78">
        <v>1882</v>
      </c>
      <c r="V78">
        <v>79</v>
      </c>
      <c r="W78">
        <v>2</v>
      </c>
      <c r="X78">
        <v>317.02999999999997</v>
      </c>
      <c r="Y78">
        <v>51.07</v>
      </c>
      <c r="Z78">
        <v>368.1</v>
      </c>
      <c r="AA78" t="s">
        <v>62</v>
      </c>
      <c r="AB78">
        <v>0</v>
      </c>
      <c r="AC78">
        <v>97.46</v>
      </c>
      <c r="AD78">
        <v>174</v>
      </c>
      <c r="AE78">
        <v>196</v>
      </c>
    </row>
    <row r="79" spans="1:31" x14ac:dyDescent="0.25">
      <c r="A79" t="s">
        <v>551</v>
      </c>
      <c r="B79" t="s">
        <v>552</v>
      </c>
      <c r="C79" s="1">
        <v>44618</v>
      </c>
      <c r="D79" s="1">
        <v>45568</v>
      </c>
      <c r="E79" t="s">
        <v>33</v>
      </c>
      <c r="F79" t="s">
        <v>91</v>
      </c>
      <c r="G79" t="s">
        <v>102</v>
      </c>
      <c r="H79" t="s">
        <v>53</v>
      </c>
      <c r="I79" t="s">
        <v>553</v>
      </c>
      <c r="J79" t="s">
        <v>104</v>
      </c>
      <c r="K79" t="s">
        <v>554</v>
      </c>
      <c r="L79" t="s">
        <v>555</v>
      </c>
      <c r="M79">
        <v>477.18</v>
      </c>
      <c r="N79">
        <v>3</v>
      </c>
      <c r="O79" t="s">
        <v>556</v>
      </c>
      <c r="P79" t="s">
        <v>141</v>
      </c>
      <c r="Q79" t="s">
        <v>346</v>
      </c>
      <c r="R79" t="s">
        <v>152</v>
      </c>
      <c r="S79" t="s">
        <v>87</v>
      </c>
      <c r="T79" t="s">
        <v>371</v>
      </c>
      <c r="U79">
        <v>3877</v>
      </c>
      <c r="V79">
        <v>192</v>
      </c>
      <c r="W79">
        <v>1</v>
      </c>
      <c r="X79">
        <v>1855.28</v>
      </c>
      <c r="Y79">
        <v>50.64</v>
      </c>
      <c r="Z79">
        <v>1905.92</v>
      </c>
      <c r="AA79" t="s">
        <v>62</v>
      </c>
      <c r="AB79">
        <v>0</v>
      </c>
      <c r="AC79">
        <v>70.52</v>
      </c>
      <c r="AD79">
        <v>367</v>
      </c>
      <c r="AE79">
        <v>349</v>
      </c>
    </row>
    <row r="80" spans="1:31" x14ac:dyDescent="0.25">
      <c r="A80" t="s">
        <v>557</v>
      </c>
      <c r="B80" t="s">
        <v>558</v>
      </c>
      <c r="C80" s="1">
        <v>45369</v>
      </c>
      <c r="D80" s="1">
        <v>43848</v>
      </c>
      <c r="E80" t="s">
        <v>50</v>
      </c>
      <c r="F80" t="s">
        <v>34</v>
      </c>
      <c r="G80" t="s">
        <v>343</v>
      </c>
      <c r="H80" t="s">
        <v>221</v>
      </c>
      <c r="I80" t="s">
        <v>559</v>
      </c>
      <c r="J80" t="s">
        <v>38</v>
      </c>
      <c r="K80" t="s">
        <v>94</v>
      </c>
      <c r="L80" t="s">
        <v>560</v>
      </c>
      <c r="M80">
        <v>337.18</v>
      </c>
      <c r="N80">
        <v>93</v>
      </c>
      <c r="O80" t="s">
        <v>561</v>
      </c>
      <c r="P80" t="s">
        <v>84</v>
      </c>
      <c r="Q80" t="s">
        <v>562</v>
      </c>
      <c r="R80" t="s">
        <v>60</v>
      </c>
      <c r="S80" t="s">
        <v>126</v>
      </c>
      <c r="T80" t="s">
        <v>563</v>
      </c>
      <c r="U80">
        <v>2196</v>
      </c>
      <c r="V80">
        <v>82</v>
      </c>
      <c r="W80">
        <v>18</v>
      </c>
      <c r="X80">
        <v>1393.52</v>
      </c>
      <c r="Y80">
        <v>460.58</v>
      </c>
      <c r="Z80">
        <v>1854.1</v>
      </c>
      <c r="AA80" t="s">
        <v>62</v>
      </c>
      <c r="AB80">
        <v>0</v>
      </c>
      <c r="AC80">
        <v>92.1</v>
      </c>
      <c r="AD80">
        <v>52</v>
      </c>
      <c r="AE80">
        <v>71</v>
      </c>
    </row>
    <row r="81" spans="1:31" x14ac:dyDescent="0.25">
      <c r="A81" t="s">
        <v>564</v>
      </c>
      <c r="B81" t="s">
        <v>565</v>
      </c>
      <c r="C81" s="1">
        <v>44699</v>
      </c>
      <c r="D81" s="1">
        <v>43869</v>
      </c>
      <c r="E81" t="s">
        <v>50</v>
      </c>
      <c r="F81" t="s">
        <v>51</v>
      </c>
      <c r="G81" t="s">
        <v>92</v>
      </c>
      <c r="H81" t="s">
        <v>147</v>
      </c>
      <c r="I81" t="s">
        <v>566</v>
      </c>
      <c r="J81" t="s">
        <v>38</v>
      </c>
      <c r="K81" t="s">
        <v>81</v>
      </c>
      <c r="L81" t="s">
        <v>567</v>
      </c>
      <c r="M81">
        <v>494.42</v>
      </c>
      <c r="N81">
        <v>70</v>
      </c>
      <c r="O81" t="s">
        <v>568</v>
      </c>
      <c r="P81" t="s">
        <v>84</v>
      </c>
      <c r="Q81" t="s">
        <v>72</v>
      </c>
      <c r="R81" t="s">
        <v>86</v>
      </c>
      <c r="S81" t="s">
        <v>126</v>
      </c>
      <c r="T81" t="s">
        <v>218</v>
      </c>
      <c r="U81">
        <v>2637</v>
      </c>
      <c r="V81">
        <v>382</v>
      </c>
      <c r="W81">
        <v>9</v>
      </c>
      <c r="X81">
        <v>288.72000000000003</v>
      </c>
      <c r="Y81">
        <v>145.82</v>
      </c>
      <c r="Z81">
        <v>434.54</v>
      </c>
      <c r="AA81" t="s">
        <v>62</v>
      </c>
      <c r="AB81">
        <v>0</v>
      </c>
      <c r="AC81">
        <v>95.93</v>
      </c>
      <c r="AD81">
        <v>476</v>
      </c>
      <c r="AE81">
        <v>434</v>
      </c>
    </row>
    <row r="82" spans="1:31" x14ac:dyDescent="0.25">
      <c r="A82" t="s">
        <v>569</v>
      </c>
      <c r="B82" t="s">
        <v>570</v>
      </c>
      <c r="C82" s="1">
        <v>44456</v>
      </c>
      <c r="D82" s="1">
        <v>45454</v>
      </c>
      <c r="E82" t="s">
        <v>65</v>
      </c>
      <c r="F82" t="s">
        <v>51</v>
      </c>
      <c r="G82" t="s">
        <v>78</v>
      </c>
      <c r="H82" t="s">
        <v>67</v>
      </c>
      <c r="I82" t="s">
        <v>571</v>
      </c>
      <c r="J82" t="s">
        <v>38</v>
      </c>
      <c r="K82" t="s">
        <v>55</v>
      </c>
      <c r="L82" t="s">
        <v>572</v>
      </c>
      <c r="M82">
        <v>318.36</v>
      </c>
      <c r="N82">
        <v>32</v>
      </c>
      <c r="O82" t="s">
        <v>573</v>
      </c>
      <c r="P82" t="s">
        <v>42</v>
      </c>
      <c r="Q82" t="s">
        <v>327</v>
      </c>
      <c r="R82" t="s">
        <v>86</v>
      </c>
      <c r="S82" t="s">
        <v>98</v>
      </c>
      <c r="T82" t="s">
        <v>259</v>
      </c>
      <c r="U82">
        <v>2040</v>
      </c>
      <c r="V82">
        <v>449</v>
      </c>
      <c r="W82">
        <v>17</v>
      </c>
      <c r="X82">
        <v>1988.88</v>
      </c>
      <c r="Y82">
        <v>48.76</v>
      </c>
      <c r="Z82">
        <v>2037.64</v>
      </c>
      <c r="AA82" t="s">
        <v>62</v>
      </c>
      <c r="AB82">
        <v>0</v>
      </c>
      <c r="AC82">
        <v>82.41</v>
      </c>
      <c r="AD82">
        <v>341</v>
      </c>
      <c r="AE82">
        <v>328</v>
      </c>
    </row>
    <row r="83" spans="1:31" x14ac:dyDescent="0.25">
      <c r="A83" t="s">
        <v>574</v>
      </c>
      <c r="B83" t="s">
        <v>575</v>
      </c>
      <c r="C83" s="1">
        <v>44309</v>
      </c>
      <c r="D83" s="1">
        <v>45155</v>
      </c>
      <c r="E83" t="s">
        <v>65</v>
      </c>
      <c r="F83" t="s">
        <v>91</v>
      </c>
      <c r="G83" t="s">
        <v>35</v>
      </c>
      <c r="H83" t="s">
        <v>221</v>
      </c>
      <c r="I83" t="s">
        <v>576</v>
      </c>
      <c r="J83" t="s">
        <v>38</v>
      </c>
      <c r="K83" t="s">
        <v>39</v>
      </c>
      <c r="L83" t="s">
        <v>577</v>
      </c>
      <c r="M83">
        <v>66.62</v>
      </c>
      <c r="N83">
        <v>91</v>
      </c>
      <c r="O83" t="s">
        <v>578</v>
      </c>
      <c r="P83" t="s">
        <v>108</v>
      </c>
      <c r="Q83" t="s">
        <v>353</v>
      </c>
      <c r="R83" t="s">
        <v>44</v>
      </c>
      <c r="S83" t="s">
        <v>87</v>
      </c>
      <c r="T83" t="s">
        <v>160</v>
      </c>
      <c r="U83">
        <v>322</v>
      </c>
      <c r="V83">
        <v>157</v>
      </c>
      <c r="W83">
        <v>13</v>
      </c>
      <c r="X83">
        <v>482.06</v>
      </c>
      <c r="Y83">
        <v>470.6</v>
      </c>
      <c r="Z83">
        <v>952.66000000000008</v>
      </c>
      <c r="AA83" t="s">
        <v>62</v>
      </c>
      <c r="AB83">
        <v>0</v>
      </c>
      <c r="AC83">
        <v>96.56</v>
      </c>
      <c r="AD83">
        <v>428</v>
      </c>
      <c r="AE83">
        <v>400</v>
      </c>
    </row>
    <row r="84" spans="1:31" x14ac:dyDescent="0.25">
      <c r="A84" t="s">
        <v>579</v>
      </c>
      <c r="B84" t="s">
        <v>580</v>
      </c>
      <c r="C84" s="1">
        <v>44710</v>
      </c>
      <c r="D84" s="1">
        <v>45026</v>
      </c>
      <c r="E84" t="s">
        <v>50</v>
      </c>
      <c r="F84" t="s">
        <v>51</v>
      </c>
      <c r="G84" t="s">
        <v>92</v>
      </c>
      <c r="H84" t="s">
        <v>147</v>
      </c>
      <c r="I84" t="s">
        <v>581</v>
      </c>
      <c r="J84" t="s">
        <v>38</v>
      </c>
      <c r="K84" t="s">
        <v>81</v>
      </c>
      <c r="L84" t="s">
        <v>582</v>
      </c>
      <c r="M84">
        <v>382.6</v>
      </c>
      <c r="N84">
        <v>58</v>
      </c>
      <c r="O84" t="s">
        <v>319</v>
      </c>
      <c r="P84" t="s">
        <v>108</v>
      </c>
      <c r="Q84" t="s">
        <v>353</v>
      </c>
      <c r="R84" t="s">
        <v>152</v>
      </c>
      <c r="S84" t="s">
        <v>126</v>
      </c>
      <c r="T84" t="s">
        <v>170</v>
      </c>
      <c r="U84">
        <v>4787</v>
      </c>
      <c r="V84">
        <v>251</v>
      </c>
      <c r="W84">
        <v>5</v>
      </c>
      <c r="X84">
        <v>766.38</v>
      </c>
      <c r="Y84">
        <v>397.16</v>
      </c>
      <c r="Z84">
        <v>1163.54</v>
      </c>
      <c r="AA84" t="s">
        <v>62</v>
      </c>
      <c r="AB84">
        <v>0</v>
      </c>
      <c r="AC84">
        <v>98.72</v>
      </c>
      <c r="AD84">
        <v>159</v>
      </c>
      <c r="AE84">
        <v>199</v>
      </c>
    </row>
    <row r="85" spans="1:31" x14ac:dyDescent="0.25">
      <c r="A85" t="s">
        <v>583</v>
      </c>
      <c r="B85" t="s">
        <v>584</v>
      </c>
      <c r="C85" s="1">
        <v>44670</v>
      </c>
      <c r="D85" s="1">
        <v>44860</v>
      </c>
      <c r="E85" t="s">
        <v>33</v>
      </c>
      <c r="F85" t="s">
        <v>51</v>
      </c>
      <c r="G85" t="s">
        <v>113</v>
      </c>
      <c r="H85" t="s">
        <v>114</v>
      </c>
      <c r="I85" t="s">
        <v>585</v>
      </c>
      <c r="J85" t="s">
        <v>104</v>
      </c>
      <c r="K85" t="s">
        <v>229</v>
      </c>
      <c r="L85" t="s">
        <v>586</v>
      </c>
      <c r="M85">
        <v>265.38</v>
      </c>
      <c r="N85">
        <v>3</v>
      </c>
      <c r="O85" t="s">
        <v>587</v>
      </c>
      <c r="P85" t="s">
        <v>141</v>
      </c>
      <c r="Q85" t="s">
        <v>464</v>
      </c>
      <c r="R85" t="s">
        <v>152</v>
      </c>
      <c r="S85" t="s">
        <v>98</v>
      </c>
      <c r="T85" t="s">
        <v>409</v>
      </c>
      <c r="U85">
        <v>4928</v>
      </c>
      <c r="V85">
        <v>263</v>
      </c>
      <c r="W85">
        <v>16</v>
      </c>
      <c r="X85">
        <v>230.38</v>
      </c>
      <c r="Y85">
        <v>481.69</v>
      </c>
      <c r="Z85">
        <v>712.06999999999994</v>
      </c>
      <c r="AA85" t="s">
        <v>47</v>
      </c>
      <c r="AB85">
        <v>8</v>
      </c>
      <c r="AC85">
        <v>71.47</v>
      </c>
      <c r="AD85">
        <v>64</v>
      </c>
      <c r="AE85">
        <v>85</v>
      </c>
    </row>
    <row r="86" spans="1:31" x14ac:dyDescent="0.25">
      <c r="A86" t="s">
        <v>588</v>
      </c>
      <c r="B86" t="s">
        <v>589</v>
      </c>
      <c r="C86" s="1">
        <v>44132</v>
      </c>
      <c r="D86" s="1">
        <v>44985</v>
      </c>
      <c r="E86" t="s">
        <v>65</v>
      </c>
      <c r="F86" t="s">
        <v>77</v>
      </c>
      <c r="G86" t="s">
        <v>52</v>
      </c>
      <c r="H86" t="s">
        <v>79</v>
      </c>
      <c r="I86" t="s">
        <v>590</v>
      </c>
      <c r="J86" t="s">
        <v>165</v>
      </c>
      <c r="K86" t="s">
        <v>202</v>
      </c>
      <c r="L86" t="s">
        <v>591</v>
      </c>
      <c r="M86">
        <v>345.62</v>
      </c>
      <c r="N86">
        <v>94</v>
      </c>
      <c r="O86" t="s">
        <v>592</v>
      </c>
      <c r="P86" t="s">
        <v>141</v>
      </c>
      <c r="Q86" t="s">
        <v>97</v>
      </c>
      <c r="R86" t="s">
        <v>86</v>
      </c>
      <c r="S86" t="s">
        <v>73</v>
      </c>
      <c r="T86" t="s">
        <v>134</v>
      </c>
      <c r="U86">
        <v>2578</v>
      </c>
      <c r="V86">
        <v>194</v>
      </c>
      <c r="W86">
        <v>20</v>
      </c>
      <c r="X86">
        <v>740.63</v>
      </c>
      <c r="Y86">
        <v>466.35</v>
      </c>
      <c r="Z86">
        <v>1206.98</v>
      </c>
      <c r="AA86" t="s">
        <v>62</v>
      </c>
      <c r="AB86">
        <v>0</v>
      </c>
      <c r="AC86">
        <v>72.010000000000005</v>
      </c>
      <c r="AD86">
        <v>271</v>
      </c>
      <c r="AE86">
        <v>273</v>
      </c>
    </row>
    <row r="87" spans="1:31" x14ac:dyDescent="0.25">
      <c r="A87" t="s">
        <v>593</v>
      </c>
      <c r="B87" t="s">
        <v>594</v>
      </c>
      <c r="C87" s="1">
        <v>43890</v>
      </c>
      <c r="D87" s="1">
        <v>44773</v>
      </c>
      <c r="E87" t="s">
        <v>65</v>
      </c>
      <c r="F87" t="s">
        <v>146</v>
      </c>
      <c r="G87" t="s">
        <v>35</v>
      </c>
      <c r="H87" t="s">
        <v>67</v>
      </c>
      <c r="I87" t="s">
        <v>595</v>
      </c>
      <c r="J87" t="s">
        <v>38</v>
      </c>
      <c r="K87" t="s">
        <v>55</v>
      </c>
      <c r="L87" t="s">
        <v>596</v>
      </c>
      <c r="M87">
        <v>202.34</v>
      </c>
      <c r="N87">
        <v>90</v>
      </c>
      <c r="O87" t="s">
        <v>597</v>
      </c>
      <c r="P87" t="s">
        <v>141</v>
      </c>
      <c r="Q87" t="s">
        <v>252</v>
      </c>
      <c r="R87" t="s">
        <v>152</v>
      </c>
      <c r="S87" t="s">
        <v>126</v>
      </c>
      <c r="T87" t="s">
        <v>110</v>
      </c>
      <c r="U87">
        <v>1813</v>
      </c>
      <c r="V87">
        <v>355</v>
      </c>
      <c r="W87">
        <v>18</v>
      </c>
      <c r="X87">
        <v>1709.45</v>
      </c>
      <c r="Y87">
        <v>52.8</v>
      </c>
      <c r="Z87">
        <v>1762.25</v>
      </c>
      <c r="AA87" t="s">
        <v>62</v>
      </c>
      <c r="AB87">
        <v>0</v>
      </c>
      <c r="AC87">
        <v>77.23</v>
      </c>
      <c r="AD87">
        <v>150</v>
      </c>
      <c r="AE87">
        <v>173</v>
      </c>
    </row>
    <row r="88" spans="1:31" x14ac:dyDescent="0.25">
      <c r="A88" t="s">
        <v>598</v>
      </c>
      <c r="B88" t="s">
        <v>599</v>
      </c>
      <c r="C88" s="1">
        <v>44512</v>
      </c>
      <c r="D88" s="1">
        <v>45145</v>
      </c>
      <c r="E88" t="s">
        <v>65</v>
      </c>
      <c r="F88" t="s">
        <v>146</v>
      </c>
      <c r="G88" t="s">
        <v>52</v>
      </c>
      <c r="H88" t="s">
        <v>67</v>
      </c>
      <c r="I88" t="s">
        <v>600</v>
      </c>
      <c r="J88" t="s">
        <v>38</v>
      </c>
      <c r="K88" t="s">
        <v>138</v>
      </c>
      <c r="L88" t="s">
        <v>601</v>
      </c>
      <c r="M88">
        <v>334.08</v>
      </c>
      <c r="N88">
        <v>31</v>
      </c>
      <c r="O88" t="s">
        <v>602</v>
      </c>
      <c r="P88" t="s">
        <v>58</v>
      </c>
      <c r="Q88" t="s">
        <v>238</v>
      </c>
      <c r="R88" t="s">
        <v>60</v>
      </c>
      <c r="S88" t="s">
        <v>73</v>
      </c>
      <c r="T88" t="s">
        <v>127</v>
      </c>
      <c r="U88">
        <v>285</v>
      </c>
      <c r="V88">
        <v>358</v>
      </c>
      <c r="W88">
        <v>22</v>
      </c>
      <c r="X88">
        <v>75.290000000000006</v>
      </c>
      <c r="Y88">
        <v>59.79</v>
      </c>
      <c r="Z88">
        <v>135.08000000000001</v>
      </c>
      <c r="AA88" t="s">
        <v>62</v>
      </c>
      <c r="AB88">
        <v>0</v>
      </c>
      <c r="AC88">
        <v>78.28</v>
      </c>
      <c r="AD88">
        <v>106</v>
      </c>
      <c r="AE88">
        <v>91</v>
      </c>
    </row>
    <row r="89" spans="1:31" x14ac:dyDescent="0.25">
      <c r="A89" t="s">
        <v>603</v>
      </c>
      <c r="B89" t="s">
        <v>604</v>
      </c>
      <c r="C89" s="1">
        <v>45557</v>
      </c>
      <c r="D89" s="1">
        <v>44473</v>
      </c>
      <c r="E89" t="s">
        <v>65</v>
      </c>
      <c r="F89" t="s">
        <v>34</v>
      </c>
      <c r="G89" t="s">
        <v>92</v>
      </c>
      <c r="H89" t="s">
        <v>53</v>
      </c>
      <c r="I89" t="s">
        <v>605</v>
      </c>
      <c r="J89" t="s">
        <v>165</v>
      </c>
      <c r="K89" t="s">
        <v>166</v>
      </c>
      <c r="L89" t="s">
        <v>606</v>
      </c>
      <c r="M89">
        <v>138.94</v>
      </c>
      <c r="N89">
        <v>63</v>
      </c>
      <c r="O89" t="s">
        <v>607</v>
      </c>
      <c r="P89" t="s">
        <v>58</v>
      </c>
      <c r="Q89" t="s">
        <v>333</v>
      </c>
      <c r="R89" t="s">
        <v>86</v>
      </c>
      <c r="S89" t="s">
        <v>73</v>
      </c>
      <c r="T89" t="s">
        <v>88</v>
      </c>
      <c r="U89">
        <v>2031</v>
      </c>
      <c r="V89">
        <v>394</v>
      </c>
      <c r="W89">
        <v>10</v>
      </c>
      <c r="X89">
        <v>307.20999999999998</v>
      </c>
      <c r="Y89">
        <v>404.94</v>
      </c>
      <c r="Z89">
        <v>712.15</v>
      </c>
      <c r="AA89" t="s">
        <v>47</v>
      </c>
      <c r="AB89">
        <v>6</v>
      </c>
      <c r="AC89">
        <v>93.45</v>
      </c>
      <c r="AD89">
        <v>269</v>
      </c>
      <c r="AE89">
        <v>276</v>
      </c>
    </row>
    <row r="90" spans="1:31" x14ac:dyDescent="0.25">
      <c r="A90" t="s">
        <v>608</v>
      </c>
      <c r="B90" t="s">
        <v>609</v>
      </c>
      <c r="C90" s="1">
        <v>44237</v>
      </c>
      <c r="D90" s="1">
        <v>44722</v>
      </c>
      <c r="E90" t="s">
        <v>65</v>
      </c>
      <c r="F90" t="s">
        <v>146</v>
      </c>
      <c r="G90" t="s">
        <v>52</v>
      </c>
      <c r="H90" t="s">
        <v>147</v>
      </c>
      <c r="I90" t="s">
        <v>610</v>
      </c>
      <c r="J90" t="s">
        <v>38</v>
      </c>
      <c r="K90" t="s">
        <v>55</v>
      </c>
      <c r="L90" t="s">
        <v>611</v>
      </c>
      <c r="M90">
        <v>193.87</v>
      </c>
      <c r="N90">
        <v>60</v>
      </c>
      <c r="O90" t="s">
        <v>612</v>
      </c>
      <c r="P90" t="s">
        <v>42</v>
      </c>
      <c r="Q90" t="s">
        <v>613</v>
      </c>
      <c r="R90" t="s">
        <v>86</v>
      </c>
      <c r="S90" t="s">
        <v>45</v>
      </c>
      <c r="T90" t="s">
        <v>302</v>
      </c>
      <c r="U90">
        <v>314</v>
      </c>
      <c r="V90">
        <v>197</v>
      </c>
      <c r="W90">
        <v>19</v>
      </c>
      <c r="X90">
        <v>562.65</v>
      </c>
      <c r="Y90">
        <v>216.69</v>
      </c>
      <c r="Z90">
        <v>779.33999999999992</v>
      </c>
      <c r="AA90" t="s">
        <v>62</v>
      </c>
      <c r="AB90">
        <v>0</v>
      </c>
      <c r="AC90">
        <v>98.85</v>
      </c>
      <c r="AD90">
        <v>422</v>
      </c>
      <c r="AE90">
        <v>435</v>
      </c>
    </row>
    <row r="91" spans="1:31" x14ac:dyDescent="0.25">
      <c r="A91" t="s">
        <v>614</v>
      </c>
      <c r="B91" t="s">
        <v>615</v>
      </c>
      <c r="C91" s="1">
        <v>45169</v>
      </c>
      <c r="D91" s="1">
        <v>44084</v>
      </c>
      <c r="E91" t="s">
        <v>65</v>
      </c>
      <c r="F91" t="s">
        <v>91</v>
      </c>
      <c r="G91" t="s">
        <v>343</v>
      </c>
      <c r="H91" t="s">
        <v>147</v>
      </c>
      <c r="I91" t="s">
        <v>616</v>
      </c>
      <c r="J91" t="s">
        <v>38</v>
      </c>
      <c r="K91" t="s">
        <v>55</v>
      </c>
      <c r="L91" t="s">
        <v>617</v>
      </c>
      <c r="M91">
        <v>260.93</v>
      </c>
      <c r="N91">
        <v>54</v>
      </c>
      <c r="O91" t="s">
        <v>618</v>
      </c>
      <c r="P91" t="s">
        <v>141</v>
      </c>
      <c r="Q91" t="s">
        <v>295</v>
      </c>
      <c r="R91" t="s">
        <v>60</v>
      </c>
      <c r="S91" t="s">
        <v>45</v>
      </c>
      <c r="T91" t="s">
        <v>426</v>
      </c>
      <c r="U91">
        <v>1922</v>
      </c>
      <c r="V91">
        <v>247</v>
      </c>
      <c r="W91">
        <v>18</v>
      </c>
      <c r="X91">
        <v>250.84</v>
      </c>
      <c r="Y91">
        <v>235.61</v>
      </c>
      <c r="Z91">
        <v>486.45</v>
      </c>
      <c r="AA91" t="s">
        <v>47</v>
      </c>
      <c r="AB91">
        <v>4</v>
      </c>
      <c r="AC91">
        <v>85.03</v>
      </c>
      <c r="AD91">
        <v>199</v>
      </c>
      <c r="AE91">
        <v>247</v>
      </c>
    </row>
    <row r="92" spans="1:31" x14ac:dyDescent="0.25">
      <c r="A92" t="s">
        <v>619</v>
      </c>
      <c r="B92" t="s">
        <v>620</v>
      </c>
      <c r="C92" s="1">
        <v>45217</v>
      </c>
      <c r="D92" s="1">
        <v>45594</v>
      </c>
      <c r="E92" t="s">
        <v>65</v>
      </c>
      <c r="F92" t="s">
        <v>34</v>
      </c>
      <c r="G92" t="s">
        <v>78</v>
      </c>
      <c r="H92" t="s">
        <v>36</v>
      </c>
      <c r="I92" t="s">
        <v>350</v>
      </c>
      <c r="J92" t="s">
        <v>38</v>
      </c>
      <c r="K92" t="s">
        <v>55</v>
      </c>
      <c r="L92" t="s">
        <v>351</v>
      </c>
      <c r="M92">
        <v>131.12</v>
      </c>
      <c r="N92">
        <v>19</v>
      </c>
      <c r="O92" t="s">
        <v>621</v>
      </c>
      <c r="P92" t="s">
        <v>141</v>
      </c>
      <c r="Q92" t="s">
        <v>327</v>
      </c>
      <c r="R92" t="s">
        <v>44</v>
      </c>
      <c r="S92" t="s">
        <v>45</v>
      </c>
      <c r="T92" t="s">
        <v>185</v>
      </c>
      <c r="U92">
        <v>981</v>
      </c>
      <c r="V92">
        <v>383</v>
      </c>
      <c r="W92">
        <v>19</v>
      </c>
      <c r="X92">
        <v>499.6</v>
      </c>
      <c r="Y92">
        <v>298.77</v>
      </c>
      <c r="Z92">
        <v>798.37</v>
      </c>
      <c r="AA92" t="s">
        <v>62</v>
      </c>
      <c r="AB92">
        <v>0</v>
      </c>
      <c r="AC92">
        <v>93.08</v>
      </c>
      <c r="AD92">
        <v>290</v>
      </c>
      <c r="AE92">
        <v>292</v>
      </c>
    </row>
    <row r="93" spans="1:31" x14ac:dyDescent="0.25">
      <c r="A93" t="s">
        <v>622</v>
      </c>
      <c r="B93" t="s">
        <v>623</v>
      </c>
      <c r="C93" s="1">
        <v>44781</v>
      </c>
      <c r="D93" s="1">
        <v>44998</v>
      </c>
      <c r="E93" t="s">
        <v>65</v>
      </c>
      <c r="F93" t="s">
        <v>91</v>
      </c>
      <c r="G93" t="s">
        <v>66</v>
      </c>
      <c r="H93" t="s">
        <v>147</v>
      </c>
      <c r="I93" t="s">
        <v>624</v>
      </c>
      <c r="J93" t="s">
        <v>38</v>
      </c>
      <c r="K93" t="s">
        <v>55</v>
      </c>
      <c r="L93" t="s">
        <v>625</v>
      </c>
      <c r="M93">
        <v>344.87</v>
      </c>
      <c r="N93">
        <v>64</v>
      </c>
      <c r="O93" t="s">
        <v>626</v>
      </c>
      <c r="P93" t="s">
        <v>141</v>
      </c>
      <c r="Q93" t="s">
        <v>320</v>
      </c>
      <c r="R93" t="s">
        <v>86</v>
      </c>
      <c r="S93" t="s">
        <v>98</v>
      </c>
      <c r="T93" t="s">
        <v>627</v>
      </c>
      <c r="U93">
        <v>573</v>
      </c>
      <c r="V93">
        <v>266</v>
      </c>
      <c r="W93">
        <v>22</v>
      </c>
      <c r="X93">
        <v>911.46</v>
      </c>
      <c r="Y93">
        <v>432.92</v>
      </c>
      <c r="Z93">
        <v>1344.38</v>
      </c>
      <c r="AA93" t="s">
        <v>62</v>
      </c>
      <c r="AB93">
        <v>0</v>
      </c>
      <c r="AC93">
        <v>71.239999999999995</v>
      </c>
      <c r="AD93">
        <v>182</v>
      </c>
      <c r="AE93">
        <v>139</v>
      </c>
    </row>
    <row r="94" spans="1:31" x14ac:dyDescent="0.25">
      <c r="A94" t="s">
        <v>628</v>
      </c>
      <c r="B94" t="s">
        <v>629</v>
      </c>
      <c r="C94" s="1">
        <v>43835</v>
      </c>
      <c r="D94" s="1">
        <v>45421</v>
      </c>
      <c r="E94" t="s">
        <v>65</v>
      </c>
      <c r="F94" t="s">
        <v>51</v>
      </c>
      <c r="G94" t="s">
        <v>78</v>
      </c>
      <c r="H94" t="s">
        <v>36</v>
      </c>
      <c r="I94" t="s">
        <v>630</v>
      </c>
      <c r="J94" t="s">
        <v>38</v>
      </c>
      <c r="K94" t="s">
        <v>39</v>
      </c>
      <c r="L94" t="s">
        <v>631</v>
      </c>
      <c r="M94">
        <v>480.26</v>
      </c>
      <c r="N94">
        <v>49</v>
      </c>
      <c r="O94" t="s">
        <v>632</v>
      </c>
      <c r="P94" t="s">
        <v>108</v>
      </c>
      <c r="Q94" t="s">
        <v>432</v>
      </c>
      <c r="R94" t="s">
        <v>60</v>
      </c>
      <c r="S94" t="s">
        <v>87</v>
      </c>
      <c r="T94" t="s">
        <v>308</v>
      </c>
      <c r="U94">
        <v>19</v>
      </c>
      <c r="V94">
        <v>294</v>
      </c>
      <c r="W94">
        <v>13</v>
      </c>
      <c r="X94">
        <v>1232.99</v>
      </c>
      <c r="Y94">
        <v>204.09</v>
      </c>
      <c r="Z94">
        <v>1437.08</v>
      </c>
      <c r="AA94" t="s">
        <v>62</v>
      </c>
      <c r="AB94">
        <v>0</v>
      </c>
      <c r="AC94">
        <v>79.959999999999994</v>
      </c>
      <c r="AD94">
        <v>159</v>
      </c>
      <c r="AE94">
        <v>201</v>
      </c>
    </row>
    <row r="95" spans="1:31" x14ac:dyDescent="0.25">
      <c r="A95" t="s">
        <v>633</v>
      </c>
      <c r="B95" t="s">
        <v>634</v>
      </c>
      <c r="C95" s="1">
        <v>44735</v>
      </c>
      <c r="D95" s="1">
        <v>44728</v>
      </c>
      <c r="E95" t="s">
        <v>65</v>
      </c>
      <c r="F95" t="s">
        <v>51</v>
      </c>
      <c r="G95" t="s">
        <v>92</v>
      </c>
      <c r="H95" t="s">
        <v>221</v>
      </c>
      <c r="I95" t="s">
        <v>635</v>
      </c>
      <c r="J95" t="s">
        <v>38</v>
      </c>
      <c r="K95" t="s">
        <v>55</v>
      </c>
      <c r="L95" t="s">
        <v>636</v>
      </c>
      <c r="M95">
        <v>396.85</v>
      </c>
      <c r="N95">
        <v>11</v>
      </c>
      <c r="O95" t="s">
        <v>637</v>
      </c>
      <c r="P95" t="s">
        <v>58</v>
      </c>
      <c r="Q95" t="s">
        <v>72</v>
      </c>
      <c r="R95" t="s">
        <v>60</v>
      </c>
      <c r="S95" t="s">
        <v>98</v>
      </c>
      <c r="T95" t="s">
        <v>638</v>
      </c>
      <c r="U95">
        <v>4611</v>
      </c>
      <c r="V95">
        <v>314</v>
      </c>
      <c r="W95">
        <v>9</v>
      </c>
      <c r="X95">
        <v>447.65</v>
      </c>
      <c r="Y95">
        <v>407.79</v>
      </c>
      <c r="Z95">
        <v>855.44</v>
      </c>
      <c r="AA95" t="s">
        <v>62</v>
      </c>
      <c r="AB95">
        <v>0</v>
      </c>
      <c r="AC95">
        <v>78.97</v>
      </c>
      <c r="AD95">
        <v>326</v>
      </c>
      <c r="AE95">
        <v>359</v>
      </c>
    </row>
    <row r="96" spans="1:31" x14ac:dyDescent="0.25">
      <c r="A96" t="s">
        <v>639</v>
      </c>
      <c r="B96" t="s">
        <v>640</v>
      </c>
      <c r="C96" s="1">
        <v>43982</v>
      </c>
      <c r="D96" s="1">
        <v>44594</v>
      </c>
      <c r="E96" t="s">
        <v>65</v>
      </c>
      <c r="F96" t="s">
        <v>34</v>
      </c>
      <c r="G96" t="s">
        <v>52</v>
      </c>
      <c r="H96" t="s">
        <v>79</v>
      </c>
      <c r="I96" t="s">
        <v>641</v>
      </c>
      <c r="J96" t="s">
        <v>38</v>
      </c>
      <c r="K96" t="s">
        <v>69</v>
      </c>
      <c r="L96" t="s">
        <v>642</v>
      </c>
      <c r="M96">
        <v>202.73</v>
      </c>
      <c r="N96">
        <v>60</v>
      </c>
      <c r="O96" t="s">
        <v>643</v>
      </c>
      <c r="P96" t="s">
        <v>108</v>
      </c>
      <c r="Q96" t="s">
        <v>238</v>
      </c>
      <c r="R96" t="s">
        <v>44</v>
      </c>
      <c r="S96" t="s">
        <v>45</v>
      </c>
      <c r="T96" t="s">
        <v>644</v>
      </c>
      <c r="U96">
        <v>3869</v>
      </c>
      <c r="V96">
        <v>326</v>
      </c>
      <c r="W96">
        <v>16</v>
      </c>
      <c r="X96">
        <v>136.93</v>
      </c>
      <c r="Y96">
        <v>71.87</v>
      </c>
      <c r="Z96">
        <v>208.8</v>
      </c>
      <c r="AA96" t="s">
        <v>62</v>
      </c>
      <c r="AB96">
        <v>0</v>
      </c>
      <c r="AC96">
        <v>84.22</v>
      </c>
      <c r="AD96">
        <v>134</v>
      </c>
      <c r="AE96">
        <v>150</v>
      </c>
    </row>
    <row r="97" spans="1:31" x14ac:dyDescent="0.25">
      <c r="A97" t="s">
        <v>645</v>
      </c>
      <c r="B97" t="s">
        <v>646</v>
      </c>
      <c r="C97" s="1">
        <v>43995</v>
      </c>
      <c r="D97" s="1">
        <v>44397</v>
      </c>
      <c r="E97" t="s">
        <v>65</v>
      </c>
      <c r="F97" t="s">
        <v>51</v>
      </c>
      <c r="G97" t="s">
        <v>102</v>
      </c>
      <c r="H97" t="s">
        <v>53</v>
      </c>
      <c r="I97" t="s">
        <v>647</v>
      </c>
      <c r="J97" t="s">
        <v>165</v>
      </c>
      <c r="K97" t="s">
        <v>166</v>
      </c>
      <c r="L97" t="s">
        <v>648</v>
      </c>
      <c r="M97">
        <v>299.20999999999998</v>
      </c>
      <c r="N97">
        <v>6</v>
      </c>
      <c r="O97" t="s">
        <v>649</v>
      </c>
      <c r="P97" t="s">
        <v>108</v>
      </c>
      <c r="Q97" t="s">
        <v>562</v>
      </c>
      <c r="R97" t="s">
        <v>86</v>
      </c>
      <c r="S97" t="s">
        <v>126</v>
      </c>
      <c r="T97" t="s">
        <v>533</v>
      </c>
      <c r="U97">
        <v>1359</v>
      </c>
      <c r="V97">
        <v>492</v>
      </c>
      <c r="W97">
        <v>19</v>
      </c>
      <c r="X97">
        <v>990.92</v>
      </c>
      <c r="Y97">
        <v>227.18</v>
      </c>
      <c r="Z97">
        <v>1218.0999999999999</v>
      </c>
      <c r="AA97" t="s">
        <v>62</v>
      </c>
      <c r="AB97">
        <v>0</v>
      </c>
      <c r="AC97">
        <v>95.45</v>
      </c>
      <c r="AD97">
        <v>383</v>
      </c>
      <c r="AE97">
        <v>368</v>
      </c>
    </row>
    <row r="98" spans="1:31" x14ac:dyDescent="0.25">
      <c r="A98" t="s">
        <v>650</v>
      </c>
      <c r="B98" t="s">
        <v>651</v>
      </c>
      <c r="C98" s="1">
        <v>45004</v>
      </c>
      <c r="D98" s="1">
        <v>44016</v>
      </c>
      <c r="E98" t="s">
        <v>65</v>
      </c>
      <c r="F98" t="s">
        <v>77</v>
      </c>
      <c r="G98" t="s">
        <v>66</v>
      </c>
      <c r="H98" t="s">
        <v>114</v>
      </c>
      <c r="I98" t="s">
        <v>652</v>
      </c>
      <c r="J98" t="s">
        <v>165</v>
      </c>
      <c r="K98" t="s">
        <v>166</v>
      </c>
      <c r="L98" t="s">
        <v>653</v>
      </c>
      <c r="M98">
        <v>384.51</v>
      </c>
      <c r="N98">
        <v>4</v>
      </c>
      <c r="O98" t="s">
        <v>175</v>
      </c>
      <c r="P98" t="s">
        <v>58</v>
      </c>
      <c r="Q98" t="s">
        <v>532</v>
      </c>
      <c r="R98" t="s">
        <v>60</v>
      </c>
      <c r="S98" t="s">
        <v>45</v>
      </c>
      <c r="T98" t="s">
        <v>654</v>
      </c>
      <c r="U98">
        <v>3902</v>
      </c>
      <c r="V98">
        <v>428</v>
      </c>
      <c r="W98">
        <v>12</v>
      </c>
      <c r="X98">
        <v>1950.62</v>
      </c>
      <c r="Y98">
        <v>262.37</v>
      </c>
      <c r="Z98">
        <v>2212.9899999999998</v>
      </c>
      <c r="AA98" t="s">
        <v>47</v>
      </c>
      <c r="AB98">
        <v>5</v>
      </c>
      <c r="AC98">
        <v>86.75</v>
      </c>
      <c r="AD98">
        <v>241</v>
      </c>
      <c r="AE98">
        <v>281</v>
      </c>
    </row>
    <row r="99" spans="1:31" x14ac:dyDescent="0.25">
      <c r="A99" t="s">
        <v>655</v>
      </c>
      <c r="B99" t="s">
        <v>656</v>
      </c>
      <c r="C99" s="1">
        <v>44279</v>
      </c>
      <c r="D99" s="1">
        <v>45011</v>
      </c>
      <c r="E99" t="s">
        <v>65</v>
      </c>
      <c r="F99" t="s">
        <v>77</v>
      </c>
      <c r="G99" t="s">
        <v>113</v>
      </c>
      <c r="H99" t="s">
        <v>163</v>
      </c>
      <c r="I99" t="s">
        <v>657</v>
      </c>
      <c r="J99" t="s">
        <v>38</v>
      </c>
      <c r="K99" t="s">
        <v>81</v>
      </c>
      <c r="L99" t="s">
        <v>658</v>
      </c>
      <c r="M99">
        <v>257.55</v>
      </c>
      <c r="N99">
        <v>98</v>
      </c>
      <c r="O99" t="s">
        <v>659</v>
      </c>
      <c r="P99" t="s">
        <v>84</v>
      </c>
      <c r="Q99" t="s">
        <v>370</v>
      </c>
      <c r="R99" t="s">
        <v>152</v>
      </c>
      <c r="S99" t="s">
        <v>98</v>
      </c>
      <c r="T99" t="s">
        <v>119</v>
      </c>
      <c r="U99">
        <v>1335</v>
      </c>
      <c r="V99">
        <v>465</v>
      </c>
      <c r="W99">
        <v>17</v>
      </c>
      <c r="X99">
        <v>1186.31</v>
      </c>
      <c r="Y99">
        <v>225.66</v>
      </c>
      <c r="Z99">
        <v>1411.97</v>
      </c>
      <c r="AA99" t="s">
        <v>62</v>
      </c>
      <c r="AB99">
        <v>0</v>
      </c>
      <c r="AC99">
        <v>72.88</v>
      </c>
      <c r="AD99">
        <v>53</v>
      </c>
      <c r="AE99">
        <v>45</v>
      </c>
    </row>
    <row r="100" spans="1:31" x14ac:dyDescent="0.25">
      <c r="A100" t="s">
        <v>660</v>
      </c>
      <c r="B100" t="s">
        <v>661</v>
      </c>
      <c r="C100" s="1">
        <v>44070</v>
      </c>
      <c r="D100" s="1">
        <v>45566</v>
      </c>
      <c r="E100" t="s">
        <v>65</v>
      </c>
      <c r="F100" t="s">
        <v>77</v>
      </c>
      <c r="G100" t="s">
        <v>35</v>
      </c>
      <c r="H100" t="s">
        <v>67</v>
      </c>
      <c r="I100" t="s">
        <v>662</v>
      </c>
      <c r="J100" t="s">
        <v>165</v>
      </c>
      <c r="K100" t="s">
        <v>202</v>
      </c>
      <c r="L100" t="s">
        <v>663</v>
      </c>
      <c r="M100">
        <v>343.74</v>
      </c>
      <c r="N100">
        <v>80</v>
      </c>
      <c r="O100" t="s">
        <v>664</v>
      </c>
      <c r="P100" t="s">
        <v>58</v>
      </c>
      <c r="Q100" t="s">
        <v>327</v>
      </c>
      <c r="R100" t="s">
        <v>60</v>
      </c>
      <c r="S100" t="s">
        <v>73</v>
      </c>
      <c r="T100" t="s">
        <v>426</v>
      </c>
      <c r="U100">
        <v>3407</v>
      </c>
      <c r="V100">
        <v>254</v>
      </c>
      <c r="W100">
        <v>11</v>
      </c>
      <c r="X100">
        <v>1259.18</v>
      </c>
      <c r="Y100">
        <v>159.79</v>
      </c>
      <c r="Z100">
        <v>1418.97</v>
      </c>
      <c r="AA100" t="s">
        <v>62</v>
      </c>
      <c r="AB100">
        <v>0</v>
      </c>
      <c r="AC100">
        <v>83.31</v>
      </c>
      <c r="AD100">
        <v>127</v>
      </c>
      <c r="AE100">
        <v>137</v>
      </c>
    </row>
    <row r="101" spans="1:31" x14ac:dyDescent="0.25">
      <c r="A101" t="s">
        <v>665</v>
      </c>
      <c r="B101" t="s">
        <v>666</v>
      </c>
      <c r="C101" s="1">
        <v>45281</v>
      </c>
      <c r="D101" s="1">
        <v>43927</v>
      </c>
      <c r="E101" t="s">
        <v>50</v>
      </c>
      <c r="F101" t="s">
        <v>77</v>
      </c>
      <c r="G101" t="s">
        <v>35</v>
      </c>
      <c r="H101" t="s">
        <v>36</v>
      </c>
      <c r="I101" t="s">
        <v>667</v>
      </c>
      <c r="J101" t="s">
        <v>104</v>
      </c>
      <c r="K101" t="s">
        <v>181</v>
      </c>
      <c r="L101" t="s">
        <v>668</v>
      </c>
      <c r="M101">
        <v>49.63</v>
      </c>
      <c r="N101">
        <v>54</v>
      </c>
      <c r="O101" t="s">
        <v>669</v>
      </c>
      <c r="P101" t="s">
        <v>108</v>
      </c>
      <c r="Q101" t="s">
        <v>377</v>
      </c>
      <c r="R101" t="s">
        <v>60</v>
      </c>
      <c r="S101" t="s">
        <v>45</v>
      </c>
      <c r="T101" t="s">
        <v>302</v>
      </c>
      <c r="U101">
        <v>4208</v>
      </c>
      <c r="V101">
        <v>227</v>
      </c>
      <c r="W101">
        <v>8</v>
      </c>
      <c r="X101">
        <v>1611.64</v>
      </c>
      <c r="Y101">
        <v>298.77999999999997</v>
      </c>
      <c r="Z101">
        <v>1910.42</v>
      </c>
      <c r="AA101" t="s">
        <v>47</v>
      </c>
      <c r="AB101">
        <v>9</v>
      </c>
      <c r="AC101">
        <v>92.49</v>
      </c>
      <c r="AD101">
        <v>182</v>
      </c>
      <c r="AE101">
        <v>195</v>
      </c>
    </row>
    <row r="102" spans="1:31" x14ac:dyDescent="0.25">
      <c r="A102" t="s">
        <v>670</v>
      </c>
      <c r="B102" t="s">
        <v>671</v>
      </c>
      <c r="C102" s="1">
        <v>44703</v>
      </c>
      <c r="D102" s="1">
        <v>45112</v>
      </c>
      <c r="E102" t="s">
        <v>50</v>
      </c>
      <c r="F102" t="s">
        <v>146</v>
      </c>
      <c r="G102" t="s">
        <v>92</v>
      </c>
      <c r="H102" t="s">
        <v>67</v>
      </c>
      <c r="I102" t="s">
        <v>672</v>
      </c>
      <c r="J102" t="s">
        <v>104</v>
      </c>
      <c r="K102" t="s">
        <v>105</v>
      </c>
      <c r="L102" t="s">
        <v>673</v>
      </c>
      <c r="M102">
        <v>217.4</v>
      </c>
      <c r="N102">
        <v>52</v>
      </c>
      <c r="O102" t="s">
        <v>674</v>
      </c>
      <c r="P102" t="s">
        <v>108</v>
      </c>
      <c r="Q102" t="s">
        <v>238</v>
      </c>
      <c r="R102" t="s">
        <v>60</v>
      </c>
      <c r="S102" t="s">
        <v>98</v>
      </c>
      <c r="T102" t="s">
        <v>675</v>
      </c>
      <c r="U102">
        <v>3788</v>
      </c>
      <c r="V102">
        <v>271</v>
      </c>
      <c r="W102">
        <v>18</v>
      </c>
      <c r="X102">
        <v>142.26</v>
      </c>
      <c r="Y102">
        <v>414.86</v>
      </c>
      <c r="Z102">
        <v>557.12</v>
      </c>
      <c r="AA102" t="s">
        <v>62</v>
      </c>
      <c r="AB102">
        <v>0</v>
      </c>
      <c r="AC102">
        <v>70.540000000000006</v>
      </c>
      <c r="AD102">
        <v>488</v>
      </c>
      <c r="AE102">
        <v>516</v>
      </c>
    </row>
    <row r="103" spans="1:31" x14ac:dyDescent="0.25">
      <c r="A103" t="s">
        <v>676</v>
      </c>
      <c r="B103" t="s">
        <v>677</v>
      </c>
      <c r="C103" s="1">
        <v>43844</v>
      </c>
      <c r="D103" s="1">
        <v>44093</v>
      </c>
      <c r="E103" t="s">
        <v>50</v>
      </c>
      <c r="F103" t="s">
        <v>146</v>
      </c>
      <c r="G103" t="s">
        <v>92</v>
      </c>
      <c r="H103" t="s">
        <v>53</v>
      </c>
      <c r="I103" t="s">
        <v>678</v>
      </c>
      <c r="J103" t="s">
        <v>104</v>
      </c>
      <c r="K103" t="s">
        <v>181</v>
      </c>
      <c r="L103" t="s">
        <v>679</v>
      </c>
      <c r="M103">
        <v>156.72999999999999</v>
      </c>
      <c r="N103">
        <v>9</v>
      </c>
      <c r="O103" t="s">
        <v>680</v>
      </c>
      <c r="P103" t="s">
        <v>84</v>
      </c>
      <c r="Q103" t="s">
        <v>217</v>
      </c>
      <c r="R103" t="s">
        <v>152</v>
      </c>
      <c r="S103" t="s">
        <v>87</v>
      </c>
      <c r="T103" t="s">
        <v>321</v>
      </c>
      <c r="U103">
        <v>4586</v>
      </c>
      <c r="V103">
        <v>75</v>
      </c>
      <c r="W103">
        <v>15</v>
      </c>
      <c r="X103">
        <v>1947.99</v>
      </c>
      <c r="Y103">
        <v>369.69</v>
      </c>
      <c r="Z103">
        <v>2317.6799999999998</v>
      </c>
      <c r="AA103" t="s">
        <v>62</v>
      </c>
      <c r="AB103">
        <v>0</v>
      </c>
      <c r="AC103">
        <v>86.63</v>
      </c>
      <c r="AD103">
        <v>433</v>
      </c>
      <c r="AE103">
        <v>422</v>
      </c>
    </row>
    <row r="104" spans="1:31" x14ac:dyDescent="0.25">
      <c r="A104" t="s">
        <v>681</v>
      </c>
      <c r="B104" t="s">
        <v>682</v>
      </c>
      <c r="C104" s="1">
        <v>44641</v>
      </c>
      <c r="D104" s="1">
        <v>44413</v>
      </c>
      <c r="E104" t="s">
        <v>65</v>
      </c>
      <c r="F104" t="s">
        <v>146</v>
      </c>
      <c r="G104" t="s">
        <v>102</v>
      </c>
      <c r="H104" t="s">
        <v>163</v>
      </c>
      <c r="I104" t="s">
        <v>683</v>
      </c>
      <c r="J104" t="s">
        <v>104</v>
      </c>
      <c r="K104" t="s">
        <v>554</v>
      </c>
      <c r="L104" t="s">
        <v>684</v>
      </c>
      <c r="M104">
        <v>209.52</v>
      </c>
      <c r="N104">
        <v>89</v>
      </c>
      <c r="O104" t="s">
        <v>685</v>
      </c>
      <c r="P104" t="s">
        <v>58</v>
      </c>
      <c r="Q104" t="s">
        <v>686</v>
      </c>
      <c r="R104" t="s">
        <v>60</v>
      </c>
      <c r="S104" t="s">
        <v>87</v>
      </c>
      <c r="T104" t="s">
        <v>267</v>
      </c>
      <c r="U104">
        <v>3490</v>
      </c>
      <c r="V104">
        <v>147</v>
      </c>
      <c r="W104">
        <v>21</v>
      </c>
      <c r="X104">
        <v>279.87</v>
      </c>
      <c r="Y104">
        <v>299.02999999999997</v>
      </c>
      <c r="Z104">
        <v>578.9</v>
      </c>
      <c r="AA104" t="s">
        <v>62</v>
      </c>
      <c r="AB104">
        <v>0</v>
      </c>
      <c r="AC104">
        <v>71.27</v>
      </c>
      <c r="AD104">
        <v>497</v>
      </c>
      <c r="AE104">
        <v>517</v>
      </c>
    </row>
    <row r="105" spans="1:31" x14ac:dyDescent="0.25">
      <c r="A105" t="s">
        <v>687</v>
      </c>
      <c r="B105" t="s">
        <v>688</v>
      </c>
      <c r="C105" s="1">
        <v>44510</v>
      </c>
      <c r="D105" s="1">
        <v>44134</v>
      </c>
      <c r="E105" t="s">
        <v>50</v>
      </c>
      <c r="F105" t="s">
        <v>91</v>
      </c>
      <c r="G105" t="s">
        <v>66</v>
      </c>
      <c r="H105" t="s">
        <v>147</v>
      </c>
      <c r="I105" t="s">
        <v>689</v>
      </c>
      <c r="J105" t="s">
        <v>38</v>
      </c>
      <c r="K105" t="s">
        <v>55</v>
      </c>
      <c r="L105" t="s">
        <v>690</v>
      </c>
      <c r="M105">
        <v>104.74</v>
      </c>
      <c r="N105">
        <v>35</v>
      </c>
      <c r="O105" t="s">
        <v>691</v>
      </c>
      <c r="P105" t="s">
        <v>141</v>
      </c>
      <c r="Q105" t="s">
        <v>151</v>
      </c>
      <c r="R105" t="s">
        <v>44</v>
      </c>
      <c r="S105" t="s">
        <v>126</v>
      </c>
      <c r="T105" t="s">
        <v>359</v>
      </c>
      <c r="U105">
        <v>670</v>
      </c>
      <c r="V105">
        <v>115</v>
      </c>
      <c r="W105">
        <v>17</v>
      </c>
      <c r="X105">
        <v>1865.24</v>
      </c>
      <c r="Y105">
        <v>376.87</v>
      </c>
      <c r="Z105">
        <v>2242.11</v>
      </c>
      <c r="AA105" t="s">
        <v>47</v>
      </c>
      <c r="AB105">
        <v>11</v>
      </c>
      <c r="AC105">
        <v>96.13</v>
      </c>
      <c r="AD105">
        <v>106</v>
      </c>
      <c r="AE105">
        <v>112</v>
      </c>
    </row>
    <row r="106" spans="1:31" x14ac:dyDescent="0.25">
      <c r="A106" t="s">
        <v>692</v>
      </c>
      <c r="B106" t="s">
        <v>693</v>
      </c>
      <c r="C106" s="1">
        <v>44912</v>
      </c>
      <c r="D106" s="1">
        <v>44221</v>
      </c>
      <c r="E106" t="s">
        <v>50</v>
      </c>
      <c r="F106" t="s">
        <v>77</v>
      </c>
      <c r="G106" t="s">
        <v>66</v>
      </c>
      <c r="H106" t="s">
        <v>163</v>
      </c>
      <c r="I106" t="s">
        <v>694</v>
      </c>
      <c r="J106" t="s">
        <v>38</v>
      </c>
      <c r="K106" t="s">
        <v>55</v>
      </c>
      <c r="L106" t="s">
        <v>695</v>
      </c>
      <c r="M106">
        <v>390.23</v>
      </c>
      <c r="N106">
        <v>1</v>
      </c>
      <c r="O106" t="s">
        <v>696</v>
      </c>
      <c r="P106" t="s">
        <v>84</v>
      </c>
      <c r="Q106" t="s">
        <v>205</v>
      </c>
      <c r="R106" t="s">
        <v>152</v>
      </c>
      <c r="S106" t="s">
        <v>87</v>
      </c>
      <c r="T106" t="s">
        <v>359</v>
      </c>
      <c r="U106">
        <v>115</v>
      </c>
      <c r="V106">
        <v>255</v>
      </c>
      <c r="W106">
        <v>22</v>
      </c>
      <c r="X106">
        <v>178.97</v>
      </c>
      <c r="Y106">
        <v>485.39</v>
      </c>
      <c r="Z106">
        <v>664.36</v>
      </c>
      <c r="AA106" t="s">
        <v>62</v>
      </c>
      <c r="AB106">
        <v>0</v>
      </c>
      <c r="AC106">
        <v>70.25</v>
      </c>
      <c r="AD106">
        <v>381</v>
      </c>
      <c r="AE106">
        <v>343</v>
      </c>
    </row>
    <row r="107" spans="1:31" x14ac:dyDescent="0.25">
      <c r="A107" t="s">
        <v>697</v>
      </c>
      <c r="B107" t="s">
        <v>698</v>
      </c>
      <c r="C107" s="1">
        <v>44275</v>
      </c>
      <c r="D107" s="1">
        <v>44072</v>
      </c>
      <c r="E107" t="s">
        <v>50</v>
      </c>
      <c r="F107" t="s">
        <v>146</v>
      </c>
      <c r="G107" t="s">
        <v>92</v>
      </c>
      <c r="H107" t="s">
        <v>67</v>
      </c>
      <c r="I107" t="s">
        <v>699</v>
      </c>
      <c r="J107" t="s">
        <v>38</v>
      </c>
      <c r="K107" t="s">
        <v>55</v>
      </c>
      <c r="L107" t="s">
        <v>700</v>
      </c>
      <c r="M107">
        <v>344.38</v>
      </c>
      <c r="N107">
        <v>33</v>
      </c>
      <c r="O107" t="s">
        <v>701</v>
      </c>
      <c r="P107" t="s">
        <v>42</v>
      </c>
      <c r="Q107" t="s">
        <v>702</v>
      </c>
      <c r="R107" t="s">
        <v>86</v>
      </c>
      <c r="S107" t="s">
        <v>87</v>
      </c>
      <c r="T107" t="s">
        <v>334</v>
      </c>
      <c r="U107">
        <v>4476</v>
      </c>
      <c r="V107">
        <v>428</v>
      </c>
      <c r="W107">
        <v>25</v>
      </c>
      <c r="X107">
        <v>223.51</v>
      </c>
      <c r="Y107">
        <v>23.44</v>
      </c>
      <c r="Z107">
        <v>246.95</v>
      </c>
      <c r="AA107" t="s">
        <v>62</v>
      </c>
      <c r="AB107">
        <v>0</v>
      </c>
      <c r="AC107">
        <v>91.77</v>
      </c>
      <c r="AD107">
        <v>369</v>
      </c>
      <c r="AE107">
        <v>386</v>
      </c>
    </row>
    <row r="108" spans="1:31" x14ac:dyDescent="0.25">
      <c r="A108" t="s">
        <v>703</v>
      </c>
      <c r="B108" t="s">
        <v>704</v>
      </c>
      <c r="C108" s="1">
        <v>45009</v>
      </c>
      <c r="D108" s="1">
        <v>44205</v>
      </c>
      <c r="E108" t="s">
        <v>65</v>
      </c>
      <c r="F108" t="s">
        <v>146</v>
      </c>
      <c r="G108" t="s">
        <v>52</v>
      </c>
      <c r="H108" t="s">
        <v>221</v>
      </c>
      <c r="I108" t="s">
        <v>705</v>
      </c>
      <c r="J108" t="s">
        <v>38</v>
      </c>
      <c r="K108" t="s">
        <v>69</v>
      </c>
      <c r="L108" t="s">
        <v>706</v>
      </c>
      <c r="M108">
        <v>386.66</v>
      </c>
      <c r="N108">
        <v>15</v>
      </c>
      <c r="O108" t="s">
        <v>707</v>
      </c>
      <c r="P108" t="s">
        <v>141</v>
      </c>
      <c r="Q108" t="s">
        <v>708</v>
      </c>
      <c r="R108" t="s">
        <v>60</v>
      </c>
      <c r="S108" t="s">
        <v>126</v>
      </c>
      <c r="T108" t="s">
        <v>371</v>
      </c>
      <c r="U108">
        <v>247</v>
      </c>
      <c r="V108">
        <v>109</v>
      </c>
      <c r="W108">
        <v>27</v>
      </c>
      <c r="X108">
        <v>1838.77</v>
      </c>
      <c r="Y108">
        <v>322.49</v>
      </c>
      <c r="Z108">
        <v>2161.2600000000002</v>
      </c>
      <c r="AA108" t="s">
        <v>62</v>
      </c>
      <c r="AB108">
        <v>0</v>
      </c>
      <c r="AC108">
        <v>97.31</v>
      </c>
      <c r="AD108">
        <v>67</v>
      </c>
      <c r="AE108">
        <v>62</v>
      </c>
    </row>
    <row r="109" spans="1:31" x14ac:dyDescent="0.25">
      <c r="A109" t="s">
        <v>709</v>
      </c>
      <c r="B109" t="s">
        <v>710</v>
      </c>
      <c r="C109" s="1">
        <v>44643</v>
      </c>
      <c r="D109" s="1">
        <v>44101</v>
      </c>
      <c r="E109" t="s">
        <v>65</v>
      </c>
      <c r="F109" t="s">
        <v>51</v>
      </c>
      <c r="G109" t="s">
        <v>35</v>
      </c>
      <c r="H109" t="s">
        <v>114</v>
      </c>
      <c r="I109" t="s">
        <v>711</v>
      </c>
      <c r="J109" t="s">
        <v>38</v>
      </c>
      <c r="K109" t="s">
        <v>81</v>
      </c>
      <c r="L109" t="s">
        <v>712</v>
      </c>
      <c r="M109">
        <v>368.24</v>
      </c>
      <c r="N109">
        <v>71</v>
      </c>
      <c r="O109" t="s">
        <v>713</v>
      </c>
      <c r="P109" t="s">
        <v>84</v>
      </c>
      <c r="Q109" t="s">
        <v>464</v>
      </c>
      <c r="R109" t="s">
        <v>152</v>
      </c>
      <c r="S109" t="s">
        <v>98</v>
      </c>
      <c r="T109" t="s">
        <v>470</v>
      </c>
      <c r="U109">
        <v>4821</v>
      </c>
      <c r="V109">
        <v>406</v>
      </c>
      <c r="W109">
        <v>12</v>
      </c>
      <c r="X109">
        <v>638.46</v>
      </c>
      <c r="Y109">
        <v>439.14</v>
      </c>
      <c r="Z109">
        <v>1077.5999999999999</v>
      </c>
      <c r="AA109" t="s">
        <v>62</v>
      </c>
      <c r="AB109">
        <v>0</v>
      </c>
      <c r="AC109">
        <v>90.38</v>
      </c>
      <c r="AD109">
        <v>67</v>
      </c>
      <c r="AE109">
        <v>80</v>
      </c>
    </row>
    <row r="110" spans="1:31" x14ac:dyDescent="0.25">
      <c r="A110" t="s">
        <v>714</v>
      </c>
      <c r="B110" t="s">
        <v>715</v>
      </c>
      <c r="C110" s="1">
        <v>44419</v>
      </c>
      <c r="D110" s="1">
        <v>44345</v>
      </c>
      <c r="E110" t="s">
        <v>65</v>
      </c>
      <c r="F110" t="s">
        <v>34</v>
      </c>
      <c r="G110" t="s">
        <v>343</v>
      </c>
      <c r="H110" t="s">
        <v>221</v>
      </c>
      <c r="I110" t="s">
        <v>590</v>
      </c>
      <c r="J110" t="s">
        <v>165</v>
      </c>
      <c r="K110" t="s">
        <v>202</v>
      </c>
      <c r="L110" t="s">
        <v>591</v>
      </c>
      <c r="M110">
        <v>90.27</v>
      </c>
      <c r="N110">
        <v>98</v>
      </c>
      <c r="O110" t="s">
        <v>716</v>
      </c>
      <c r="P110" t="s">
        <v>141</v>
      </c>
      <c r="Q110" t="s">
        <v>118</v>
      </c>
      <c r="R110" t="s">
        <v>60</v>
      </c>
      <c r="S110" t="s">
        <v>45</v>
      </c>
      <c r="T110" t="s">
        <v>426</v>
      </c>
      <c r="U110">
        <v>2529</v>
      </c>
      <c r="V110">
        <v>370</v>
      </c>
      <c r="W110">
        <v>9</v>
      </c>
      <c r="X110">
        <v>1532.54</v>
      </c>
      <c r="Y110">
        <v>326.29000000000002</v>
      </c>
      <c r="Z110">
        <v>1858.83</v>
      </c>
      <c r="AA110" t="s">
        <v>62</v>
      </c>
      <c r="AB110">
        <v>0</v>
      </c>
      <c r="AC110">
        <v>83.69</v>
      </c>
      <c r="AD110">
        <v>157</v>
      </c>
      <c r="AE110">
        <v>153</v>
      </c>
    </row>
    <row r="111" spans="1:31" x14ac:dyDescent="0.25">
      <c r="A111" t="s">
        <v>717</v>
      </c>
      <c r="B111" t="s">
        <v>718</v>
      </c>
      <c r="C111" s="1">
        <v>45511</v>
      </c>
      <c r="D111" s="1">
        <v>45017</v>
      </c>
      <c r="E111" t="s">
        <v>65</v>
      </c>
      <c r="F111" t="s">
        <v>34</v>
      </c>
      <c r="G111" t="s">
        <v>92</v>
      </c>
      <c r="H111" t="s">
        <v>67</v>
      </c>
      <c r="I111" t="s">
        <v>719</v>
      </c>
      <c r="J111" t="s">
        <v>104</v>
      </c>
      <c r="K111" t="s">
        <v>105</v>
      </c>
      <c r="L111" t="s">
        <v>720</v>
      </c>
      <c r="M111">
        <v>61.83</v>
      </c>
      <c r="N111">
        <v>60</v>
      </c>
      <c r="O111" t="s">
        <v>397</v>
      </c>
      <c r="P111" t="s">
        <v>58</v>
      </c>
      <c r="Q111" t="s">
        <v>176</v>
      </c>
      <c r="R111" t="s">
        <v>152</v>
      </c>
      <c r="S111" t="s">
        <v>98</v>
      </c>
      <c r="T111" t="s">
        <v>721</v>
      </c>
      <c r="U111">
        <v>804</v>
      </c>
      <c r="V111">
        <v>137</v>
      </c>
      <c r="W111">
        <v>11</v>
      </c>
      <c r="X111">
        <v>1239.28</v>
      </c>
      <c r="Y111">
        <v>59.25</v>
      </c>
      <c r="Z111">
        <v>1298.53</v>
      </c>
      <c r="AA111" t="s">
        <v>62</v>
      </c>
      <c r="AB111">
        <v>0</v>
      </c>
      <c r="AC111">
        <v>84.49</v>
      </c>
      <c r="AD111">
        <v>348</v>
      </c>
      <c r="AE111">
        <v>390</v>
      </c>
    </row>
    <row r="112" spans="1:31" x14ac:dyDescent="0.25">
      <c r="A112" t="s">
        <v>722</v>
      </c>
      <c r="B112" t="s">
        <v>723</v>
      </c>
      <c r="C112" s="1">
        <v>44529</v>
      </c>
      <c r="D112" s="1">
        <v>44965</v>
      </c>
      <c r="E112" t="s">
        <v>50</v>
      </c>
      <c r="F112" t="s">
        <v>77</v>
      </c>
      <c r="G112" t="s">
        <v>113</v>
      </c>
      <c r="H112" t="s">
        <v>147</v>
      </c>
      <c r="I112" t="s">
        <v>724</v>
      </c>
      <c r="J112" t="s">
        <v>38</v>
      </c>
      <c r="K112" t="s">
        <v>338</v>
      </c>
      <c r="L112" t="s">
        <v>725</v>
      </c>
      <c r="M112">
        <v>310.95</v>
      </c>
      <c r="N112">
        <v>46</v>
      </c>
      <c r="O112" t="s">
        <v>726</v>
      </c>
      <c r="P112" t="s">
        <v>108</v>
      </c>
      <c r="Q112" t="s">
        <v>491</v>
      </c>
      <c r="R112" t="s">
        <v>152</v>
      </c>
      <c r="S112" t="s">
        <v>87</v>
      </c>
      <c r="T112" t="s">
        <v>88</v>
      </c>
      <c r="U112">
        <v>1733</v>
      </c>
      <c r="V112">
        <v>315</v>
      </c>
      <c r="W112">
        <v>5</v>
      </c>
      <c r="X112">
        <v>927.3</v>
      </c>
      <c r="Y112">
        <v>161.94</v>
      </c>
      <c r="Z112">
        <v>1089.24</v>
      </c>
      <c r="AA112" t="s">
        <v>62</v>
      </c>
      <c r="AB112">
        <v>0</v>
      </c>
      <c r="AC112">
        <v>79.069999999999993</v>
      </c>
      <c r="AD112">
        <v>104</v>
      </c>
      <c r="AE112">
        <v>91</v>
      </c>
    </row>
    <row r="113" spans="1:31" x14ac:dyDescent="0.25">
      <c r="A113" t="s">
        <v>727</v>
      </c>
      <c r="B113" t="s">
        <v>728</v>
      </c>
      <c r="C113" s="1">
        <v>45286</v>
      </c>
      <c r="D113" s="1">
        <v>44234</v>
      </c>
      <c r="E113" t="s">
        <v>65</v>
      </c>
      <c r="F113" t="s">
        <v>91</v>
      </c>
      <c r="G113" t="s">
        <v>78</v>
      </c>
      <c r="H113" t="s">
        <v>67</v>
      </c>
      <c r="I113" t="s">
        <v>729</v>
      </c>
      <c r="J113" t="s">
        <v>38</v>
      </c>
      <c r="K113" t="s">
        <v>39</v>
      </c>
      <c r="L113" t="s">
        <v>730</v>
      </c>
      <c r="M113">
        <v>258.52999999999997</v>
      </c>
      <c r="N113">
        <v>53</v>
      </c>
      <c r="O113" t="s">
        <v>731</v>
      </c>
      <c r="P113" t="s">
        <v>58</v>
      </c>
      <c r="Q113" t="s">
        <v>266</v>
      </c>
      <c r="R113" t="s">
        <v>86</v>
      </c>
      <c r="S113" t="s">
        <v>126</v>
      </c>
      <c r="T113" t="s">
        <v>46</v>
      </c>
      <c r="U113">
        <v>2630</v>
      </c>
      <c r="V113">
        <v>320</v>
      </c>
      <c r="W113">
        <v>8</v>
      </c>
      <c r="X113">
        <v>663.06</v>
      </c>
      <c r="Y113">
        <v>41.62</v>
      </c>
      <c r="Z113">
        <v>704.68</v>
      </c>
      <c r="AA113" t="s">
        <v>62</v>
      </c>
      <c r="AB113">
        <v>0</v>
      </c>
      <c r="AC113">
        <v>86.41</v>
      </c>
      <c r="AD113">
        <v>162</v>
      </c>
      <c r="AE113">
        <v>166</v>
      </c>
    </row>
    <row r="114" spans="1:31" x14ac:dyDescent="0.25">
      <c r="A114" t="s">
        <v>732</v>
      </c>
      <c r="B114" t="s">
        <v>733</v>
      </c>
      <c r="C114" s="1">
        <v>45173</v>
      </c>
      <c r="D114" s="1">
        <v>43935</v>
      </c>
      <c r="E114" t="s">
        <v>50</v>
      </c>
      <c r="F114" t="s">
        <v>34</v>
      </c>
      <c r="G114" t="s">
        <v>113</v>
      </c>
      <c r="H114" t="s">
        <v>114</v>
      </c>
      <c r="I114" t="s">
        <v>734</v>
      </c>
      <c r="J114" t="s">
        <v>38</v>
      </c>
      <c r="K114" t="s">
        <v>735</v>
      </c>
      <c r="L114" t="s">
        <v>736</v>
      </c>
      <c r="M114">
        <v>476.17</v>
      </c>
      <c r="N114">
        <v>46</v>
      </c>
      <c r="O114" t="s">
        <v>737</v>
      </c>
      <c r="P114" t="s">
        <v>84</v>
      </c>
      <c r="Q114" t="s">
        <v>517</v>
      </c>
      <c r="R114" t="s">
        <v>60</v>
      </c>
      <c r="S114" t="s">
        <v>98</v>
      </c>
      <c r="T114" t="s">
        <v>738</v>
      </c>
      <c r="U114">
        <v>661</v>
      </c>
      <c r="V114">
        <v>447</v>
      </c>
      <c r="W114">
        <v>29</v>
      </c>
      <c r="X114">
        <v>1143.97</v>
      </c>
      <c r="Y114">
        <v>304.23</v>
      </c>
      <c r="Z114">
        <v>1448.2</v>
      </c>
      <c r="AA114" t="s">
        <v>62</v>
      </c>
      <c r="AB114">
        <v>0</v>
      </c>
      <c r="AC114">
        <v>97.79</v>
      </c>
      <c r="AD114">
        <v>386</v>
      </c>
      <c r="AE114">
        <v>344</v>
      </c>
    </row>
    <row r="115" spans="1:31" x14ac:dyDescent="0.25">
      <c r="A115" t="s">
        <v>739</v>
      </c>
      <c r="B115" t="s">
        <v>740</v>
      </c>
      <c r="C115" s="1">
        <v>44526</v>
      </c>
      <c r="D115" s="1">
        <v>44388</v>
      </c>
      <c r="E115" t="s">
        <v>65</v>
      </c>
      <c r="F115" t="s">
        <v>77</v>
      </c>
      <c r="G115" t="s">
        <v>113</v>
      </c>
      <c r="H115" t="s">
        <v>36</v>
      </c>
      <c r="I115" t="s">
        <v>741</v>
      </c>
      <c r="J115" t="s">
        <v>165</v>
      </c>
      <c r="K115" t="s">
        <v>202</v>
      </c>
      <c r="L115" t="s">
        <v>742</v>
      </c>
      <c r="M115">
        <v>148.63999999999999</v>
      </c>
      <c r="N115">
        <v>30</v>
      </c>
      <c r="O115" t="s">
        <v>743</v>
      </c>
      <c r="P115" t="s">
        <v>42</v>
      </c>
      <c r="Q115" t="s">
        <v>702</v>
      </c>
      <c r="R115" t="s">
        <v>86</v>
      </c>
      <c r="S115" t="s">
        <v>126</v>
      </c>
      <c r="T115" t="s">
        <v>110</v>
      </c>
      <c r="U115">
        <v>3938</v>
      </c>
      <c r="V115">
        <v>284</v>
      </c>
      <c r="W115">
        <v>20</v>
      </c>
      <c r="X115">
        <v>1829.71</v>
      </c>
      <c r="Y115">
        <v>454.91</v>
      </c>
      <c r="Z115">
        <v>2284.62</v>
      </c>
      <c r="AA115" t="s">
        <v>47</v>
      </c>
      <c r="AB115">
        <v>14</v>
      </c>
      <c r="AC115">
        <v>80.959999999999994</v>
      </c>
      <c r="AD115">
        <v>409</v>
      </c>
      <c r="AE115">
        <v>361</v>
      </c>
    </row>
    <row r="116" spans="1:31" x14ac:dyDescent="0.25">
      <c r="A116" t="s">
        <v>744</v>
      </c>
      <c r="B116" t="s">
        <v>745</v>
      </c>
      <c r="C116" s="1">
        <v>43852</v>
      </c>
      <c r="D116" s="1">
        <v>43999</v>
      </c>
      <c r="E116" t="s">
        <v>65</v>
      </c>
      <c r="F116" t="s">
        <v>146</v>
      </c>
      <c r="G116" t="s">
        <v>113</v>
      </c>
      <c r="H116" t="s">
        <v>67</v>
      </c>
      <c r="I116" t="s">
        <v>746</v>
      </c>
      <c r="J116" t="s">
        <v>38</v>
      </c>
      <c r="K116" t="s">
        <v>55</v>
      </c>
      <c r="L116" t="s">
        <v>747</v>
      </c>
      <c r="M116">
        <v>488.97</v>
      </c>
      <c r="N116">
        <v>47</v>
      </c>
      <c r="O116" t="s">
        <v>748</v>
      </c>
      <c r="P116" t="s">
        <v>42</v>
      </c>
      <c r="Q116" t="s">
        <v>562</v>
      </c>
      <c r="R116" t="s">
        <v>44</v>
      </c>
      <c r="S116" t="s">
        <v>126</v>
      </c>
      <c r="T116" t="s">
        <v>218</v>
      </c>
      <c r="U116">
        <v>853</v>
      </c>
      <c r="V116">
        <v>104</v>
      </c>
      <c r="W116">
        <v>8</v>
      </c>
      <c r="X116">
        <v>378</v>
      </c>
      <c r="Y116">
        <v>301.51</v>
      </c>
      <c r="Z116">
        <v>679.51</v>
      </c>
      <c r="AA116" t="s">
        <v>62</v>
      </c>
      <c r="AB116">
        <v>0</v>
      </c>
      <c r="AC116">
        <v>96.02</v>
      </c>
      <c r="AD116">
        <v>80</v>
      </c>
      <c r="AE116">
        <v>73</v>
      </c>
    </row>
    <row r="117" spans="1:31" x14ac:dyDescent="0.25">
      <c r="A117" t="s">
        <v>749</v>
      </c>
      <c r="B117" t="s">
        <v>750</v>
      </c>
      <c r="C117" s="1">
        <v>45400</v>
      </c>
      <c r="D117" s="1">
        <v>45256</v>
      </c>
      <c r="E117" t="s">
        <v>65</v>
      </c>
      <c r="F117" t="s">
        <v>34</v>
      </c>
      <c r="G117" t="s">
        <v>35</v>
      </c>
      <c r="H117" t="s">
        <v>79</v>
      </c>
      <c r="I117" t="s">
        <v>751</v>
      </c>
      <c r="J117" t="s">
        <v>38</v>
      </c>
      <c r="K117" t="s">
        <v>338</v>
      </c>
      <c r="L117" t="s">
        <v>752</v>
      </c>
      <c r="M117">
        <v>135.5</v>
      </c>
      <c r="N117">
        <v>83</v>
      </c>
      <c r="O117" t="s">
        <v>190</v>
      </c>
      <c r="P117" t="s">
        <v>58</v>
      </c>
      <c r="Q117" t="s">
        <v>544</v>
      </c>
      <c r="R117" t="s">
        <v>60</v>
      </c>
      <c r="S117" t="s">
        <v>98</v>
      </c>
      <c r="T117" t="s">
        <v>61</v>
      </c>
      <c r="U117">
        <v>1583</v>
      </c>
      <c r="V117">
        <v>189</v>
      </c>
      <c r="W117">
        <v>24</v>
      </c>
      <c r="X117">
        <v>731.71</v>
      </c>
      <c r="Y117">
        <v>472.48</v>
      </c>
      <c r="Z117">
        <v>1204.19</v>
      </c>
      <c r="AA117" t="s">
        <v>62</v>
      </c>
      <c r="AB117">
        <v>0</v>
      </c>
      <c r="AC117">
        <v>80.03</v>
      </c>
      <c r="AD117">
        <v>154</v>
      </c>
      <c r="AE117">
        <v>189</v>
      </c>
    </row>
    <row r="118" spans="1:31" x14ac:dyDescent="0.25">
      <c r="A118" t="s">
        <v>753</v>
      </c>
      <c r="B118" t="s">
        <v>754</v>
      </c>
      <c r="C118" s="1">
        <v>44076</v>
      </c>
      <c r="D118" s="1">
        <v>43918</v>
      </c>
      <c r="E118" t="s">
        <v>65</v>
      </c>
      <c r="F118" t="s">
        <v>146</v>
      </c>
      <c r="G118" t="s">
        <v>113</v>
      </c>
      <c r="H118" t="s">
        <v>221</v>
      </c>
      <c r="I118" t="s">
        <v>755</v>
      </c>
      <c r="J118" t="s">
        <v>38</v>
      </c>
      <c r="K118" t="s">
        <v>55</v>
      </c>
      <c r="L118" t="s">
        <v>756</v>
      </c>
      <c r="M118">
        <v>367.64</v>
      </c>
      <c r="N118">
        <v>11</v>
      </c>
      <c r="O118" t="s">
        <v>757</v>
      </c>
      <c r="P118" t="s">
        <v>42</v>
      </c>
      <c r="Q118" t="s">
        <v>159</v>
      </c>
      <c r="R118" t="s">
        <v>86</v>
      </c>
      <c r="S118" t="s">
        <v>45</v>
      </c>
      <c r="T118" t="s">
        <v>61</v>
      </c>
      <c r="U118">
        <v>2987</v>
      </c>
      <c r="V118">
        <v>178</v>
      </c>
      <c r="W118">
        <v>10</v>
      </c>
      <c r="X118">
        <v>571.88</v>
      </c>
      <c r="Y118">
        <v>241.84</v>
      </c>
      <c r="Z118">
        <v>813.72</v>
      </c>
      <c r="AA118" t="s">
        <v>62</v>
      </c>
      <c r="AB118">
        <v>0</v>
      </c>
      <c r="AC118">
        <v>85.19</v>
      </c>
      <c r="AD118">
        <v>445</v>
      </c>
      <c r="AE118">
        <v>480</v>
      </c>
    </row>
    <row r="119" spans="1:31" x14ac:dyDescent="0.25">
      <c r="A119" t="s">
        <v>758</v>
      </c>
      <c r="B119" t="s">
        <v>759</v>
      </c>
      <c r="C119" s="1">
        <v>45391</v>
      </c>
      <c r="D119" s="1">
        <v>44575</v>
      </c>
      <c r="E119" t="s">
        <v>65</v>
      </c>
      <c r="F119" t="s">
        <v>51</v>
      </c>
      <c r="G119" t="s">
        <v>113</v>
      </c>
      <c r="H119" t="s">
        <v>79</v>
      </c>
      <c r="I119" t="s">
        <v>760</v>
      </c>
      <c r="J119" t="s">
        <v>38</v>
      </c>
      <c r="K119" t="s">
        <v>94</v>
      </c>
      <c r="L119" t="s">
        <v>761</v>
      </c>
      <c r="M119">
        <v>112.02</v>
      </c>
      <c r="N119">
        <v>37</v>
      </c>
      <c r="O119" t="s">
        <v>762</v>
      </c>
      <c r="P119" t="s">
        <v>108</v>
      </c>
      <c r="Q119" t="s">
        <v>295</v>
      </c>
      <c r="R119" t="s">
        <v>86</v>
      </c>
      <c r="S119" t="s">
        <v>73</v>
      </c>
      <c r="T119" t="s">
        <v>253</v>
      </c>
      <c r="U119">
        <v>1785</v>
      </c>
      <c r="V119">
        <v>118</v>
      </c>
      <c r="W119">
        <v>15</v>
      </c>
      <c r="X119">
        <v>1334.92</v>
      </c>
      <c r="Y119">
        <v>206.15</v>
      </c>
      <c r="Z119">
        <v>1541.07</v>
      </c>
      <c r="AA119" t="s">
        <v>62</v>
      </c>
      <c r="AB119">
        <v>0</v>
      </c>
      <c r="AC119">
        <v>97.83</v>
      </c>
      <c r="AD119">
        <v>91</v>
      </c>
      <c r="AE119">
        <v>54</v>
      </c>
    </row>
    <row r="120" spans="1:31" x14ac:dyDescent="0.25">
      <c r="A120" t="s">
        <v>763</v>
      </c>
      <c r="B120" t="s">
        <v>764</v>
      </c>
      <c r="C120" s="1">
        <v>44282</v>
      </c>
      <c r="D120" s="1">
        <v>44539</v>
      </c>
      <c r="E120" t="s">
        <v>65</v>
      </c>
      <c r="F120" t="s">
        <v>77</v>
      </c>
      <c r="G120" t="s">
        <v>102</v>
      </c>
      <c r="H120" t="s">
        <v>147</v>
      </c>
      <c r="I120" t="s">
        <v>765</v>
      </c>
      <c r="J120" t="s">
        <v>104</v>
      </c>
      <c r="K120" t="s">
        <v>181</v>
      </c>
      <c r="L120" t="s">
        <v>766</v>
      </c>
      <c r="M120">
        <v>347.75</v>
      </c>
      <c r="N120">
        <v>82</v>
      </c>
      <c r="O120" t="s">
        <v>607</v>
      </c>
      <c r="P120" t="s">
        <v>42</v>
      </c>
      <c r="Q120" t="s">
        <v>532</v>
      </c>
      <c r="R120" t="s">
        <v>60</v>
      </c>
      <c r="S120" t="s">
        <v>45</v>
      </c>
      <c r="T120" t="s">
        <v>61</v>
      </c>
      <c r="U120">
        <v>1340</v>
      </c>
      <c r="V120">
        <v>435</v>
      </c>
      <c r="W120">
        <v>1</v>
      </c>
      <c r="X120">
        <v>1468.85</v>
      </c>
      <c r="Y120">
        <v>48.82</v>
      </c>
      <c r="Z120">
        <v>1517.67</v>
      </c>
      <c r="AA120" t="s">
        <v>62</v>
      </c>
      <c r="AB120">
        <v>0</v>
      </c>
      <c r="AC120">
        <v>97.01</v>
      </c>
      <c r="AD120">
        <v>469</v>
      </c>
      <c r="AE120">
        <v>512</v>
      </c>
    </row>
    <row r="121" spans="1:31" x14ac:dyDescent="0.25">
      <c r="A121" t="s">
        <v>767</v>
      </c>
      <c r="B121" t="s">
        <v>768</v>
      </c>
      <c r="C121" s="1">
        <v>44507</v>
      </c>
      <c r="D121" s="1">
        <v>45191</v>
      </c>
      <c r="E121" t="s">
        <v>65</v>
      </c>
      <c r="F121" t="s">
        <v>146</v>
      </c>
      <c r="G121" t="s">
        <v>78</v>
      </c>
      <c r="H121" t="s">
        <v>53</v>
      </c>
      <c r="I121" t="s">
        <v>769</v>
      </c>
      <c r="J121" t="s">
        <v>38</v>
      </c>
      <c r="K121" t="s">
        <v>81</v>
      </c>
      <c r="L121" t="s">
        <v>770</v>
      </c>
      <c r="M121">
        <v>119.91</v>
      </c>
      <c r="N121">
        <v>96</v>
      </c>
      <c r="O121" t="s">
        <v>771</v>
      </c>
      <c r="P121" t="s">
        <v>108</v>
      </c>
      <c r="Q121" t="s">
        <v>245</v>
      </c>
      <c r="R121" t="s">
        <v>86</v>
      </c>
      <c r="S121" t="s">
        <v>87</v>
      </c>
      <c r="T121" t="s">
        <v>563</v>
      </c>
      <c r="U121">
        <v>541</v>
      </c>
      <c r="V121">
        <v>477</v>
      </c>
      <c r="W121">
        <v>17</v>
      </c>
      <c r="X121">
        <v>327.96</v>
      </c>
      <c r="Y121">
        <v>136.38</v>
      </c>
      <c r="Z121">
        <v>464.34</v>
      </c>
      <c r="AA121" t="s">
        <v>47</v>
      </c>
      <c r="AB121">
        <v>7</v>
      </c>
      <c r="AC121">
        <v>81.98</v>
      </c>
      <c r="AD121">
        <v>114</v>
      </c>
      <c r="AE121">
        <v>118</v>
      </c>
    </row>
    <row r="122" spans="1:31" x14ac:dyDescent="0.25">
      <c r="A122" t="s">
        <v>772</v>
      </c>
      <c r="B122" t="s">
        <v>773</v>
      </c>
      <c r="C122" s="1">
        <v>45128</v>
      </c>
      <c r="D122" s="1">
        <v>43964</v>
      </c>
      <c r="E122" t="s">
        <v>50</v>
      </c>
      <c r="F122" t="s">
        <v>34</v>
      </c>
      <c r="G122" t="s">
        <v>66</v>
      </c>
      <c r="H122" t="s">
        <v>114</v>
      </c>
      <c r="I122" t="s">
        <v>774</v>
      </c>
      <c r="J122" t="s">
        <v>104</v>
      </c>
      <c r="K122" t="s">
        <v>181</v>
      </c>
      <c r="L122" t="s">
        <v>775</v>
      </c>
      <c r="M122">
        <v>96.03</v>
      </c>
      <c r="N122">
        <v>30</v>
      </c>
      <c r="O122" t="s">
        <v>776</v>
      </c>
      <c r="P122" t="s">
        <v>108</v>
      </c>
      <c r="Q122" t="s">
        <v>517</v>
      </c>
      <c r="R122" t="s">
        <v>86</v>
      </c>
      <c r="S122" t="s">
        <v>87</v>
      </c>
      <c r="T122" t="s">
        <v>246</v>
      </c>
      <c r="U122">
        <v>1217</v>
      </c>
      <c r="V122">
        <v>275</v>
      </c>
      <c r="W122">
        <v>11</v>
      </c>
      <c r="X122">
        <v>1462.65</v>
      </c>
      <c r="Y122">
        <v>137.94999999999999</v>
      </c>
      <c r="Z122">
        <v>1600.6</v>
      </c>
      <c r="AA122" t="s">
        <v>62</v>
      </c>
      <c r="AB122">
        <v>0</v>
      </c>
      <c r="AC122">
        <v>85.19</v>
      </c>
      <c r="AD122">
        <v>132</v>
      </c>
      <c r="AE122">
        <v>117</v>
      </c>
    </row>
    <row r="123" spans="1:31" x14ac:dyDescent="0.25">
      <c r="A123" t="s">
        <v>777</v>
      </c>
      <c r="B123" t="s">
        <v>778</v>
      </c>
      <c r="C123" s="1">
        <v>44686</v>
      </c>
      <c r="D123" s="1">
        <v>45653</v>
      </c>
      <c r="E123" t="s">
        <v>65</v>
      </c>
      <c r="F123" t="s">
        <v>77</v>
      </c>
      <c r="G123" t="s">
        <v>78</v>
      </c>
      <c r="H123" t="s">
        <v>79</v>
      </c>
      <c r="I123" t="s">
        <v>779</v>
      </c>
      <c r="J123" t="s">
        <v>38</v>
      </c>
      <c r="K123" t="s">
        <v>39</v>
      </c>
      <c r="L123" t="s">
        <v>780</v>
      </c>
      <c r="M123">
        <v>74.5</v>
      </c>
      <c r="N123">
        <v>5</v>
      </c>
      <c r="O123" t="s">
        <v>781</v>
      </c>
      <c r="P123" t="s">
        <v>42</v>
      </c>
      <c r="Q123" t="s">
        <v>708</v>
      </c>
      <c r="R123" t="s">
        <v>44</v>
      </c>
      <c r="S123" t="s">
        <v>98</v>
      </c>
      <c r="T123" t="s">
        <v>511</v>
      </c>
      <c r="U123">
        <v>1121</v>
      </c>
      <c r="V123">
        <v>54</v>
      </c>
      <c r="W123">
        <v>15</v>
      </c>
      <c r="X123">
        <v>635.11</v>
      </c>
      <c r="Y123">
        <v>435.32</v>
      </c>
      <c r="Z123">
        <v>1070.43</v>
      </c>
      <c r="AA123" t="s">
        <v>62</v>
      </c>
      <c r="AB123">
        <v>0</v>
      </c>
      <c r="AC123">
        <v>73.02</v>
      </c>
      <c r="AD123">
        <v>431</v>
      </c>
      <c r="AE123">
        <v>438</v>
      </c>
    </row>
    <row r="124" spans="1:31" x14ac:dyDescent="0.25">
      <c r="A124" t="s">
        <v>782</v>
      </c>
      <c r="B124" t="s">
        <v>783</v>
      </c>
      <c r="C124" s="1">
        <v>44792</v>
      </c>
      <c r="D124" s="1">
        <v>45359</v>
      </c>
      <c r="E124" t="s">
        <v>50</v>
      </c>
      <c r="F124" t="s">
        <v>34</v>
      </c>
      <c r="G124" t="s">
        <v>92</v>
      </c>
      <c r="H124" t="s">
        <v>147</v>
      </c>
      <c r="I124" t="s">
        <v>784</v>
      </c>
      <c r="J124" t="s">
        <v>165</v>
      </c>
      <c r="K124" t="s">
        <v>202</v>
      </c>
      <c r="L124" t="s">
        <v>785</v>
      </c>
      <c r="M124">
        <v>449.82</v>
      </c>
      <c r="N124">
        <v>47</v>
      </c>
      <c r="O124" t="s">
        <v>786</v>
      </c>
      <c r="P124" t="s">
        <v>58</v>
      </c>
      <c r="Q124" t="s">
        <v>238</v>
      </c>
      <c r="R124" t="s">
        <v>60</v>
      </c>
      <c r="S124" t="s">
        <v>126</v>
      </c>
      <c r="T124" t="s">
        <v>321</v>
      </c>
      <c r="U124">
        <v>123</v>
      </c>
      <c r="V124">
        <v>138</v>
      </c>
      <c r="W124">
        <v>1</v>
      </c>
      <c r="X124">
        <v>1618.62</v>
      </c>
      <c r="Y124">
        <v>297.57</v>
      </c>
      <c r="Z124">
        <v>1916.19</v>
      </c>
      <c r="AA124" t="s">
        <v>62</v>
      </c>
      <c r="AB124">
        <v>0</v>
      </c>
      <c r="AC124">
        <v>81.95</v>
      </c>
      <c r="AD124">
        <v>59</v>
      </c>
      <c r="AE124">
        <v>14</v>
      </c>
    </row>
    <row r="125" spans="1:31" x14ac:dyDescent="0.25">
      <c r="A125" t="s">
        <v>787</v>
      </c>
      <c r="B125" t="s">
        <v>788</v>
      </c>
      <c r="C125" s="1">
        <v>44333</v>
      </c>
      <c r="D125" s="1">
        <v>43846</v>
      </c>
      <c r="E125" t="s">
        <v>50</v>
      </c>
      <c r="F125" t="s">
        <v>34</v>
      </c>
      <c r="G125" t="s">
        <v>35</v>
      </c>
      <c r="H125" t="s">
        <v>67</v>
      </c>
      <c r="I125" t="s">
        <v>54</v>
      </c>
      <c r="J125" t="s">
        <v>38</v>
      </c>
      <c r="K125" t="s">
        <v>55</v>
      </c>
      <c r="L125" t="s">
        <v>56</v>
      </c>
      <c r="M125">
        <v>290.57</v>
      </c>
      <c r="N125">
        <v>61</v>
      </c>
      <c r="O125" t="s">
        <v>789</v>
      </c>
      <c r="P125" t="s">
        <v>84</v>
      </c>
      <c r="Q125" t="s">
        <v>353</v>
      </c>
      <c r="R125" t="s">
        <v>60</v>
      </c>
      <c r="S125" t="s">
        <v>98</v>
      </c>
      <c r="T125" t="s">
        <v>99</v>
      </c>
      <c r="U125">
        <v>4275</v>
      </c>
      <c r="V125">
        <v>418</v>
      </c>
      <c r="W125">
        <v>27</v>
      </c>
      <c r="X125">
        <v>382.13</v>
      </c>
      <c r="Y125">
        <v>378.99</v>
      </c>
      <c r="Z125">
        <v>761.12</v>
      </c>
      <c r="AA125" t="s">
        <v>62</v>
      </c>
      <c r="AB125">
        <v>0</v>
      </c>
      <c r="AC125">
        <v>95.09</v>
      </c>
      <c r="AD125">
        <v>110</v>
      </c>
      <c r="AE125">
        <v>91</v>
      </c>
    </row>
    <row r="126" spans="1:31" x14ac:dyDescent="0.25">
      <c r="A126" t="s">
        <v>790</v>
      </c>
      <c r="B126" t="s">
        <v>791</v>
      </c>
      <c r="C126" s="1">
        <v>45554</v>
      </c>
      <c r="D126" s="1">
        <v>45428</v>
      </c>
      <c r="E126" t="s">
        <v>65</v>
      </c>
      <c r="F126" t="s">
        <v>146</v>
      </c>
      <c r="G126" t="s">
        <v>35</v>
      </c>
      <c r="H126" t="s">
        <v>147</v>
      </c>
      <c r="I126" t="s">
        <v>792</v>
      </c>
      <c r="J126" t="s">
        <v>38</v>
      </c>
      <c r="K126" t="s">
        <v>39</v>
      </c>
      <c r="L126" t="s">
        <v>793</v>
      </c>
      <c r="M126">
        <v>236.09</v>
      </c>
      <c r="N126">
        <v>91</v>
      </c>
      <c r="O126" t="s">
        <v>748</v>
      </c>
      <c r="P126" t="s">
        <v>58</v>
      </c>
      <c r="Q126" t="s">
        <v>59</v>
      </c>
      <c r="R126" t="s">
        <v>152</v>
      </c>
      <c r="S126" t="s">
        <v>73</v>
      </c>
      <c r="T126" t="s">
        <v>419</v>
      </c>
      <c r="U126">
        <v>4999</v>
      </c>
      <c r="V126">
        <v>453</v>
      </c>
      <c r="W126">
        <v>23</v>
      </c>
      <c r="X126">
        <v>1216.17</v>
      </c>
      <c r="Y126">
        <v>152.24</v>
      </c>
      <c r="Z126">
        <v>1368.41</v>
      </c>
      <c r="AA126" t="s">
        <v>62</v>
      </c>
      <c r="AB126">
        <v>0</v>
      </c>
      <c r="AC126">
        <v>88.91</v>
      </c>
      <c r="AD126">
        <v>157</v>
      </c>
      <c r="AE126">
        <v>135</v>
      </c>
    </row>
    <row r="127" spans="1:31" x14ac:dyDescent="0.25">
      <c r="A127" t="s">
        <v>794</v>
      </c>
      <c r="B127" t="s">
        <v>795</v>
      </c>
      <c r="C127" s="1">
        <v>45354</v>
      </c>
      <c r="D127" s="1">
        <v>44380</v>
      </c>
      <c r="E127" t="s">
        <v>33</v>
      </c>
      <c r="F127" t="s">
        <v>34</v>
      </c>
      <c r="G127" t="s">
        <v>92</v>
      </c>
      <c r="H127" t="s">
        <v>163</v>
      </c>
      <c r="I127" t="s">
        <v>796</v>
      </c>
      <c r="J127" t="s">
        <v>38</v>
      </c>
      <c r="K127" t="s">
        <v>55</v>
      </c>
      <c r="L127" t="s">
        <v>797</v>
      </c>
      <c r="M127">
        <v>109.91</v>
      </c>
      <c r="N127">
        <v>60</v>
      </c>
      <c r="O127" t="s">
        <v>798</v>
      </c>
      <c r="P127" t="s">
        <v>108</v>
      </c>
      <c r="Q127" t="s">
        <v>97</v>
      </c>
      <c r="R127" t="s">
        <v>152</v>
      </c>
      <c r="S127" t="s">
        <v>126</v>
      </c>
      <c r="T127" t="s">
        <v>563</v>
      </c>
      <c r="U127">
        <v>1759</v>
      </c>
      <c r="V127">
        <v>473</v>
      </c>
      <c r="W127">
        <v>12</v>
      </c>
      <c r="X127">
        <v>194.23</v>
      </c>
      <c r="Y127">
        <v>326.69</v>
      </c>
      <c r="Z127">
        <v>520.91999999999996</v>
      </c>
      <c r="AA127" t="s">
        <v>62</v>
      </c>
      <c r="AB127">
        <v>0</v>
      </c>
      <c r="AC127">
        <v>83.49</v>
      </c>
      <c r="AD127">
        <v>318</v>
      </c>
      <c r="AE127">
        <v>357</v>
      </c>
    </row>
    <row r="128" spans="1:31" x14ac:dyDescent="0.25">
      <c r="A128" t="s">
        <v>799</v>
      </c>
      <c r="B128" t="s">
        <v>800</v>
      </c>
      <c r="C128" s="1">
        <v>45222</v>
      </c>
      <c r="D128" s="1">
        <v>45021</v>
      </c>
      <c r="E128" t="s">
        <v>65</v>
      </c>
      <c r="F128" t="s">
        <v>34</v>
      </c>
      <c r="G128" t="s">
        <v>52</v>
      </c>
      <c r="H128" t="s">
        <v>36</v>
      </c>
      <c r="I128" t="s">
        <v>801</v>
      </c>
      <c r="J128" t="s">
        <v>38</v>
      </c>
      <c r="K128" t="s">
        <v>69</v>
      </c>
      <c r="L128" t="s">
        <v>802</v>
      </c>
      <c r="M128">
        <v>84</v>
      </c>
      <c r="N128">
        <v>82</v>
      </c>
      <c r="O128" t="s">
        <v>803</v>
      </c>
      <c r="P128" t="s">
        <v>141</v>
      </c>
      <c r="Q128" t="s">
        <v>252</v>
      </c>
      <c r="R128" t="s">
        <v>44</v>
      </c>
      <c r="S128" t="s">
        <v>98</v>
      </c>
      <c r="T128" t="s">
        <v>302</v>
      </c>
      <c r="U128">
        <v>4775</v>
      </c>
      <c r="V128">
        <v>161</v>
      </c>
      <c r="W128">
        <v>26</v>
      </c>
      <c r="X128">
        <v>626.12</v>
      </c>
      <c r="Y128">
        <v>457.98</v>
      </c>
      <c r="Z128">
        <v>1084.0999999999999</v>
      </c>
      <c r="AA128" t="s">
        <v>62</v>
      </c>
      <c r="AB128">
        <v>0</v>
      </c>
      <c r="AC128">
        <v>84.38</v>
      </c>
      <c r="AD128">
        <v>304</v>
      </c>
      <c r="AE128">
        <v>286</v>
      </c>
    </row>
    <row r="129" spans="1:31" x14ac:dyDescent="0.25">
      <c r="A129" t="s">
        <v>804</v>
      </c>
      <c r="B129" t="s">
        <v>805</v>
      </c>
      <c r="C129" s="1">
        <v>44919</v>
      </c>
      <c r="D129" s="1">
        <v>44969</v>
      </c>
      <c r="E129" t="s">
        <v>33</v>
      </c>
      <c r="F129" t="s">
        <v>146</v>
      </c>
      <c r="G129" t="s">
        <v>113</v>
      </c>
      <c r="H129" t="s">
        <v>79</v>
      </c>
      <c r="I129" t="s">
        <v>806</v>
      </c>
      <c r="J129" t="s">
        <v>38</v>
      </c>
      <c r="K129" t="s">
        <v>39</v>
      </c>
      <c r="L129" t="s">
        <v>807</v>
      </c>
      <c r="M129">
        <v>405.48</v>
      </c>
      <c r="N129">
        <v>68</v>
      </c>
      <c r="O129" t="s">
        <v>808</v>
      </c>
      <c r="P129" t="s">
        <v>141</v>
      </c>
      <c r="Q129" t="s">
        <v>184</v>
      </c>
      <c r="R129" t="s">
        <v>152</v>
      </c>
      <c r="S129" t="s">
        <v>73</v>
      </c>
      <c r="T129" t="s">
        <v>511</v>
      </c>
      <c r="U129">
        <v>4156</v>
      </c>
      <c r="V129">
        <v>196</v>
      </c>
      <c r="W129">
        <v>22</v>
      </c>
      <c r="X129">
        <v>1465.45</v>
      </c>
      <c r="Y129">
        <v>399.02</v>
      </c>
      <c r="Z129">
        <v>1864.47</v>
      </c>
      <c r="AA129" t="s">
        <v>62</v>
      </c>
      <c r="AB129">
        <v>0</v>
      </c>
      <c r="AC129">
        <v>93.84</v>
      </c>
      <c r="AD129">
        <v>179</v>
      </c>
      <c r="AE129">
        <v>221</v>
      </c>
    </row>
    <row r="130" spans="1:31" x14ac:dyDescent="0.25">
      <c r="A130" t="s">
        <v>809</v>
      </c>
      <c r="B130" t="s">
        <v>810</v>
      </c>
      <c r="C130" s="1">
        <v>43911</v>
      </c>
      <c r="D130" s="1">
        <v>44557</v>
      </c>
      <c r="E130" t="s">
        <v>50</v>
      </c>
      <c r="F130" t="s">
        <v>146</v>
      </c>
      <c r="G130" t="s">
        <v>113</v>
      </c>
      <c r="H130" t="s">
        <v>114</v>
      </c>
      <c r="I130" t="s">
        <v>37</v>
      </c>
      <c r="J130" t="s">
        <v>38</v>
      </c>
      <c r="K130" t="s">
        <v>39</v>
      </c>
      <c r="L130" t="s">
        <v>40</v>
      </c>
      <c r="M130">
        <v>174.3</v>
      </c>
      <c r="N130">
        <v>44</v>
      </c>
      <c r="O130" t="s">
        <v>811</v>
      </c>
      <c r="P130" t="s">
        <v>42</v>
      </c>
      <c r="Q130" t="s">
        <v>613</v>
      </c>
      <c r="R130" t="s">
        <v>152</v>
      </c>
      <c r="S130" t="s">
        <v>45</v>
      </c>
      <c r="T130" t="s">
        <v>812</v>
      </c>
      <c r="U130">
        <v>3843</v>
      </c>
      <c r="V130">
        <v>143</v>
      </c>
      <c r="W130">
        <v>12</v>
      </c>
      <c r="X130">
        <v>511.53</v>
      </c>
      <c r="Y130">
        <v>444.71</v>
      </c>
      <c r="Z130">
        <v>956.24</v>
      </c>
      <c r="AA130" t="s">
        <v>62</v>
      </c>
      <c r="AB130">
        <v>0</v>
      </c>
      <c r="AC130">
        <v>71.31</v>
      </c>
      <c r="AD130">
        <v>276</v>
      </c>
      <c r="AE130">
        <v>293</v>
      </c>
    </row>
    <row r="131" spans="1:31" x14ac:dyDescent="0.25">
      <c r="A131" t="s">
        <v>813</v>
      </c>
      <c r="B131" t="s">
        <v>814</v>
      </c>
      <c r="C131" s="1">
        <v>44761</v>
      </c>
      <c r="D131" s="1">
        <v>45191</v>
      </c>
      <c r="E131" t="s">
        <v>33</v>
      </c>
      <c r="F131" t="s">
        <v>77</v>
      </c>
      <c r="G131" t="s">
        <v>343</v>
      </c>
      <c r="H131" t="s">
        <v>114</v>
      </c>
      <c r="I131" t="s">
        <v>815</v>
      </c>
      <c r="J131" t="s">
        <v>38</v>
      </c>
      <c r="K131" t="s">
        <v>94</v>
      </c>
      <c r="L131" t="s">
        <v>816</v>
      </c>
      <c r="M131">
        <v>433.76</v>
      </c>
      <c r="N131">
        <v>77</v>
      </c>
      <c r="O131" t="s">
        <v>817</v>
      </c>
      <c r="P131" t="s">
        <v>141</v>
      </c>
      <c r="Q131" t="s">
        <v>544</v>
      </c>
      <c r="R131" t="s">
        <v>86</v>
      </c>
      <c r="S131" t="s">
        <v>87</v>
      </c>
      <c r="T131" t="s">
        <v>371</v>
      </c>
      <c r="U131">
        <v>2214</v>
      </c>
      <c r="V131">
        <v>80</v>
      </c>
      <c r="W131">
        <v>18</v>
      </c>
      <c r="X131">
        <v>124.32</v>
      </c>
      <c r="Y131">
        <v>181.16</v>
      </c>
      <c r="Z131">
        <v>305.48</v>
      </c>
      <c r="AA131" t="s">
        <v>62</v>
      </c>
      <c r="AB131">
        <v>0</v>
      </c>
      <c r="AC131">
        <v>87.48</v>
      </c>
      <c r="AD131">
        <v>397</v>
      </c>
      <c r="AE131">
        <v>363</v>
      </c>
    </row>
    <row r="132" spans="1:31" x14ac:dyDescent="0.25">
      <c r="A132" t="s">
        <v>818</v>
      </c>
      <c r="B132" t="s">
        <v>819</v>
      </c>
      <c r="C132" s="1">
        <v>45500</v>
      </c>
      <c r="D132" s="1">
        <v>43875</v>
      </c>
      <c r="E132" t="s">
        <v>65</v>
      </c>
      <c r="F132" t="s">
        <v>146</v>
      </c>
      <c r="G132" t="s">
        <v>113</v>
      </c>
      <c r="H132" t="s">
        <v>36</v>
      </c>
      <c r="I132" t="s">
        <v>820</v>
      </c>
      <c r="J132" t="s">
        <v>104</v>
      </c>
      <c r="K132" t="s">
        <v>105</v>
      </c>
      <c r="L132" t="s">
        <v>821</v>
      </c>
      <c r="M132">
        <v>162.28</v>
      </c>
      <c r="N132">
        <v>18</v>
      </c>
      <c r="O132" t="s">
        <v>822</v>
      </c>
      <c r="P132" t="s">
        <v>42</v>
      </c>
      <c r="Q132" t="s">
        <v>613</v>
      </c>
      <c r="R132" t="s">
        <v>44</v>
      </c>
      <c r="S132" t="s">
        <v>45</v>
      </c>
      <c r="T132" t="s">
        <v>654</v>
      </c>
      <c r="U132">
        <v>2264</v>
      </c>
      <c r="V132">
        <v>327</v>
      </c>
      <c r="W132">
        <v>8</v>
      </c>
      <c r="X132">
        <v>1549.07</v>
      </c>
      <c r="Y132">
        <v>362.81</v>
      </c>
      <c r="Z132">
        <v>1911.88</v>
      </c>
      <c r="AA132" t="s">
        <v>62</v>
      </c>
      <c r="AB132">
        <v>0</v>
      </c>
      <c r="AC132">
        <v>98.42</v>
      </c>
      <c r="AD132">
        <v>206</v>
      </c>
      <c r="AE132">
        <v>192</v>
      </c>
    </row>
    <row r="133" spans="1:31" x14ac:dyDescent="0.25">
      <c r="A133" t="s">
        <v>823</v>
      </c>
      <c r="B133" t="s">
        <v>824</v>
      </c>
      <c r="C133" s="1">
        <v>45475</v>
      </c>
      <c r="D133" s="1">
        <v>44238</v>
      </c>
      <c r="E133" t="s">
        <v>33</v>
      </c>
      <c r="F133" t="s">
        <v>77</v>
      </c>
      <c r="G133" t="s">
        <v>113</v>
      </c>
      <c r="H133" t="s">
        <v>67</v>
      </c>
      <c r="I133" t="s">
        <v>825</v>
      </c>
      <c r="J133" t="s">
        <v>104</v>
      </c>
      <c r="K133" t="s">
        <v>105</v>
      </c>
      <c r="L133" t="s">
        <v>826</v>
      </c>
      <c r="M133">
        <v>459.38</v>
      </c>
      <c r="N133">
        <v>76</v>
      </c>
      <c r="O133" t="s">
        <v>762</v>
      </c>
      <c r="P133" t="s">
        <v>108</v>
      </c>
      <c r="Q133" t="s">
        <v>169</v>
      </c>
      <c r="R133" t="s">
        <v>44</v>
      </c>
      <c r="S133" t="s">
        <v>98</v>
      </c>
      <c r="T133" t="s">
        <v>470</v>
      </c>
      <c r="U133">
        <v>3027</v>
      </c>
      <c r="V133">
        <v>260</v>
      </c>
      <c r="W133">
        <v>3</v>
      </c>
      <c r="X133">
        <v>1250.55</v>
      </c>
      <c r="Y133">
        <v>208.57</v>
      </c>
      <c r="Z133">
        <v>1459.12</v>
      </c>
      <c r="AA133" t="s">
        <v>62</v>
      </c>
      <c r="AB133">
        <v>0</v>
      </c>
      <c r="AC133">
        <v>75.989999999999995</v>
      </c>
      <c r="AD133">
        <v>289</v>
      </c>
      <c r="AE133">
        <v>281</v>
      </c>
    </row>
    <row r="134" spans="1:31" x14ac:dyDescent="0.25">
      <c r="A134" t="s">
        <v>827</v>
      </c>
      <c r="B134" t="s">
        <v>828</v>
      </c>
      <c r="C134" s="1">
        <v>45184</v>
      </c>
      <c r="D134" s="1">
        <v>44324</v>
      </c>
      <c r="E134" t="s">
        <v>50</v>
      </c>
      <c r="F134" t="s">
        <v>146</v>
      </c>
      <c r="G134" t="s">
        <v>78</v>
      </c>
      <c r="H134" t="s">
        <v>221</v>
      </c>
      <c r="I134" t="s">
        <v>103</v>
      </c>
      <c r="J134" t="s">
        <v>104</v>
      </c>
      <c r="K134" t="s">
        <v>105</v>
      </c>
      <c r="L134" t="s">
        <v>106</v>
      </c>
      <c r="M134">
        <v>412.6</v>
      </c>
      <c r="N134">
        <v>49</v>
      </c>
      <c r="O134" t="s">
        <v>829</v>
      </c>
      <c r="P134" t="s">
        <v>42</v>
      </c>
      <c r="Q134" t="s">
        <v>43</v>
      </c>
      <c r="R134" t="s">
        <v>152</v>
      </c>
      <c r="S134" t="s">
        <v>45</v>
      </c>
      <c r="T134" t="s">
        <v>470</v>
      </c>
      <c r="U134">
        <v>271</v>
      </c>
      <c r="V134">
        <v>273</v>
      </c>
      <c r="W134">
        <v>10</v>
      </c>
      <c r="X134">
        <v>1395.59</v>
      </c>
      <c r="Y134">
        <v>186.98</v>
      </c>
      <c r="Z134">
        <v>1582.57</v>
      </c>
      <c r="AA134" t="s">
        <v>62</v>
      </c>
      <c r="AB134">
        <v>0</v>
      </c>
      <c r="AC134">
        <v>85.41</v>
      </c>
      <c r="AD134">
        <v>245</v>
      </c>
      <c r="AE134">
        <v>221</v>
      </c>
    </row>
    <row r="135" spans="1:31" x14ac:dyDescent="0.25">
      <c r="A135" t="s">
        <v>830</v>
      </c>
      <c r="B135" t="s">
        <v>831</v>
      </c>
      <c r="C135" s="1">
        <v>44568</v>
      </c>
      <c r="D135" s="1">
        <v>44896</v>
      </c>
      <c r="E135" t="s">
        <v>50</v>
      </c>
      <c r="F135" t="s">
        <v>51</v>
      </c>
      <c r="G135" t="s">
        <v>343</v>
      </c>
      <c r="H135" t="s">
        <v>79</v>
      </c>
      <c r="I135" t="s">
        <v>311</v>
      </c>
      <c r="J135" t="s">
        <v>104</v>
      </c>
      <c r="K135" t="s">
        <v>181</v>
      </c>
      <c r="L135" t="s">
        <v>312</v>
      </c>
      <c r="M135">
        <v>375.05</v>
      </c>
      <c r="N135">
        <v>11</v>
      </c>
      <c r="O135" t="s">
        <v>832</v>
      </c>
      <c r="P135" t="s">
        <v>84</v>
      </c>
      <c r="Q135" t="s">
        <v>176</v>
      </c>
      <c r="R135" t="s">
        <v>44</v>
      </c>
      <c r="S135" t="s">
        <v>87</v>
      </c>
      <c r="T135" t="s">
        <v>644</v>
      </c>
      <c r="U135">
        <v>259</v>
      </c>
      <c r="V135">
        <v>493</v>
      </c>
      <c r="W135">
        <v>4</v>
      </c>
      <c r="X135">
        <v>735.12</v>
      </c>
      <c r="Y135">
        <v>149.18</v>
      </c>
      <c r="Z135">
        <v>884.3</v>
      </c>
      <c r="AA135" t="s">
        <v>62</v>
      </c>
      <c r="AB135">
        <v>0</v>
      </c>
      <c r="AC135">
        <v>89.08</v>
      </c>
      <c r="AD135">
        <v>90</v>
      </c>
      <c r="AE135">
        <v>66</v>
      </c>
    </row>
    <row r="136" spans="1:31" x14ac:dyDescent="0.25">
      <c r="A136" t="s">
        <v>833</v>
      </c>
      <c r="B136" t="s">
        <v>834</v>
      </c>
      <c r="C136" s="1">
        <v>44559</v>
      </c>
      <c r="D136" s="1">
        <v>43992</v>
      </c>
      <c r="E136" t="s">
        <v>50</v>
      </c>
      <c r="F136" t="s">
        <v>146</v>
      </c>
      <c r="G136" t="s">
        <v>66</v>
      </c>
      <c r="H136" t="s">
        <v>36</v>
      </c>
      <c r="I136" t="s">
        <v>835</v>
      </c>
      <c r="J136" t="s">
        <v>104</v>
      </c>
      <c r="K136" t="s">
        <v>554</v>
      </c>
      <c r="L136" t="s">
        <v>836</v>
      </c>
      <c r="M136">
        <v>370.23</v>
      </c>
      <c r="N136">
        <v>60</v>
      </c>
      <c r="O136" t="s">
        <v>837</v>
      </c>
      <c r="P136" t="s">
        <v>141</v>
      </c>
      <c r="Q136" t="s">
        <v>245</v>
      </c>
      <c r="R136" t="s">
        <v>44</v>
      </c>
      <c r="S136" t="s">
        <v>98</v>
      </c>
      <c r="T136" t="s">
        <v>143</v>
      </c>
      <c r="U136">
        <v>2944</v>
      </c>
      <c r="V136">
        <v>443</v>
      </c>
      <c r="W136">
        <v>7</v>
      </c>
      <c r="X136">
        <v>782.81</v>
      </c>
      <c r="Y136">
        <v>455.08</v>
      </c>
      <c r="Z136">
        <v>1237.8900000000001</v>
      </c>
      <c r="AA136" t="s">
        <v>62</v>
      </c>
      <c r="AB136">
        <v>0</v>
      </c>
      <c r="AC136">
        <v>95.67</v>
      </c>
      <c r="AD136">
        <v>443</v>
      </c>
      <c r="AE136">
        <v>490</v>
      </c>
    </row>
    <row r="137" spans="1:31" x14ac:dyDescent="0.25">
      <c r="A137" t="s">
        <v>838</v>
      </c>
      <c r="B137" t="s">
        <v>839</v>
      </c>
      <c r="C137" s="1">
        <v>44683</v>
      </c>
      <c r="D137" s="1">
        <v>43868</v>
      </c>
      <c r="E137" t="s">
        <v>65</v>
      </c>
      <c r="F137" t="s">
        <v>77</v>
      </c>
      <c r="G137" t="s">
        <v>66</v>
      </c>
      <c r="H137" t="s">
        <v>163</v>
      </c>
      <c r="I137" t="s">
        <v>840</v>
      </c>
      <c r="J137" t="s">
        <v>38</v>
      </c>
      <c r="K137" t="s">
        <v>138</v>
      </c>
      <c r="L137" t="s">
        <v>841</v>
      </c>
      <c r="M137">
        <v>160.32</v>
      </c>
      <c r="N137">
        <v>64</v>
      </c>
      <c r="O137" t="s">
        <v>842</v>
      </c>
      <c r="P137" t="s">
        <v>42</v>
      </c>
      <c r="Q137" t="s">
        <v>408</v>
      </c>
      <c r="R137" t="s">
        <v>60</v>
      </c>
      <c r="S137" t="s">
        <v>126</v>
      </c>
      <c r="T137" t="s">
        <v>426</v>
      </c>
      <c r="U137">
        <v>4730</v>
      </c>
      <c r="V137">
        <v>308</v>
      </c>
      <c r="W137">
        <v>7</v>
      </c>
      <c r="X137">
        <v>1498.63</v>
      </c>
      <c r="Y137">
        <v>346.9</v>
      </c>
      <c r="Z137">
        <v>1845.53</v>
      </c>
      <c r="AA137" t="s">
        <v>62</v>
      </c>
      <c r="AB137">
        <v>0</v>
      </c>
      <c r="AC137">
        <v>72.98</v>
      </c>
      <c r="AD137">
        <v>141</v>
      </c>
      <c r="AE137">
        <v>93</v>
      </c>
    </row>
    <row r="138" spans="1:31" x14ac:dyDescent="0.25">
      <c r="A138" t="s">
        <v>843</v>
      </c>
      <c r="B138" t="s">
        <v>844</v>
      </c>
      <c r="C138" s="1">
        <v>44677</v>
      </c>
      <c r="D138" s="1">
        <v>44181</v>
      </c>
      <c r="E138" t="s">
        <v>50</v>
      </c>
      <c r="F138" t="s">
        <v>34</v>
      </c>
      <c r="G138" t="s">
        <v>52</v>
      </c>
      <c r="H138" t="s">
        <v>114</v>
      </c>
      <c r="I138" t="s">
        <v>845</v>
      </c>
      <c r="J138" t="s">
        <v>38</v>
      </c>
      <c r="K138" t="s">
        <v>39</v>
      </c>
      <c r="L138" t="s">
        <v>846</v>
      </c>
      <c r="M138">
        <v>65.790000000000006</v>
      </c>
      <c r="N138">
        <v>75</v>
      </c>
      <c r="O138" t="s">
        <v>847</v>
      </c>
      <c r="P138" t="s">
        <v>58</v>
      </c>
      <c r="Q138" t="s">
        <v>464</v>
      </c>
      <c r="R138" t="s">
        <v>60</v>
      </c>
      <c r="S138" t="s">
        <v>98</v>
      </c>
      <c r="T138" t="s">
        <v>267</v>
      </c>
      <c r="U138">
        <v>125</v>
      </c>
      <c r="V138">
        <v>337</v>
      </c>
      <c r="W138">
        <v>25</v>
      </c>
      <c r="X138">
        <v>1257.97</v>
      </c>
      <c r="Y138">
        <v>119.74</v>
      </c>
      <c r="Z138">
        <v>1377.71</v>
      </c>
      <c r="AA138" t="s">
        <v>62</v>
      </c>
      <c r="AB138">
        <v>0</v>
      </c>
      <c r="AC138">
        <v>77.739999999999995</v>
      </c>
      <c r="AD138">
        <v>138</v>
      </c>
      <c r="AE138">
        <v>117</v>
      </c>
    </row>
    <row r="139" spans="1:31" x14ac:dyDescent="0.25">
      <c r="A139" t="s">
        <v>848</v>
      </c>
      <c r="B139" t="s">
        <v>849</v>
      </c>
      <c r="C139" s="1">
        <v>45628</v>
      </c>
      <c r="D139" s="1">
        <v>44154</v>
      </c>
      <c r="E139" t="s">
        <v>50</v>
      </c>
      <c r="F139" t="s">
        <v>91</v>
      </c>
      <c r="G139" t="s">
        <v>113</v>
      </c>
      <c r="H139" t="s">
        <v>114</v>
      </c>
      <c r="I139" t="s">
        <v>850</v>
      </c>
      <c r="J139" t="s">
        <v>38</v>
      </c>
      <c r="K139" t="s">
        <v>81</v>
      </c>
      <c r="L139" t="s">
        <v>851</v>
      </c>
      <c r="M139">
        <v>192.94</v>
      </c>
      <c r="N139">
        <v>20</v>
      </c>
      <c r="O139" t="s">
        <v>852</v>
      </c>
      <c r="P139" t="s">
        <v>58</v>
      </c>
      <c r="Q139" t="s">
        <v>191</v>
      </c>
      <c r="R139" t="s">
        <v>152</v>
      </c>
      <c r="S139" t="s">
        <v>87</v>
      </c>
      <c r="T139" t="s">
        <v>308</v>
      </c>
      <c r="U139">
        <v>1084</v>
      </c>
      <c r="V139">
        <v>90</v>
      </c>
      <c r="W139">
        <v>10</v>
      </c>
      <c r="X139">
        <v>1206.45</v>
      </c>
      <c r="Y139">
        <v>218.17</v>
      </c>
      <c r="Z139">
        <v>1424.62</v>
      </c>
      <c r="AA139" t="s">
        <v>62</v>
      </c>
      <c r="AB139">
        <v>0</v>
      </c>
      <c r="AC139">
        <v>75.22</v>
      </c>
      <c r="AD139">
        <v>440</v>
      </c>
      <c r="AE139">
        <v>478</v>
      </c>
    </row>
    <row r="140" spans="1:31" x14ac:dyDescent="0.25">
      <c r="A140" t="s">
        <v>853</v>
      </c>
      <c r="B140" t="s">
        <v>854</v>
      </c>
      <c r="C140" s="1">
        <v>45372</v>
      </c>
      <c r="D140" s="1">
        <v>45131</v>
      </c>
      <c r="E140" t="s">
        <v>65</v>
      </c>
      <c r="F140" t="s">
        <v>146</v>
      </c>
      <c r="G140" t="s">
        <v>343</v>
      </c>
      <c r="H140" t="s">
        <v>147</v>
      </c>
      <c r="I140" t="s">
        <v>566</v>
      </c>
      <c r="J140" t="s">
        <v>38</v>
      </c>
      <c r="K140" t="s">
        <v>81</v>
      </c>
      <c r="L140" t="s">
        <v>567</v>
      </c>
      <c r="M140">
        <v>427</v>
      </c>
      <c r="N140">
        <v>34</v>
      </c>
      <c r="O140" t="s">
        <v>855</v>
      </c>
      <c r="P140" t="s">
        <v>108</v>
      </c>
      <c r="Q140" t="s">
        <v>59</v>
      </c>
      <c r="R140" t="s">
        <v>44</v>
      </c>
      <c r="S140" t="s">
        <v>45</v>
      </c>
      <c r="T140" t="s">
        <v>259</v>
      </c>
      <c r="U140">
        <v>274</v>
      </c>
      <c r="V140">
        <v>386</v>
      </c>
      <c r="W140">
        <v>19</v>
      </c>
      <c r="X140">
        <v>606.52</v>
      </c>
      <c r="Y140">
        <v>196.42</v>
      </c>
      <c r="Z140">
        <v>802.93999999999994</v>
      </c>
      <c r="AA140" t="s">
        <v>62</v>
      </c>
      <c r="AB140">
        <v>0</v>
      </c>
      <c r="AC140">
        <v>76.52</v>
      </c>
      <c r="AD140">
        <v>61</v>
      </c>
      <c r="AE140">
        <v>83</v>
      </c>
    </row>
    <row r="141" spans="1:31" x14ac:dyDescent="0.25">
      <c r="A141" t="s">
        <v>856</v>
      </c>
      <c r="B141" t="s">
        <v>857</v>
      </c>
      <c r="C141" s="1">
        <v>44002</v>
      </c>
      <c r="D141" s="1">
        <v>43861</v>
      </c>
      <c r="E141" t="s">
        <v>65</v>
      </c>
      <c r="F141" t="s">
        <v>51</v>
      </c>
      <c r="G141" t="s">
        <v>92</v>
      </c>
      <c r="H141" t="s">
        <v>114</v>
      </c>
      <c r="I141" t="s">
        <v>858</v>
      </c>
      <c r="J141" t="s">
        <v>165</v>
      </c>
      <c r="K141" t="s">
        <v>166</v>
      </c>
      <c r="L141" t="s">
        <v>859</v>
      </c>
      <c r="M141">
        <v>43.02</v>
      </c>
      <c r="N141">
        <v>95</v>
      </c>
      <c r="O141" t="s">
        <v>621</v>
      </c>
      <c r="P141" t="s">
        <v>84</v>
      </c>
      <c r="Q141" t="s">
        <v>532</v>
      </c>
      <c r="R141" t="s">
        <v>86</v>
      </c>
      <c r="S141" t="s">
        <v>87</v>
      </c>
      <c r="T141" t="s">
        <v>308</v>
      </c>
      <c r="U141">
        <v>471</v>
      </c>
      <c r="V141">
        <v>439</v>
      </c>
      <c r="W141">
        <v>13</v>
      </c>
      <c r="X141">
        <v>1716.32</v>
      </c>
      <c r="Y141">
        <v>170.88</v>
      </c>
      <c r="Z141">
        <v>1887.2</v>
      </c>
      <c r="AA141" t="s">
        <v>62</v>
      </c>
      <c r="AB141">
        <v>0</v>
      </c>
      <c r="AC141">
        <v>99.86</v>
      </c>
      <c r="AD141">
        <v>98</v>
      </c>
      <c r="AE141">
        <v>110</v>
      </c>
    </row>
    <row r="142" spans="1:31" x14ac:dyDescent="0.25">
      <c r="A142" t="s">
        <v>860</v>
      </c>
      <c r="B142" t="s">
        <v>861</v>
      </c>
      <c r="C142" s="1">
        <v>44765</v>
      </c>
      <c r="D142" s="1">
        <v>44370</v>
      </c>
      <c r="E142" t="s">
        <v>50</v>
      </c>
      <c r="F142" t="s">
        <v>77</v>
      </c>
      <c r="G142" t="s">
        <v>52</v>
      </c>
      <c r="H142" t="s">
        <v>163</v>
      </c>
      <c r="I142" t="s">
        <v>270</v>
      </c>
      <c r="J142" t="s">
        <v>38</v>
      </c>
      <c r="K142" t="s">
        <v>263</v>
      </c>
      <c r="L142" t="s">
        <v>271</v>
      </c>
      <c r="M142">
        <v>188.39</v>
      </c>
      <c r="N142">
        <v>42</v>
      </c>
      <c r="O142" t="s">
        <v>862</v>
      </c>
      <c r="P142" t="s">
        <v>108</v>
      </c>
      <c r="Q142" t="s">
        <v>320</v>
      </c>
      <c r="R142" t="s">
        <v>152</v>
      </c>
      <c r="S142" t="s">
        <v>73</v>
      </c>
      <c r="T142" t="s">
        <v>99</v>
      </c>
      <c r="U142">
        <v>3381</v>
      </c>
      <c r="V142">
        <v>456</v>
      </c>
      <c r="W142">
        <v>26</v>
      </c>
      <c r="X142">
        <v>148.61000000000001</v>
      </c>
      <c r="Y142">
        <v>155.62</v>
      </c>
      <c r="Z142">
        <v>304.23</v>
      </c>
      <c r="AA142" t="s">
        <v>62</v>
      </c>
      <c r="AB142">
        <v>0</v>
      </c>
      <c r="AC142">
        <v>70.540000000000006</v>
      </c>
      <c r="AD142">
        <v>167</v>
      </c>
      <c r="AE142">
        <v>177</v>
      </c>
    </row>
    <row r="143" spans="1:31" x14ac:dyDescent="0.25">
      <c r="A143" t="s">
        <v>863</v>
      </c>
      <c r="B143" t="s">
        <v>864</v>
      </c>
      <c r="C143" s="1">
        <v>43955</v>
      </c>
      <c r="D143" s="1">
        <v>43879</v>
      </c>
      <c r="E143" t="s">
        <v>65</v>
      </c>
      <c r="F143" t="s">
        <v>34</v>
      </c>
      <c r="G143" t="s">
        <v>52</v>
      </c>
      <c r="H143" t="s">
        <v>114</v>
      </c>
      <c r="I143" t="s">
        <v>865</v>
      </c>
      <c r="J143" t="s">
        <v>38</v>
      </c>
      <c r="K143" t="s">
        <v>39</v>
      </c>
      <c r="L143" t="s">
        <v>866</v>
      </c>
      <c r="M143">
        <v>389.94</v>
      </c>
      <c r="N143">
        <v>22</v>
      </c>
      <c r="O143" t="s">
        <v>867</v>
      </c>
      <c r="P143" t="s">
        <v>141</v>
      </c>
      <c r="Q143" t="s">
        <v>176</v>
      </c>
      <c r="R143" t="s">
        <v>44</v>
      </c>
      <c r="S143" t="s">
        <v>73</v>
      </c>
      <c r="T143" t="s">
        <v>409</v>
      </c>
      <c r="U143">
        <v>204</v>
      </c>
      <c r="V143">
        <v>182</v>
      </c>
      <c r="W143">
        <v>25</v>
      </c>
      <c r="X143">
        <v>1817.67</v>
      </c>
      <c r="Y143">
        <v>458.36</v>
      </c>
      <c r="Z143">
        <v>2276.0300000000002</v>
      </c>
      <c r="AA143" t="s">
        <v>62</v>
      </c>
      <c r="AB143">
        <v>0</v>
      </c>
      <c r="AC143">
        <v>79.989999999999995</v>
      </c>
      <c r="AD143">
        <v>305</v>
      </c>
      <c r="AE143">
        <v>259</v>
      </c>
    </row>
    <row r="144" spans="1:31" x14ac:dyDescent="0.25">
      <c r="A144" t="s">
        <v>868</v>
      </c>
      <c r="B144" t="s">
        <v>869</v>
      </c>
      <c r="C144" s="1">
        <v>45242</v>
      </c>
      <c r="D144" s="1">
        <v>45637</v>
      </c>
      <c r="E144" t="s">
        <v>33</v>
      </c>
      <c r="F144" t="s">
        <v>91</v>
      </c>
      <c r="G144" t="s">
        <v>66</v>
      </c>
      <c r="H144" t="s">
        <v>163</v>
      </c>
      <c r="I144" t="s">
        <v>870</v>
      </c>
      <c r="J144" t="s">
        <v>38</v>
      </c>
      <c r="K144" t="s">
        <v>39</v>
      </c>
      <c r="L144" t="s">
        <v>871</v>
      </c>
      <c r="M144">
        <v>477.85</v>
      </c>
      <c r="N144">
        <v>55</v>
      </c>
      <c r="O144" t="s">
        <v>872</v>
      </c>
      <c r="P144" t="s">
        <v>108</v>
      </c>
      <c r="Q144" t="s">
        <v>408</v>
      </c>
      <c r="R144" t="s">
        <v>44</v>
      </c>
      <c r="S144" t="s">
        <v>98</v>
      </c>
      <c r="T144" t="s">
        <v>644</v>
      </c>
      <c r="U144">
        <v>1234</v>
      </c>
      <c r="V144">
        <v>317</v>
      </c>
      <c r="W144">
        <v>26</v>
      </c>
      <c r="X144">
        <v>1766.82</v>
      </c>
      <c r="Y144">
        <v>294.64</v>
      </c>
      <c r="Z144">
        <v>2061.46</v>
      </c>
      <c r="AA144" t="s">
        <v>62</v>
      </c>
      <c r="AB144">
        <v>0</v>
      </c>
      <c r="AC144">
        <v>98.62</v>
      </c>
      <c r="AD144">
        <v>265</v>
      </c>
      <c r="AE144">
        <v>262</v>
      </c>
    </row>
    <row r="145" spans="1:31" x14ac:dyDescent="0.25">
      <c r="A145" t="s">
        <v>873</v>
      </c>
      <c r="B145" t="s">
        <v>874</v>
      </c>
      <c r="C145" s="1">
        <v>45653</v>
      </c>
      <c r="D145" s="1">
        <v>44599</v>
      </c>
      <c r="E145" t="s">
        <v>65</v>
      </c>
      <c r="F145" t="s">
        <v>91</v>
      </c>
      <c r="G145" t="s">
        <v>92</v>
      </c>
      <c r="H145" t="s">
        <v>147</v>
      </c>
      <c r="I145" t="s">
        <v>875</v>
      </c>
      <c r="J145" t="s">
        <v>165</v>
      </c>
      <c r="K145" t="s">
        <v>202</v>
      </c>
      <c r="L145" t="s">
        <v>876</v>
      </c>
      <c r="M145">
        <v>270.39999999999998</v>
      </c>
      <c r="N145">
        <v>2</v>
      </c>
      <c r="O145" t="s">
        <v>877</v>
      </c>
      <c r="P145" t="s">
        <v>58</v>
      </c>
      <c r="Q145" t="s">
        <v>532</v>
      </c>
      <c r="R145" t="s">
        <v>44</v>
      </c>
      <c r="S145" t="s">
        <v>45</v>
      </c>
      <c r="T145" t="s">
        <v>334</v>
      </c>
      <c r="U145">
        <v>4892</v>
      </c>
      <c r="V145">
        <v>93</v>
      </c>
      <c r="W145">
        <v>15</v>
      </c>
      <c r="X145">
        <v>1441.47</v>
      </c>
      <c r="Y145">
        <v>468.77</v>
      </c>
      <c r="Z145">
        <v>1910.24</v>
      </c>
      <c r="AA145" t="s">
        <v>62</v>
      </c>
      <c r="AB145">
        <v>0</v>
      </c>
      <c r="AC145">
        <v>83.11</v>
      </c>
      <c r="AD145">
        <v>433</v>
      </c>
      <c r="AE145">
        <v>395</v>
      </c>
    </row>
    <row r="146" spans="1:31" x14ac:dyDescent="0.25">
      <c r="A146" t="s">
        <v>878</v>
      </c>
      <c r="B146" t="s">
        <v>879</v>
      </c>
      <c r="C146" s="1">
        <v>44880</v>
      </c>
      <c r="D146" s="1">
        <v>45020</v>
      </c>
      <c r="E146" t="s">
        <v>50</v>
      </c>
      <c r="F146" t="s">
        <v>91</v>
      </c>
      <c r="G146" t="s">
        <v>78</v>
      </c>
      <c r="H146" t="s">
        <v>79</v>
      </c>
      <c r="I146" t="s">
        <v>344</v>
      </c>
      <c r="J146" t="s">
        <v>104</v>
      </c>
      <c r="K146" t="s">
        <v>229</v>
      </c>
      <c r="L146" t="s">
        <v>345</v>
      </c>
      <c r="M146">
        <v>118.65</v>
      </c>
      <c r="N146">
        <v>24</v>
      </c>
      <c r="O146" t="s">
        <v>696</v>
      </c>
      <c r="P146" t="s">
        <v>108</v>
      </c>
      <c r="Q146" t="s">
        <v>252</v>
      </c>
      <c r="R146" t="s">
        <v>86</v>
      </c>
      <c r="S146" t="s">
        <v>73</v>
      </c>
      <c r="T146" t="s">
        <v>99</v>
      </c>
      <c r="U146">
        <v>2532</v>
      </c>
      <c r="V146">
        <v>228</v>
      </c>
      <c r="W146">
        <v>13</v>
      </c>
      <c r="X146">
        <v>1737.78</v>
      </c>
      <c r="Y146">
        <v>398.6</v>
      </c>
      <c r="Z146">
        <v>2136.38</v>
      </c>
      <c r="AA146" t="s">
        <v>62</v>
      </c>
      <c r="AB146">
        <v>0</v>
      </c>
      <c r="AC146">
        <v>93.95</v>
      </c>
      <c r="AD146">
        <v>185</v>
      </c>
      <c r="AE146">
        <v>212</v>
      </c>
    </row>
    <row r="147" spans="1:31" x14ac:dyDescent="0.25">
      <c r="A147" t="s">
        <v>880</v>
      </c>
      <c r="B147" t="s">
        <v>881</v>
      </c>
      <c r="C147" s="1">
        <v>45441</v>
      </c>
      <c r="D147" s="1">
        <v>45057</v>
      </c>
      <c r="E147" t="s">
        <v>50</v>
      </c>
      <c r="F147" t="s">
        <v>51</v>
      </c>
      <c r="G147" t="s">
        <v>92</v>
      </c>
      <c r="H147" t="s">
        <v>163</v>
      </c>
      <c r="I147" t="s">
        <v>882</v>
      </c>
      <c r="J147" t="s">
        <v>104</v>
      </c>
      <c r="K147" t="s">
        <v>554</v>
      </c>
      <c r="L147" t="s">
        <v>883</v>
      </c>
      <c r="M147">
        <v>104.63</v>
      </c>
      <c r="N147">
        <v>48</v>
      </c>
      <c r="O147" t="s">
        <v>884</v>
      </c>
      <c r="P147" t="s">
        <v>42</v>
      </c>
      <c r="Q147" t="s">
        <v>133</v>
      </c>
      <c r="R147" t="s">
        <v>44</v>
      </c>
      <c r="S147" t="s">
        <v>98</v>
      </c>
      <c r="T147" t="s">
        <v>511</v>
      </c>
      <c r="U147">
        <v>3923</v>
      </c>
      <c r="V147">
        <v>378</v>
      </c>
      <c r="W147">
        <v>7</v>
      </c>
      <c r="X147">
        <v>58.27</v>
      </c>
      <c r="Y147">
        <v>190.39</v>
      </c>
      <c r="Z147">
        <v>248.66</v>
      </c>
      <c r="AA147" t="s">
        <v>62</v>
      </c>
      <c r="AB147">
        <v>0</v>
      </c>
      <c r="AC147">
        <v>82.04</v>
      </c>
      <c r="AD147">
        <v>414</v>
      </c>
      <c r="AE147">
        <v>364</v>
      </c>
    </row>
    <row r="148" spans="1:31" x14ac:dyDescent="0.25">
      <c r="A148" t="s">
        <v>885</v>
      </c>
      <c r="B148" t="s">
        <v>886</v>
      </c>
      <c r="C148" s="1">
        <v>43896</v>
      </c>
      <c r="D148" s="1">
        <v>44590</v>
      </c>
      <c r="E148" t="s">
        <v>65</v>
      </c>
      <c r="F148" t="s">
        <v>91</v>
      </c>
      <c r="G148" t="s">
        <v>343</v>
      </c>
      <c r="H148" t="s">
        <v>114</v>
      </c>
      <c r="I148" t="s">
        <v>887</v>
      </c>
      <c r="J148" t="s">
        <v>38</v>
      </c>
      <c r="K148" t="s">
        <v>338</v>
      </c>
      <c r="L148" t="s">
        <v>888</v>
      </c>
      <c r="M148">
        <v>19.82</v>
      </c>
      <c r="N148">
        <v>73</v>
      </c>
      <c r="O148" t="s">
        <v>889</v>
      </c>
      <c r="P148" t="s">
        <v>84</v>
      </c>
      <c r="Q148" t="s">
        <v>333</v>
      </c>
      <c r="R148" t="s">
        <v>60</v>
      </c>
      <c r="S148" t="s">
        <v>98</v>
      </c>
      <c r="T148" t="s">
        <v>359</v>
      </c>
      <c r="U148">
        <v>3177</v>
      </c>
      <c r="V148">
        <v>53</v>
      </c>
      <c r="W148">
        <v>12</v>
      </c>
      <c r="X148">
        <v>1884.99</v>
      </c>
      <c r="Y148">
        <v>406.51</v>
      </c>
      <c r="Z148">
        <v>2291.5</v>
      </c>
      <c r="AA148" t="s">
        <v>62</v>
      </c>
      <c r="AB148">
        <v>0</v>
      </c>
      <c r="AC148">
        <v>84.2</v>
      </c>
      <c r="AD148">
        <v>135</v>
      </c>
      <c r="AE148">
        <v>137</v>
      </c>
    </row>
    <row r="149" spans="1:31" x14ac:dyDescent="0.25">
      <c r="A149" t="s">
        <v>890</v>
      </c>
      <c r="B149" t="s">
        <v>891</v>
      </c>
      <c r="C149" s="1">
        <v>44324</v>
      </c>
      <c r="D149" s="1">
        <v>44623</v>
      </c>
      <c r="E149" t="s">
        <v>65</v>
      </c>
      <c r="F149" t="s">
        <v>34</v>
      </c>
      <c r="G149" t="s">
        <v>52</v>
      </c>
      <c r="H149" t="s">
        <v>53</v>
      </c>
      <c r="I149" t="s">
        <v>815</v>
      </c>
      <c r="J149" t="s">
        <v>38</v>
      </c>
      <c r="K149" t="s">
        <v>94</v>
      </c>
      <c r="L149" t="s">
        <v>816</v>
      </c>
      <c r="M149">
        <v>281.52</v>
      </c>
      <c r="N149">
        <v>73</v>
      </c>
      <c r="O149" t="s">
        <v>388</v>
      </c>
      <c r="P149" t="s">
        <v>141</v>
      </c>
      <c r="Q149" t="s">
        <v>205</v>
      </c>
      <c r="R149" t="s">
        <v>44</v>
      </c>
      <c r="S149" t="s">
        <v>73</v>
      </c>
      <c r="T149" t="s">
        <v>347</v>
      </c>
      <c r="U149">
        <v>1547</v>
      </c>
      <c r="V149">
        <v>143</v>
      </c>
      <c r="W149">
        <v>5</v>
      </c>
      <c r="X149">
        <v>638.04</v>
      </c>
      <c r="Y149">
        <v>474.56</v>
      </c>
      <c r="Z149">
        <v>1112.5999999999999</v>
      </c>
      <c r="AA149" t="s">
        <v>62</v>
      </c>
      <c r="AB149">
        <v>0</v>
      </c>
      <c r="AC149">
        <v>85.54</v>
      </c>
      <c r="AD149">
        <v>310</v>
      </c>
      <c r="AE149">
        <v>333</v>
      </c>
    </row>
    <row r="150" spans="1:31" x14ac:dyDescent="0.25">
      <c r="A150" t="s">
        <v>892</v>
      </c>
      <c r="B150" t="s">
        <v>893</v>
      </c>
      <c r="C150" s="1">
        <v>45303</v>
      </c>
      <c r="D150" s="1">
        <v>44890</v>
      </c>
      <c r="E150" t="s">
        <v>65</v>
      </c>
      <c r="F150" t="s">
        <v>34</v>
      </c>
      <c r="G150" t="s">
        <v>92</v>
      </c>
      <c r="H150" t="s">
        <v>114</v>
      </c>
      <c r="I150" t="s">
        <v>894</v>
      </c>
      <c r="J150" t="s">
        <v>38</v>
      </c>
      <c r="K150" t="s">
        <v>55</v>
      </c>
      <c r="L150" t="s">
        <v>895</v>
      </c>
      <c r="M150">
        <v>272.89999999999998</v>
      </c>
      <c r="N150">
        <v>40</v>
      </c>
      <c r="O150" t="s">
        <v>896</v>
      </c>
      <c r="P150" t="s">
        <v>141</v>
      </c>
      <c r="Q150" t="s">
        <v>85</v>
      </c>
      <c r="R150" t="s">
        <v>86</v>
      </c>
      <c r="S150" t="s">
        <v>45</v>
      </c>
      <c r="T150" t="s">
        <v>88</v>
      </c>
      <c r="U150">
        <v>4885</v>
      </c>
      <c r="V150">
        <v>93</v>
      </c>
      <c r="W150">
        <v>23</v>
      </c>
      <c r="X150">
        <v>1901.1</v>
      </c>
      <c r="Y150">
        <v>422.31</v>
      </c>
      <c r="Z150">
        <v>2323.41</v>
      </c>
      <c r="AA150" t="s">
        <v>62</v>
      </c>
      <c r="AB150">
        <v>0</v>
      </c>
      <c r="AC150">
        <v>92.05</v>
      </c>
      <c r="AD150">
        <v>479</v>
      </c>
      <c r="AE150">
        <v>502</v>
      </c>
    </row>
    <row r="151" spans="1:31" x14ac:dyDescent="0.25">
      <c r="A151" t="s">
        <v>897</v>
      </c>
      <c r="B151" t="s">
        <v>898</v>
      </c>
      <c r="C151" s="1">
        <v>44684</v>
      </c>
      <c r="D151" s="1">
        <v>45067</v>
      </c>
      <c r="E151" t="s">
        <v>65</v>
      </c>
      <c r="F151" t="s">
        <v>91</v>
      </c>
      <c r="G151" t="s">
        <v>78</v>
      </c>
      <c r="H151" t="s">
        <v>163</v>
      </c>
      <c r="I151" t="s">
        <v>616</v>
      </c>
      <c r="J151" t="s">
        <v>38</v>
      </c>
      <c r="K151" t="s">
        <v>55</v>
      </c>
      <c r="L151" t="s">
        <v>617</v>
      </c>
      <c r="M151">
        <v>376.25</v>
      </c>
      <c r="N151">
        <v>92</v>
      </c>
      <c r="O151" t="s">
        <v>587</v>
      </c>
      <c r="P151" t="s">
        <v>108</v>
      </c>
      <c r="Q151" t="s">
        <v>708</v>
      </c>
      <c r="R151" t="s">
        <v>86</v>
      </c>
      <c r="S151" t="s">
        <v>98</v>
      </c>
      <c r="T151" t="s">
        <v>654</v>
      </c>
      <c r="U151">
        <v>1362</v>
      </c>
      <c r="V151">
        <v>57</v>
      </c>
      <c r="W151">
        <v>19</v>
      </c>
      <c r="X151">
        <v>220.9</v>
      </c>
      <c r="Y151">
        <v>221.26</v>
      </c>
      <c r="Z151">
        <v>442.16</v>
      </c>
      <c r="AA151" t="s">
        <v>62</v>
      </c>
      <c r="AB151">
        <v>0</v>
      </c>
      <c r="AC151">
        <v>74.87</v>
      </c>
      <c r="AD151">
        <v>269</v>
      </c>
      <c r="AE151">
        <v>248</v>
      </c>
    </row>
    <row r="152" spans="1:31" x14ac:dyDescent="0.25">
      <c r="A152" t="s">
        <v>899</v>
      </c>
      <c r="B152" t="s">
        <v>900</v>
      </c>
      <c r="C152" s="1">
        <v>43965</v>
      </c>
      <c r="D152" s="1">
        <v>44447</v>
      </c>
      <c r="E152" t="s">
        <v>50</v>
      </c>
      <c r="F152" t="s">
        <v>77</v>
      </c>
      <c r="G152" t="s">
        <v>78</v>
      </c>
      <c r="H152" t="s">
        <v>36</v>
      </c>
      <c r="I152" t="s">
        <v>901</v>
      </c>
      <c r="J152" t="s">
        <v>38</v>
      </c>
      <c r="K152" t="s">
        <v>69</v>
      </c>
      <c r="L152" t="s">
        <v>902</v>
      </c>
      <c r="M152">
        <v>109.06</v>
      </c>
      <c r="N152">
        <v>36</v>
      </c>
      <c r="O152" t="s">
        <v>903</v>
      </c>
      <c r="P152" t="s">
        <v>42</v>
      </c>
      <c r="Q152" t="s">
        <v>59</v>
      </c>
      <c r="R152" t="s">
        <v>44</v>
      </c>
      <c r="S152" t="s">
        <v>126</v>
      </c>
      <c r="T152" t="s">
        <v>198</v>
      </c>
      <c r="U152">
        <v>1921</v>
      </c>
      <c r="V152">
        <v>89</v>
      </c>
      <c r="W152">
        <v>16</v>
      </c>
      <c r="X152">
        <v>1125.45</v>
      </c>
      <c r="Y152">
        <v>296.18</v>
      </c>
      <c r="Z152">
        <v>1421.63</v>
      </c>
      <c r="AA152" t="s">
        <v>62</v>
      </c>
      <c r="AB152">
        <v>0</v>
      </c>
      <c r="AC152">
        <v>70.88</v>
      </c>
      <c r="AD152">
        <v>100</v>
      </c>
      <c r="AE152">
        <v>112</v>
      </c>
    </row>
    <row r="153" spans="1:31" x14ac:dyDescent="0.25">
      <c r="A153" t="s">
        <v>904</v>
      </c>
      <c r="B153" t="s">
        <v>905</v>
      </c>
      <c r="C153" s="1">
        <v>44133</v>
      </c>
      <c r="D153" s="1">
        <v>43882</v>
      </c>
      <c r="E153" t="s">
        <v>65</v>
      </c>
      <c r="F153" t="s">
        <v>146</v>
      </c>
      <c r="G153" t="s">
        <v>343</v>
      </c>
      <c r="H153" t="s">
        <v>163</v>
      </c>
      <c r="I153" t="s">
        <v>906</v>
      </c>
      <c r="J153" t="s">
        <v>38</v>
      </c>
      <c r="K153" t="s">
        <v>81</v>
      </c>
      <c r="L153" t="s">
        <v>907</v>
      </c>
      <c r="M153">
        <v>367.78</v>
      </c>
      <c r="N153">
        <v>87</v>
      </c>
      <c r="O153" t="s">
        <v>908</v>
      </c>
      <c r="P153" t="s">
        <v>108</v>
      </c>
      <c r="Q153" t="s">
        <v>909</v>
      </c>
      <c r="R153" t="s">
        <v>44</v>
      </c>
      <c r="S153" t="s">
        <v>126</v>
      </c>
      <c r="T153" t="s">
        <v>910</v>
      </c>
      <c r="U153">
        <v>504</v>
      </c>
      <c r="V153">
        <v>483</v>
      </c>
      <c r="W153">
        <v>6</v>
      </c>
      <c r="X153">
        <v>825.61</v>
      </c>
      <c r="Y153">
        <v>423.33</v>
      </c>
      <c r="Z153">
        <v>1248.94</v>
      </c>
      <c r="AA153" t="s">
        <v>47</v>
      </c>
      <c r="AB153">
        <v>9</v>
      </c>
      <c r="AC153">
        <v>73.63</v>
      </c>
      <c r="AD153">
        <v>181</v>
      </c>
      <c r="AE153">
        <v>151</v>
      </c>
    </row>
    <row r="154" spans="1:31" x14ac:dyDescent="0.25">
      <c r="A154" t="s">
        <v>911</v>
      </c>
      <c r="B154" t="s">
        <v>912</v>
      </c>
      <c r="C154" s="1">
        <v>44654</v>
      </c>
      <c r="D154" s="1">
        <v>45450</v>
      </c>
      <c r="E154" t="s">
        <v>65</v>
      </c>
      <c r="F154" t="s">
        <v>34</v>
      </c>
      <c r="G154" t="s">
        <v>343</v>
      </c>
      <c r="H154" t="s">
        <v>221</v>
      </c>
      <c r="I154" t="s">
        <v>913</v>
      </c>
      <c r="J154" t="s">
        <v>165</v>
      </c>
      <c r="K154" t="s">
        <v>166</v>
      </c>
      <c r="L154" t="s">
        <v>914</v>
      </c>
      <c r="M154">
        <v>397.33</v>
      </c>
      <c r="N154">
        <v>11</v>
      </c>
      <c r="O154" t="s">
        <v>915</v>
      </c>
      <c r="P154" t="s">
        <v>42</v>
      </c>
      <c r="Q154" t="s">
        <v>205</v>
      </c>
      <c r="R154" t="s">
        <v>86</v>
      </c>
      <c r="S154" t="s">
        <v>73</v>
      </c>
      <c r="T154" t="s">
        <v>916</v>
      </c>
      <c r="U154">
        <v>4998</v>
      </c>
      <c r="V154">
        <v>96</v>
      </c>
      <c r="W154">
        <v>14</v>
      </c>
      <c r="X154">
        <v>1520.25</v>
      </c>
      <c r="Y154">
        <v>434.54</v>
      </c>
      <c r="Z154">
        <v>1954.79</v>
      </c>
      <c r="AA154" t="s">
        <v>62</v>
      </c>
      <c r="AB154">
        <v>0</v>
      </c>
      <c r="AC154">
        <v>85.45</v>
      </c>
      <c r="AD154">
        <v>487</v>
      </c>
      <c r="AE154">
        <v>481</v>
      </c>
    </row>
    <row r="155" spans="1:31" x14ac:dyDescent="0.25">
      <c r="A155" t="s">
        <v>917</v>
      </c>
      <c r="B155" t="s">
        <v>918</v>
      </c>
      <c r="C155" s="1">
        <v>44857</v>
      </c>
      <c r="D155" s="1">
        <v>45278</v>
      </c>
      <c r="E155" t="s">
        <v>33</v>
      </c>
      <c r="F155" t="s">
        <v>77</v>
      </c>
      <c r="G155" t="s">
        <v>52</v>
      </c>
      <c r="H155" t="s">
        <v>114</v>
      </c>
      <c r="I155" t="s">
        <v>919</v>
      </c>
      <c r="J155" t="s">
        <v>38</v>
      </c>
      <c r="K155" t="s">
        <v>94</v>
      </c>
      <c r="L155" t="s">
        <v>920</v>
      </c>
      <c r="M155">
        <v>425.45</v>
      </c>
      <c r="N155">
        <v>63</v>
      </c>
      <c r="O155" t="s">
        <v>921</v>
      </c>
      <c r="P155" t="s">
        <v>42</v>
      </c>
      <c r="Q155" t="s">
        <v>85</v>
      </c>
      <c r="R155" t="s">
        <v>152</v>
      </c>
      <c r="S155" t="s">
        <v>126</v>
      </c>
      <c r="T155" t="s">
        <v>922</v>
      </c>
      <c r="U155">
        <v>1367</v>
      </c>
      <c r="V155">
        <v>484</v>
      </c>
      <c r="W155">
        <v>1</v>
      </c>
      <c r="X155">
        <v>811.9</v>
      </c>
      <c r="Y155">
        <v>313.57</v>
      </c>
      <c r="Z155">
        <v>1125.47</v>
      </c>
      <c r="AA155" t="s">
        <v>62</v>
      </c>
      <c r="AB155">
        <v>0</v>
      </c>
      <c r="AC155">
        <v>78.47</v>
      </c>
      <c r="AD155">
        <v>127</v>
      </c>
      <c r="AE155">
        <v>162</v>
      </c>
    </row>
    <row r="156" spans="1:31" x14ac:dyDescent="0.25">
      <c r="A156" t="s">
        <v>923</v>
      </c>
      <c r="B156" t="s">
        <v>924</v>
      </c>
      <c r="C156" s="1">
        <v>44056</v>
      </c>
      <c r="D156" s="1">
        <v>44843</v>
      </c>
      <c r="E156" t="s">
        <v>65</v>
      </c>
      <c r="F156" t="s">
        <v>77</v>
      </c>
      <c r="G156" t="s">
        <v>78</v>
      </c>
      <c r="H156" t="s">
        <v>79</v>
      </c>
      <c r="I156" t="s">
        <v>925</v>
      </c>
      <c r="J156" t="s">
        <v>38</v>
      </c>
      <c r="K156" t="s">
        <v>81</v>
      </c>
      <c r="L156" t="s">
        <v>926</v>
      </c>
      <c r="M156">
        <v>11.06</v>
      </c>
      <c r="N156">
        <v>69</v>
      </c>
      <c r="O156" t="s">
        <v>431</v>
      </c>
      <c r="P156" t="s">
        <v>58</v>
      </c>
      <c r="Q156" t="s">
        <v>389</v>
      </c>
      <c r="R156" t="s">
        <v>152</v>
      </c>
      <c r="S156" t="s">
        <v>87</v>
      </c>
      <c r="T156" t="s">
        <v>359</v>
      </c>
      <c r="U156">
        <v>1723</v>
      </c>
      <c r="V156">
        <v>67</v>
      </c>
      <c r="W156">
        <v>19</v>
      </c>
      <c r="X156">
        <v>473.9</v>
      </c>
      <c r="Y156">
        <v>205.95</v>
      </c>
      <c r="Z156">
        <v>679.84999999999991</v>
      </c>
      <c r="AA156" t="s">
        <v>62</v>
      </c>
      <c r="AB156">
        <v>0</v>
      </c>
      <c r="AC156">
        <v>88.11</v>
      </c>
      <c r="AD156">
        <v>156</v>
      </c>
      <c r="AE156">
        <v>173</v>
      </c>
    </row>
    <row r="157" spans="1:31" x14ac:dyDescent="0.25">
      <c r="A157" t="s">
        <v>927</v>
      </c>
      <c r="B157" t="s">
        <v>928</v>
      </c>
      <c r="C157" s="1">
        <v>44440</v>
      </c>
      <c r="D157" s="1">
        <v>45624</v>
      </c>
      <c r="E157" t="s">
        <v>50</v>
      </c>
      <c r="F157" t="s">
        <v>91</v>
      </c>
      <c r="G157" t="s">
        <v>78</v>
      </c>
      <c r="H157" t="s">
        <v>36</v>
      </c>
      <c r="I157" t="s">
        <v>929</v>
      </c>
      <c r="J157" t="s">
        <v>38</v>
      </c>
      <c r="K157" t="s">
        <v>94</v>
      </c>
      <c r="L157" t="s">
        <v>930</v>
      </c>
      <c r="M157">
        <v>227.9</v>
      </c>
      <c r="N157">
        <v>67</v>
      </c>
      <c r="O157" t="s">
        <v>931</v>
      </c>
      <c r="P157" t="s">
        <v>141</v>
      </c>
      <c r="Q157" t="s">
        <v>295</v>
      </c>
      <c r="R157" t="s">
        <v>152</v>
      </c>
      <c r="S157" t="s">
        <v>98</v>
      </c>
      <c r="T157" t="s">
        <v>246</v>
      </c>
      <c r="U157">
        <v>3821</v>
      </c>
      <c r="V157">
        <v>462</v>
      </c>
      <c r="W157">
        <v>4</v>
      </c>
      <c r="X157">
        <v>542.05999999999995</v>
      </c>
      <c r="Y157">
        <v>471.5</v>
      </c>
      <c r="Z157">
        <v>1013.56</v>
      </c>
      <c r="AA157" t="s">
        <v>62</v>
      </c>
      <c r="AB157">
        <v>0</v>
      </c>
      <c r="AC157">
        <v>86.41</v>
      </c>
      <c r="AD157">
        <v>118</v>
      </c>
      <c r="AE157">
        <v>162</v>
      </c>
    </row>
    <row r="158" spans="1:31" x14ac:dyDescent="0.25">
      <c r="A158" t="s">
        <v>932</v>
      </c>
      <c r="B158" t="s">
        <v>933</v>
      </c>
      <c r="C158" s="1">
        <v>43875</v>
      </c>
      <c r="D158" s="1">
        <v>43982</v>
      </c>
      <c r="E158" t="s">
        <v>50</v>
      </c>
      <c r="F158" t="s">
        <v>91</v>
      </c>
      <c r="G158" t="s">
        <v>343</v>
      </c>
      <c r="H158" t="s">
        <v>36</v>
      </c>
      <c r="I158" t="s">
        <v>934</v>
      </c>
      <c r="J158" t="s">
        <v>38</v>
      </c>
      <c r="K158" t="s">
        <v>55</v>
      </c>
      <c r="L158" t="s">
        <v>935</v>
      </c>
      <c r="M158">
        <v>267.14999999999998</v>
      </c>
      <c r="N158">
        <v>54</v>
      </c>
      <c r="O158" t="s">
        <v>832</v>
      </c>
      <c r="P158" t="s">
        <v>84</v>
      </c>
      <c r="Q158" t="s">
        <v>532</v>
      </c>
      <c r="R158" t="s">
        <v>86</v>
      </c>
      <c r="S158" t="s">
        <v>126</v>
      </c>
      <c r="T158" t="s">
        <v>225</v>
      </c>
      <c r="U158">
        <v>1056</v>
      </c>
      <c r="V158">
        <v>272</v>
      </c>
      <c r="W158">
        <v>2</v>
      </c>
      <c r="X158">
        <v>1422.62</v>
      </c>
      <c r="Y158">
        <v>328.64</v>
      </c>
      <c r="Z158">
        <v>1751.26</v>
      </c>
      <c r="AA158" t="s">
        <v>62</v>
      </c>
      <c r="AB158">
        <v>0</v>
      </c>
      <c r="AC158">
        <v>77.41</v>
      </c>
      <c r="AD158">
        <v>79</v>
      </c>
      <c r="AE158">
        <v>105</v>
      </c>
    </row>
    <row r="159" spans="1:31" x14ac:dyDescent="0.25">
      <c r="A159" t="s">
        <v>936</v>
      </c>
      <c r="B159" t="s">
        <v>937</v>
      </c>
      <c r="C159" s="1">
        <v>44970</v>
      </c>
      <c r="D159" s="1">
        <v>44443</v>
      </c>
      <c r="E159" t="s">
        <v>65</v>
      </c>
      <c r="F159" t="s">
        <v>51</v>
      </c>
      <c r="G159" t="s">
        <v>92</v>
      </c>
      <c r="H159" t="s">
        <v>53</v>
      </c>
      <c r="I159" t="s">
        <v>938</v>
      </c>
      <c r="J159" t="s">
        <v>38</v>
      </c>
      <c r="K159" t="s">
        <v>39</v>
      </c>
      <c r="L159" t="s">
        <v>939</v>
      </c>
      <c r="M159">
        <v>475.2</v>
      </c>
      <c r="N159">
        <v>45</v>
      </c>
      <c r="O159" t="s">
        <v>940</v>
      </c>
      <c r="P159" t="s">
        <v>58</v>
      </c>
      <c r="Q159" t="s">
        <v>389</v>
      </c>
      <c r="R159" t="s">
        <v>152</v>
      </c>
      <c r="S159" t="s">
        <v>126</v>
      </c>
      <c r="T159" t="s">
        <v>638</v>
      </c>
      <c r="U159">
        <v>4548</v>
      </c>
      <c r="V159">
        <v>188</v>
      </c>
      <c r="W159">
        <v>6</v>
      </c>
      <c r="X159">
        <v>645.46</v>
      </c>
      <c r="Y159">
        <v>175.29</v>
      </c>
      <c r="Z159">
        <v>820.75</v>
      </c>
      <c r="AA159" t="s">
        <v>62</v>
      </c>
      <c r="AB159">
        <v>0</v>
      </c>
      <c r="AC159">
        <v>87.62</v>
      </c>
      <c r="AD159">
        <v>386</v>
      </c>
      <c r="AE159">
        <v>386</v>
      </c>
    </row>
    <row r="160" spans="1:31" x14ac:dyDescent="0.25">
      <c r="A160" t="s">
        <v>941</v>
      </c>
      <c r="B160" t="s">
        <v>942</v>
      </c>
      <c r="C160" s="1">
        <v>45634</v>
      </c>
      <c r="D160" s="1">
        <v>45638</v>
      </c>
      <c r="E160" t="s">
        <v>33</v>
      </c>
      <c r="F160" t="s">
        <v>51</v>
      </c>
      <c r="G160" t="s">
        <v>343</v>
      </c>
      <c r="H160" t="s">
        <v>221</v>
      </c>
      <c r="I160" t="s">
        <v>943</v>
      </c>
      <c r="J160" t="s">
        <v>38</v>
      </c>
      <c r="K160" t="s">
        <v>735</v>
      </c>
      <c r="L160" t="s">
        <v>944</v>
      </c>
      <c r="M160">
        <v>13.71</v>
      </c>
      <c r="N160">
        <v>84</v>
      </c>
      <c r="O160" t="s">
        <v>945</v>
      </c>
      <c r="P160" t="s">
        <v>84</v>
      </c>
      <c r="Q160" t="s">
        <v>346</v>
      </c>
      <c r="R160" t="s">
        <v>152</v>
      </c>
      <c r="S160" t="s">
        <v>45</v>
      </c>
      <c r="T160" t="s">
        <v>246</v>
      </c>
      <c r="U160">
        <v>1288</v>
      </c>
      <c r="V160">
        <v>63</v>
      </c>
      <c r="W160">
        <v>18</v>
      </c>
      <c r="X160">
        <v>1513.45</v>
      </c>
      <c r="Y160">
        <v>29.72</v>
      </c>
      <c r="Z160">
        <v>1543.17</v>
      </c>
      <c r="AA160" t="s">
        <v>62</v>
      </c>
      <c r="AB160">
        <v>0</v>
      </c>
      <c r="AC160">
        <v>86.61</v>
      </c>
      <c r="AD160">
        <v>106</v>
      </c>
      <c r="AE160">
        <v>147</v>
      </c>
    </row>
    <row r="161" spans="1:31" x14ac:dyDescent="0.25">
      <c r="A161" t="s">
        <v>946</v>
      </c>
      <c r="B161" t="s">
        <v>947</v>
      </c>
      <c r="C161" s="1">
        <v>45004</v>
      </c>
      <c r="D161" s="1">
        <v>43939</v>
      </c>
      <c r="E161" t="s">
        <v>65</v>
      </c>
      <c r="F161" t="s">
        <v>77</v>
      </c>
      <c r="G161" t="s">
        <v>52</v>
      </c>
      <c r="H161" t="s">
        <v>79</v>
      </c>
      <c r="I161" t="s">
        <v>948</v>
      </c>
      <c r="J161" t="s">
        <v>165</v>
      </c>
      <c r="K161" t="s">
        <v>202</v>
      </c>
      <c r="L161" t="s">
        <v>949</v>
      </c>
      <c r="M161">
        <v>423.74</v>
      </c>
      <c r="N161">
        <v>8</v>
      </c>
      <c r="O161" t="s">
        <v>950</v>
      </c>
      <c r="P161" t="s">
        <v>108</v>
      </c>
      <c r="Q161" t="s">
        <v>613</v>
      </c>
      <c r="R161" t="s">
        <v>86</v>
      </c>
      <c r="S161" t="s">
        <v>126</v>
      </c>
      <c r="T161" t="s">
        <v>99</v>
      </c>
      <c r="U161">
        <v>298</v>
      </c>
      <c r="V161">
        <v>99</v>
      </c>
      <c r="W161">
        <v>27</v>
      </c>
      <c r="X161">
        <v>846.04</v>
      </c>
      <c r="Y161">
        <v>326.02999999999997</v>
      </c>
      <c r="Z161">
        <v>1172.07</v>
      </c>
      <c r="AA161" t="s">
        <v>62</v>
      </c>
      <c r="AB161">
        <v>0</v>
      </c>
      <c r="AC161">
        <v>81.16</v>
      </c>
      <c r="AD161">
        <v>77</v>
      </c>
      <c r="AE161">
        <v>125</v>
      </c>
    </row>
    <row r="162" spans="1:31" x14ac:dyDescent="0.25">
      <c r="A162" t="s">
        <v>951</v>
      </c>
      <c r="B162" t="s">
        <v>952</v>
      </c>
      <c r="C162" s="1">
        <v>45118</v>
      </c>
      <c r="D162" s="1">
        <v>45567</v>
      </c>
      <c r="E162" t="s">
        <v>50</v>
      </c>
      <c r="F162" t="s">
        <v>34</v>
      </c>
      <c r="G162" t="s">
        <v>52</v>
      </c>
      <c r="H162" t="s">
        <v>67</v>
      </c>
      <c r="I162" t="s">
        <v>953</v>
      </c>
      <c r="J162" t="s">
        <v>104</v>
      </c>
      <c r="K162" t="s">
        <v>105</v>
      </c>
      <c r="L162" t="s">
        <v>954</v>
      </c>
      <c r="M162">
        <v>356.96</v>
      </c>
      <c r="N162">
        <v>81</v>
      </c>
      <c r="O162" t="s">
        <v>955</v>
      </c>
      <c r="P162" t="s">
        <v>58</v>
      </c>
      <c r="Q162" t="s">
        <v>686</v>
      </c>
      <c r="R162" t="s">
        <v>60</v>
      </c>
      <c r="S162" t="s">
        <v>45</v>
      </c>
      <c r="T162" t="s">
        <v>267</v>
      </c>
      <c r="U162">
        <v>3175</v>
      </c>
      <c r="V162">
        <v>315</v>
      </c>
      <c r="W162">
        <v>9</v>
      </c>
      <c r="X162">
        <v>1959.56</v>
      </c>
      <c r="Y162">
        <v>449.28</v>
      </c>
      <c r="Z162">
        <v>2408.84</v>
      </c>
      <c r="AA162" t="s">
        <v>62</v>
      </c>
      <c r="AB162">
        <v>0</v>
      </c>
      <c r="AC162">
        <v>88.84</v>
      </c>
      <c r="AD162">
        <v>432</v>
      </c>
      <c r="AE162">
        <v>428</v>
      </c>
    </row>
    <row r="163" spans="1:31" x14ac:dyDescent="0.25">
      <c r="A163" t="s">
        <v>956</v>
      </c>
      <c r="B163" t="s">
        <v>957</v>
      </c>
      <c r="C163" s="1">
        <v>44832</v>
      </c>
      <c r="D163" s="1">
        <v>45108</v>
      </c>
      <c r="E163" t="s">
        <v>33</v>
      </c>
      <c r="F163" t="s">
        <v>146</v>
      </c>
      <c r="G163" t="s">
        <v>113</v>
      </c>
      <c r="H163" t="s">
        <v>67</v>
      </c>
      <c r="I163" t="s">
        <v>958</v>
      </c>
      <c r="J163" t="s">
        <v>104</v>
      </c>
      <c r="K163" t="s">
        <v>105</v>
      </c>
      <c r="L163" t="s">
        <v>959</v>
      </c>
      <c r="M163">
        <v>193.29</v>
      </c>
      <c r="N163">
        <v>24</v>
      </c>
      <c r="O163" t="s">
        <v>960</v>
      </c>
      <c r="P163" t="s">
        <v>84</v>
      </c>
      <c r="Q163" t="s">
        <v>544</v>
      </c>
      <c r="R163" t="s">
        <v>44</v>
      </c>
      <c r="S163" t="s">
        <v>73</v>
      </c>
      <c r="T163" t="s">
        <v>511</v>
      </c>
      <c r="U163">
        <v>966</v>
      </c>
      <c r="V163">
        <v>369</v>
      </c>
      <c r="W163">
        <v>7</v>
      </c>
      <c r="X163">
        <v>1912.28</v>
      </c>
      <c r="Y163">
        <v>363.88</v>
      </c>
      <c r="Z163">
        <v>2276.16</v>
      </c>
      <c r="AA163" t="s">
        <v>62</v>
      </c>
      <c r="AB163">
        <v>0</v>
      </c>
      <c r="AC163">
        <v>90.84</v>
      </c>
      <c r="AD163">
        <v>349</v>
      </c>
      <c r="AE163">
        <v>329</v>
      </c>
    </row>
    <row r="164" spans="1:31" x14ac:dyDescent="0.25">
      <c r="A164" t="s">
        <v>961</v>
      </c>
      <c r="B164" t="s">
        <v>962</v>
      </c>
      <c r="C164" s="1">
        <v>45557</v>
      </c>
      <c r="D164" s="1">
        <v>44459</v>
      </c>
      <c r="E164" t="s">
        <v>65</v>
      </c>
      <c r="F164" t="s">
        <v>34</v>
      </c>
      <c r="G164" t="s">
        <v>343</v>
      </c>
      <c r="H164" t="s">
        <v>147</v>
      </c>
      <c r="I164" t="s">
        <v>963</v>
      </c>
      <c r="J164" t="s">
        <v>104</v>
      </c>
      <c r="K164" t="s">
        <v>105</v>
      </c>
      <c r="L164" t="s">
        <v>964</v>
      </c>
      <c r="M164">
        <v>202.8</v>
      </c>
      <c r="N164">
        <v>15</v>
      </c>
      <c r="O164" t="s">
        <v>965</v>
      </c>
      <c r="P164" t="s">
        <v>108</v>
      </c>
      <c r="Q164" t="s">
        <v>491</v>
      </c>
      <c r="R164" t="s">
        <v>86</v>
      </c>
      <c r="S164" t="s">
        <v>87</v>
      </c>
      <c r="T164" t="s">
        <v>74</v>
      </c>
      <c r="U164">
        <v>4545</v>
      </c>
      <c r="V164">
        <v>416</v>
      </c>
      <c r="W164">
        <v>24</v>
      </c>
      <c r="X164">
        <v>1244.1500000000001</v>
      </c>
      <c r="Y164">
        <v>378.14</v>
      </c>
      <c r="Z164">
        <v>1622.29</v>
      </c>
      <c r="AA164" t="s">
        <v>62</v>
      </c>
      <c r="AB164">
        <v>0</v>
      </c>
      <c r="AC164">
        <v>73.16</v>
      </c>
      <c r="AD164">
        <v>62</v>
      </c>
      <c r="AE164">
        <v>58</v>
      </c>
    </row>
    <row r="165" spans="1:31" x14ac:dyDescent="0.25">
      <c r="A165" t="s">
        <v>966</v>
      </c>
      <c r="B165" t="s">
        <v>967</v>
      </c>
      <c r="C165" s="1">
        <v>45137</v>
      </c>
      <c r="D165" s="1">
        <v>44992</v>
      </c>
      <c r="E165" t="s">
        <v>65</v>
      </c>
      <c r="F165" t="s">
        <v>91</v>
      </c>
      <c r="G165" t="s">
        <v>52</v>
      </c>
      <c r="H165" t="s">
        <v>114</v>
      </c>
      <c r="I165" t="s">
        <v>968</v>
      </c>
      <c r="J165" t="s">
        <v>38</v>
      </c>
      <c r="K165" t="s">
        <v>94</v>
      </c>
      <c r="L165" t="s">
        <v>969</v>
      </c>
      <c r="M165">
        <v>360.9</v>
      </c>
      <c r="N165">
        <v>89</v>
      </c>
      <c r="O165" t="s">
        <v>970</v>
      </c>
      <c r="P165" t="s">
        <v>84</v>
      </c>
      <c r="Q165" t="s">
        <v>491</v>
      </c>
      <c r="R165" t="s">
        <v>152</v>
      </c>
      <c r="S165" t="s">
        <v>126</v>
      </c>
      <c r="T165" t="s">
        <v>119</v>
      </c>
      <c r="U165">
        <v>2577</v>
      </c>
      <c r="V165">
        <v>466</v>
      </c>
      <c r="W165">
        <v>21</v>
      </c>
      <c r="X165">
        <v>716.53</v>
      </c>
      <c r="Y165">
        <v>80.22</v>
      </c>
      <c r="Z165">
        <v>796.75</v>
      </c>
      <c r="AA165" t="s">
        <v>62</v>
      </c>
      <c r="AB165">
        <v>0</v>
      </c>
      <c r="AC165">
        <v>93.14</v>
      </c>
      <c r="AD165">
        <v>140</v>
      </c>
      <c r="AE165">
        <v>144</v>
      </c>
    </row>
    <row r="166" spans="1:31" x14ac:dyDescent="0.25">
      <c r="A166" t="s">
        <v>971</v>
      </c>
      <c r="B166" t="s">
        <v>972</v>
      </c>
      <c r="C166" s="1">
        <v>45235</v>
      </c>
      <c r="D166" s="1">
        <v>45403</v>
      </c>
      <c r="E166" t="s">
        <v>50</v>
      </c>
      <c r="F166" t="s">
        <v>34</v>
      </c>
      <c r="G166" t="s">
        <v>35</v>
      </c>
      <c r="H166" t="s">
        <v>221</v>
      </c>
      <c r="I166" t="s">
        <v>973</v>
      </c>
      <c r="J166" t="s">
        <v>38</v>
      </c>
      <c r="K166" t="s">
        <v>94</v>
      </c>
      <c r="L166" t="s">
        <v>974</v>
      </c>
      <c r="M166">
        <v>5.81</v>
      </c>
      <c r="N166">
        <v>36</v>
      </c>
      <c r="O166" t="s">
        <v>587</v>
      </c>
      <c r="P166" t="s">
        <v>58</v>
      </c>
      <c r="Q166" t="s">
        <v>562</v>
      </c>
      <c r="R166" t="s">
        <v>60</v>
      </c>
      <c r="S166" t="s">
        <v>73</v>
      </c>
      <c r="T166" t="s">
        <v>638</v>
      </c>
      <c r="U166">
        <v>2802</v>
      </c>
      <c r="V166">
        <v>413</v>
      </c>
      <c r="W166">
        <v>4</v>
      </c>
      <c r="X166">
        <v>926.35</v>
      </c>
      <c r="Y166">
        <v>370.86</v>
      </c>
      <c r="Z166">
        <v>1297.21</v>
      </c>
      <c r="AA166" t="s">
        <v>62</v>
      </c>
      <c r="AB166">
        <v>0</v>
      </c>
      <c r="AC166">
        <v>86.63</v>
      </c>
      <c r="AD166">
        <v>457</v>
      </c>
      <c r="AE166">
        <v>482</v>
      </c>
    </row>
    <row r="167" spans="1:31" x14ac:dyDescent="0.25">
      <c r="A167" t="s">
        <v>975</v>
      </c>
      <c r="B167" t="s">
        <v>976</v>
      </c>
      <c r="C167" s="1">
        <v>44282</v>
      </c>
      <c r="D167" s="1">
        <v>44384</v>
      </c>
      <c r="E167" t="s">
        <v>50</v>
      </c>
      <c r="F167" t="s">
        <v>77</v>
      </c>
      <c r="G167" t="s">
        <v>343</v>
      </c>
      <c r="H167" t="s">
        <v>53</v>
      </c>
      <c r="I167" t="s">
        <v>977</v>
      </c>
      <c r="J167" t="s">
        <v>38</v>
      </c>
      <c r="K167" t="s">
        <v>55</v>
      </c>
      <c r="L167" t="s">
        <v>978</v>
      </c>
      <c r="M167">
        <v>169.28</v>
      </c>
      <c r="N167">
        <v>8</v>
      </c>
      <c r="O167" t="s">
        <v>979</v>
      </c>
      <c r="P167" t="s">
        <v>42</v>
      </c>
      <c r="Q167" t="s">
        <v>980</v>
      </c>
      <c r="R167" t="s">
        <v>60</v>
      </c>
      <c r="S167" t="s">
        <v>98</v>
      </c>
      <c r="T167" t="s">
        <v>916</v>
      </c>
      <c r="U167">
        <v>808</v>
      </c>
      <c r="V167">
        <v>432</v>
      </c>
      <c r="W167">
        <v>11</v>
      </c>
      <c r="X167">
        <v>859.81</v>
      </c>
      <c r="Y167">
        <v>455.17</v>
      </c>
      <c r="Z167">
        <v>1314.98</v>
      </c>
      <c r="AA167" t="s">
        <v>62</v>
      </c>
      <c r="AB167">
        <v>0</v>
      </c>
      <c r="AC167">
        <v>75.900000000000006</v>
      </c>
      <c r="AD167">
        <v>194</v>
      </c>
      <c r="AE167">
        <v>239</v>
      </c>
    </row>
    <row r="168" spans="1:31" x14ac:dyDescent="0.25">
      <c r="A168" t="s">
        <v>981</v>
      </c>
      <c r="B168" t="s">
        <v>982</v>
      </c>
      <c r="C168" s="1">
        <v>44738</v>
      </c>
      <c r="D168" s="1">
        <v>44428</v>
      </c>
      <c r="E168" t="s">
        <v>50</v>
      </c>
      <c r="F168" t="s">
        <v>51</v>
      </c>
      <c r="G168" t="s">
        <v>343</v>
      </c>
      <c r="H168" t="s">
        <v>36</v>
      </c>
      <c r="I168" t="s">
        <v>983</v>
      </c>
      <c r="J168" t="s">
        <v>38</v>
      </c>
      <c r="K168" t="s">
        <v>81</v>
      </c>
      <c r="L168" t="s">
        <v>984</v>
      </c>
      <c r="M168">
        <v>267.14</v>
      </c>
      <c r="N168">
        <v>93</v>
      </c>
      <c r="O168" t="s">
        <v>985</v>
      </c>
      <c r="P168" t="s">
        <v>42</v>
      </c>
      <c r="Q168" t="s">
        <v>458</v>
      </c>
      <c r="R168" t="s">
        <v>86</v>
      </c>
      <c r="S168" t="s">
        <v>98</v>
      </c>
      <c r="T168" t="s">
        <v>127</v>
      </c>
      <c r="U168">
        <v>4090</v>
      </c>
      <c r="V168">
        <v>457</v>
      </c>
      <c r="W168">
        <v>21</v>
      </c>
      <c r="X168">
        <v>913.85</v>
      </c>
      <c r="Y168">
        <v>166.26</v>
      </c>
      <c r="Z168">
        <v>1080.1099999999999</v>
      </c>
      <c r="AA168" t="s">
        <v>62</v>
      </c>
      <c r="AB168">
        <v>0</v>
      </c>
      <c r="AC168">
        <v>94.98</v>
      </c>
      <c r="AD168">
        <v>107</v>
      </c>
      <c r="AE168">
        <v>148</v>
      </c>
    </row>
    <row r="169" spans="1:31" x14ac:dyDescent="0.25">
      <c r="A169" t="s">
        <v>986</v>
      </c>
      <c r="B169" t="s">
        <v>987</v>
      </c>
      <c r="C169" s="1">
        <v>44220</v>
      </c>
      <c r="D169" s="1">
        <v>44583</v>
      </c>
      <c r="E169" t="s">
        <v>50</v>
      </c>
      <c r="F169" t="s">
        <v>91</v>
      </c>
      <c r="G169" t="s">
        <v>343</v>
      </c>
      <c r="H169" t="s">
        <v>67</v>
      </c>
      <c r="I169" t="s">
        <v>988</v>
      </c>
      <c r="J169" t="s">
        <v>38</v>
      </c>
      <c r="K169" t="s">
        <v>81</v>
      </c>
      <c r="L169" t="s">
        <v>989</v>
      </c>
      <c r="M169">
        <v>297.36</v>
      </c>
      <c r="N169">
        <v>38</v>
      </c>
      <c r="O169" t="s">
        <v>990</v>
      </c>
      <c r="P169" t="s">
        <v>58</v>
      </c>
      <c r="Q169" t="s">
        <v>205</v>
      </c>
      <c r="R169" t="s">
        <v>44</v>
      </c>
      <c r="S169" t="s">
        <v>45</v>
      </c>
      <c r="T169" t="s">
        <v>470</v>
      </c>
      <c r="U169">
        <v>1311</v>
      </c>
      <c r="V169">
        <v>387</v>
      </c>
      <c r="W169">
        <v>12</v>
      </c>
      <c r="X169">
        <v>869.18</v>
      </c>
      <c r="Y169">
        <v>62.51</v>
      </c>
      <c r="Z169">
        <v>931.68999999999994</v>
      </c>
      <c r="AA169" t="s">
        <v>62</v>
      </c>
      <c r="AB169">
        <v>0</v>
      </c>
      <c r="AC169">
        <v>97.71</v>
      </c>
      <c r="AD169">
        <v>346</v>
      </c>
      <c r="AE169">
        <v>339</v>
      </c>
    </row>
    <row r="170" spans="1:31" x14ac:dyDescent="0.25">
      <c r="A170" t="s">
        <v>991</v>
      </c>
      <c r="B170" t="s">
        <v>992</v>
      </c>
      <c r="C170" s="1">
        <v>44563</v>
      </c>
      <c r="D170" s="1">
        <v>44502</v>
      </c>
      <c r="E170" t="s">
        <v>50</v>
      </c>
      <c r="F170" t="s">
        <v>51</v>
      </c>
      <c r="G170" t="s">
        <v>66</v>
      </c>
      <c r="H170" t="s">
        <v>67</v>
      </c>
      <c r="I170" t="s">
        <v>993</v>
      </c>
      <c r="J170" t="s">
        <v>38</v>
      </c>
      <c r="K170" t="s">
        <v>94</v>
      </c>
      <c r="L170" t="s">
        <v>994</v>
      </c>
      <c r="M170">
        <v>217</v>
      </c>
      <c r="N170">
        <v>20</v>
      </c>
      <c r="O170" t="s">
        <v>995</v>
      </c>
      <c r="P170" t="s">
        <v>108</v>
      </c>
      <c r="Q170" t="s">
        <v>205</v>
      </c>
      <c r="R170" t="s">
        <v>86</v>
      </c>
      <c r="S170" t="s">
        <v>126</v>
      </c>
      <c r="T170" t="s">
        <v>409</v>
      </c>
      <c r="U170">
        <v>4118</v>
      </c>
      <c r="V170">
        <v>133</v>
      </c>
      <c r="W170">
        <v>17</v>
      </c>
      <c r="X170">
        <v>801.16</v>
      </c>
      <c r="Y170">
        <v>295.33</v>
      </c>
      <c r="Z170">
        <v>1096.49</v>
      </c>
      <c r="AA170" t="s">
        <v>62</v>
      </c>
      <c r="AB170">
        <v>0</v>
      </c>
      <c r="AC170">
        <v>86.5</v>
      </c>
      <c r="AD170">
        <v>360</v>
      </c>
      <c r="AE170">
        <v>390</v>
      </c>
    </row>
    <row r="171" spans="1:31" x14ac:dyDescent="0.25">
      <c r="A171" t="s">
        <v>996</v>
      </c>
      <c r="B171" t="s">
        <v>997</v>
      </c>
      <c r="C171" s="1">
        <v>44097</v>
      </c>
      <c r="D171" s="1">
        <v>44744</v>
      </c>
      <c r="E171" t="s">
        <v>65</v>
      </c>
      <c r="F171" t="s">
        <v>91</v>
      </c>
      <c r="G171" t="s">
        <v>78</v>
      </c>
      <c r="H171" t="s">
        <v>163</v>
      </c>
      <c r="I171" t="s">
        <v>998</v>
      </c>
      <c r="J171" t="s">
        <v>38</v>
      </c>
      <c r="K171" t="s">
        <v>39</v>
      </c>
      <c r="L171" t="s">
        <v>999</v>
      </c>
      <c r="M171">
        <v>188.09</v>
      </c>
      <c r="N171">
        <v>67</v>
      </c>
      <c r="O171" t="s">
        <v>1000</v>
      </c>
      <c r="P171" t="s">
        <v>58</v>
      </c>
      <c r="Q171" t="s">
        <v>544</v>
      </c>
      <c r="R171" t="s">
        <v>152</v>
      </c>
      <c r="S171" t="s">
        <v>126</v>
      </c>
      <c r="T171" t="s">
        <v>110</v>
      </c>
      <c r="U171">
        <v>2569</v>
      </c>
      <c r="V171">
        <v>283</v>
      </c>
      <c r="W171">
        <v>4</v>
      </c>
      <c r="X171">
        <v>773.39</v>
      </c>
      <c r="Y171">
        <v>107.53</v>
      </c>
      <c r="Z171">
        <v>880.92</v>
      </c>
      <c r="AA171" t="s">
        <v>62</v>
      </c>
      <c r="AB171">
        <v>0</v>
      </c>
      <c r="AC171">
        <v>85.12</v>
      </c>
      <c r="AD171">
        <v>225</v>
      </c>
      <c r="AE171">
        <v>211</v>
      </c>
    </row>
    <row r="172" spans="1:31" x14ac:dyDescent="0.25">
      <c r="A172" t="s">
        <v>1001</v>
      </c>
      <c r="B172" t="s">
        <v>1002</v>
      </c>
      <c r="C172" s="1">
        <v>45053</v>
      </c>
      <c r="D172" s="1">
        <v>44130</v>
      </c>
      <c r="E172" t="s">
        <v>33</v>
      </c>
      <c r="F172" t="s">
        <v>146</v>
      </c>
      <c r="G172" t="s">
        <v>66</v>
      </c>
      <c r="H172" t="s">
        <v>53</v>
      </c>
      <c r="I172" t="s">
        <v>287</v>
      </c>
      <c r="J172" t="s">
        <v>38</v>
      </c>
      <c r="K172" t="s">
        <v>81</v>
      </c>
      <c r="L172" t="s">
        <v>288</v>
      </c>
      <c r="M172">
        <v>15.31</v>
      </c>
      <c r="N172">
        <v>85</v>
      </c>
      <c r="O172" t="s">
        <v>1003</v>
      </c>
      <c r="P172" t="s">
        <v>58</v>
      </c>
      <c r="Q172" t="s">
        <v>252</v>
      </c>
      <c r="R172" t="s">
        <v>86</v>
      </c>
      <c r="S172" t="s">
        <v>98</v>
      </c>
      <c r="T172" t="s">
        <v>1004</v>
      </c>
      <c r="U172">
        <v>3755</v>
      </c>
      <c r="V172">
        <v>177</v>
      </c>
      <c r="W172">
        <v>1</v>
      </c>
      <c r="X172">
        <v>656.07</v>
      </c>
      <c r="Y172">
        <v>90.06</v>
      </c>
      <c r="Z172">
        <v>746.13000000000011</v>
      </c>
      <c r="AA172" t="s">
        <v>62</v>
      </c>
      <c r="AB172">
        <v>0</v>
      </c>
      <c r="AC172">
        <v>73.400000000000006</v>
      </c>
      <c r="AD172">
        <v>377</v>
      </c>
      <c r="AE172">
        <v>337</v>
      </c>
    </row>
    <row r="173" spans="1:31" x14ac:dyDescent="0.25">
      <c r="A173" t="s">
        <v>1005</v>
      </c>
      <c r="B173" t="s">
        <v>1006</v>
      </c>
      <c r="C173" s="1">
        <v>43888</v>
      </c>
      <c r="D173" s="1">
        <v>45420</v>
      </c>
      <c r="E173" t="s">
        <v>65</v>
      </c>
      <c r="F173" t="s">
        <v>91</v>
      </c>
      <c r="G173" t="s">
        <v>78</v>
      </c>
      <c r="H173" t="s">
        <v>53</v>
      </c>
      <c r="I173" t="s">
        <v>1007</v>
      </c>
      <c r="J173" t="s">
        <v>104</v>
      </c>
      <c r="K173" t="s">
        <v>181</v>
      </c>
      <c r="L173" t="s">
        <v>1008</v>
      </c>
      <c r="M173">
        <v>131.93</v>
      </c>
      <c r="N173">
        <v>5</v>
      </c>
      <c r="O173" t="s">
        <v>1009</v>
      </c>
      <c r="P173" t="s">
        <v>141</v>
      </c>
      <c r="Q173" t="s">
        <v>327</v>
      </c>
      <c r="R173" t="s">
        <v>86</v>
      </c>
      <c r="S173" t="s">
        <v>87</v>
      </c>
      <c r="T173" t="s">
        <v>812</v>
      </c>
      <c r="U173">
        <v>1641</v>
      </c>
      <c r="V173">
        <v>339</v>
      </c>
      <c r="W173">
        <v>23</v>
      </c>
      <c r="X173">
        <v>923.34</v>
      </c>
      <c r="Y173">
        <v>439.24</v>
      </c>
      <c r="Z173">
        <v>1362.58</v>
      </c>
      <c r="AA173" t="s">
        <v>62</v>
      </c>
      <c r="AB173">
        <v>0</v>
      </c>
      <c r="AC173">
        <v>83.93</v>
      </c>
      <c r="AD173">
        <v>130</v>
      </c>
      <c r="AE173">
        <v>142</v>
      </c>
    </row>
    <row r="174" spans="1:31" x14ac:dyDescent="0.25">
      <c r="A174" t="s">
        <v>1010</v>
      </c>
      <c r="B174" t="s">
        <v>1011</v>
      </c>
      <c r="C174" s="1">
        <v>44146</v>
      </c>
      <c r="D174" s="1">
        <v>44566</v>
      </c>
      <c r="E174" t="s">
        <v>65</v>
      </c>
      <c r="F174" t="s">
        <v>146</v>
      </c>
      <c r="G174" t="s">
        <v>52</v>
      </c>
      <c r="H174" t="s">
        <v>36</v>
      </c>
      <c r="I174" t="s">
        <v>1012</v>
      </c>
      <c r="J174" t="s">
        <v>38</v>
      </c>
      <c r="K174" t="s">
        <v>338</v>
      </c>
      <c r="L174" t="s">
        <v>1013</v>
      </c>
      <c r="M174">
        <v>32.549999999999997</v>
      </c>
      <c r="N174">
        <v>52</v>
      </c>
      <c r="O174" t="s">
        <v>1014</v>
      </c>
      <c r="P174" t="s">
        <v>42</v>
      </c>
      <c r="Q174" t="s">
        <v>517</v>
      </c>
      <c r="R174" t="s">
        <v>152</v>
      </c>
      <c r="S174" t="s">
        <v>126</v>
      </c>
      <c r="T174" t="s">
        <v>143</v>
      </c>
      <c r="U174">
        <v>2143</v>
      </c>
      <c r="V174">
        <v>106</v>
      </c>
      <c r="W174">
        <v>11</v>
      </c>
      <c r="X174">
        <v>691.88</v>
      </c>
      <c r="Y174">
        <v>88.57</v>
      </c>
      <c r="Z174">
        <v>780.45</v>
      </c>
      <c r="AA174" t="s">
        <v>62</v>
      </c>
      <c r="AB174">
        <v>0</v>
      </c>
      <c r="AC174">
        <v>92.31</v>
      </c>
      <c r="AD174">
        <v>283</v>
      </c>
      <c r="AE174">
        <v>270</v>
      </c>
    </row>
    <row r="175" spans="1:31" x14ac:dyDescent="0.25">
      <c r="A175" t="s">
        <v>1015</v>
      </c>
      <c r="B175" t="s">
        <v>1016</v>
      </c>
      <c r="C175" s="1">
        <v>45096</v>
      </c>
      <c r="D175" s="1">
        <v>45069</v>
      </c>
      <c r="E175" t="s">
        <v>65</v>
      </c>
      <c r="F175" t="s">
        <v>51</v>
      </c>
      <c r="G175" t="s">
        <v>52</v>
      </c>
      <c r="H175" t="s">
        <v>163</v>
      </c>
      <c r="I175" t="s">
        <v>1017</v>
      </c>
      <c r="J175" t="s">
        <v>38</v>
      </c>
      <c r="K175" t="s">
        <v>94</v>
      </c>
      <c r="L175" t="s">
        <v>1018</v>
      </c>
      <c r="M175">
        <v>43.69</v>
      </c>
      <c r="N175">
        <v>92</v>
      </c>
      <c r="O175" t="s">
        <v>1019</v>
      </c>
      <c r="P175" t="s">
        <v>42</v>
      </c>
      <c r="Q175" t="s">
        <v>97</v>
      </c>
      <c r="R175" t="s">
        <v>152</v>
      </c>
      <c r="S175" t="s">
        <v>126</v>
      </c>
      <c r="T175" t="s">
        <v>153</v>
      </c>
      <c r="U175">
        <v>765</v>
      </c>
      <c r="V175">
        <v>321</v>
      </c>
      <c r="W175">
        <v>14</v>
      </c>
      <c r="X175">
        <v>293.19</v>
      </c>
      <c r="Y175">
        <v>229.29</v>
      </c>
      <c r="Z175">
        <v>522.48</v>
      </c>
      <c r="AA175" t="s">
        <v>62</v>
      </c>
      <c r="AB175">
        <v>0</v>
      </c>
      <c r="AC175">
        <v>94.1</v>
      </c>
      <c r="AD175">
        <v>434</v>
      </c>
      <c r="AE175">
        <v>439</v>
      </c>
    </row>
    <row r="176" spans="1:31" x14ac:dyDescent="0.25">
      <c r="A176" t="s">
        <v>1020</v>
      </c>
      <c r="B176" t="s">
        <v>1021</v>
      </c>
      <c r="C176" s="1">
        <v>44290</v>
      </c>
      <c r="D176" s="1">
        <v>45335</v>
      </c>
      <c r="E176" t="s">
        <v>65</v>
      </c>
      <c r="F176" t="s">
        <v>146</v>
      </c>
      <c r="G176" t="s">
        <v>102</v>
      </c>
      <c r="H176" t="s">
        <v>114</v>
      </c>
      <c r="I176" t="s">
        <v>1022</v>
      </c>
      <c r="J176" t="s">
        <v>38</v>
      </c>
      <c r="K176" t="s">
        <v>138</v>
      </c>
      <c r="L176" t="s">
        <v>1023</v>
      </c>
      <c r="M176">
        <v>170.57</v>
      </c>
      <c r="N176">
        <v>8</v>
      </c>
      <c r="O176" t="s">
        <v>1024</v>
      </c>
      <c r="P176" t="s">
        <v>141</v>
      </c>
      <c r="Q176" t="s">
        <v>389</v>
      </c>
      <c r="R176" t="s">
        <v>44</v>
      </c>
      <c r="S176" t="s">
        <v>126</v>
      </c>
      <c r="T176" t="s">
        <v>447</v>
      </c>
      <c r="U176">
        <v>1948</v>
      </c>
      <c r="V176">
        <v>150</v>
      </c>
      <c r="W176">
        <v>9</v>
      </c>
      <c r="X176">
        <v>1362.85</v>
      </c>
      <c r="Y176">
        <v>111.53</v>
      </c>
      <c r="Z176">
        <v>1474.38</v>
      </c>
      <c r="AA176" t="s">
        <v>62</v>
      </c>
      <c r="AB176">
        <v>0</v>
      </c>
      <c r="AC176">
        <v>90.95</v>
      </c>
      <c r="AD176">
        <v>453</v>
      </c>
      <c r="AE176">
        <v>473</v>
      </c>
    </row>
    <row r="177" spans="1:31" x14ac:dyDescent="0.25">
      <c r="A177" t="s">
        <v>1025</v>
      </c>
      <c r="B177" t="s">
        <v>1026</v>
      </c>
      <c r="C177" s="1">
        <v>44810</v>
      </c>
      <c r="D177" s="1">
        <v>45619</v>
      </c>
      <c r="E177" t="s">
        <v>65</v>
      </c>
      <c r="F177" t="s">
        <v>34</v>
      </c>
      <c r="G177" t="s">
        <v>66</v>
      </c>
      <c r="H177" t="s">
        <v>53</v>
      </c>
      <c r="I177" t="s">
        <v>1027</v>
      </c>
      <c r="J177" t="s">
        <v>38</v>
      </c>
      <c r="K177" t="s">
        <v>39</v>
      </c>
      <c r="L177" t="s">
        <v>1028</v>
      </c>
      <c r="M177">
        <v>170.17</v>
      </c>
      <c r="N177">
        <v>34</v>
      </c>
      <c r="O177" t="s">
        <v>1029</v>
      </c>
      <c r="P177" t="s">
        <v>141</v>
      </c>
      <c r="Q177" t="s">
        <v>205</v>
      </c>
      <c r="R177" t="s">
        <v>86</v>
      </c>
      <c r="S177" t="s">
        <v>73</v>
      </c>
      <c r="T177" t="s">
        <v>437</v>
      </c>
      <c r="U177">
        <v>2435</v>
      </c>
      <c r="V177">
        <v>469</v>
      </c>
      <c r="W177">
        <v>5</v>
      </c>
      <c r="X177">
        <v>1947.25</v>
      </c>
      <c r="Y177">
        <v>243.05</v>
      </c>
      <c r="Z177">
        <v>2190.3000000000002</v>
      </c>
      <c r="AA177" t="s">
        <v>62</v>
      </c>
      <c r="AB177">
        <v>0</v>
      </c>
      <c r="AC177">
        <v>75.459999999999994</v>
      </c>
      <c r="AD177">
        <v>100</v>
      </c>
      <c r="AE177">
        <v>147</v>
      </c>
    </row>
    <row r="178" spans="1:31" x14ac:dyDescent="0.25">
      <c r="A178" t="s">
        <v>1030</v>
      </c>
      <c r="B178" t="s">
        <v>1031</v>
      </c>
      <c r="C178" s="1">
        <v>45091</v>
      </c>
      <c r="D178" s="1">
        <v>45315</v>
      </c>
      <c r="E178" t="s">
        <v>65</v>
      </c>
      <c r="F178" t="s">
        <v>34</v>
      </c>
      <c r="G178" t="s">
        <v>102</v>
      </c>
      <c r="H178" t="s">
        <v>67</v>
      </c>
      <c r="I178" t="s">
        <v>1032</v>
      </c>
      <c r="J178" t="s">
        <v>38</v>
      </c>
      <c r="K178" t="s">
        <v>39</v>
      </c>
      <c r="L178" t="s">
        <v>1033</v>
      </c>
      <c r="M178">
        <v>107.39</v>
      </c>
      <c r="N178">
        <v>79</v>
      </c>
      <c r="O178" t="s">
        <v>1034</v>
      </c>
      <c r="P178" t="s">
        <v>42</v>
      </c>
      <c r="Q178" t="s">
        <v>320</v>
      </c>
      <c r="R178" t="s">
        <v>60</v>
      </c>
      <c r="S178" t="s">
        <v>87</v>
      </c>
      <c r="T178" t="s">
        <v>675</v>
      </c>
      <c r="U178">
        <v>4983</v>
      </c>
      <c r="V178">
        <v>489</v>
      </c>
      <c r="W178">
        <v>2</v>
      </c>
      <c r="X178">
        <v>1799.84</v>
      </c>
      <c r="Y178">
        <v>482.22</v>
      </c>
      <c r="Z178">
        <v>2282.06</v>
      </c>
      <c r="AA178" t="s">
        <v>62</v>
      </c>
      <c r="AB178">
        <v>0</v>
      </c>
      <c r="AC178">
        <v>80.64</v>
      </c>
      <c r="AD178">
        <v>304</v>
      </c>
      <c r="AE178">
        <v>349</v>
      </c>
    </row>
    <row r="179" spans="1:31" x14ac:dyDescent="0.25">
      <c r="A179" t="s">
        <v>1035</v>
      </c>
      <c r="B179" t="s">
        <v>1036</v>
      </c>
      <c r="C179" s="1">
        <v>45382</v>
      </c>
      <c r="D179" s="1">
        <v>44950</v>
      </c>
      <c r="E179" t="s">
        <v>65</v>
      </c>
      <c r="F179" t="s">
        <v>51</v>
      </c>
      <c r="G179" t="s">
        <v>102</v>
      </c>
      <c r="H179" t="s">
        <v>67</v>
      </c>
      <c r="I179" t="s">
        <v>662</v>
      </c>
      <c r="J179" t="s">
        <v>165</v>
      </c>
      <c r="K179" t="s">
        <v>202</v>
      </c>
      <c r="L179" t="s">
        <v>663</v>
      </c>
      <c r="M179">
        <v>106.12</v>
      </c>
      <c r="N179">
        <v>4</v>
      </c>
      <c r="O179" t="s">
        <v>1037</v>
      </c>
      <c r="P179" t="s">
        <v>42</v>
      </c>
      <c r="Q179" t="s">
        <v>464</v>
      </c>
      <c r="R179" t="s">
        <v>152</v>
      </c>
      <c r="S179" t="s">
        <v>45</v>
      </c>
      <c r="T179" t="s">
        <v>1038</v>
      </c>
      <c r="U179">
        <v>2817</v>
      </c>
      <c r="V179">
        <v>415</v>
      </c>
      <c r="W179">
        <v>19</v>
      </c>
      <c r="X179">
        <v>1739.72</v>
      </c>
      <c r="Y179">
        <v>391.17</v>
      </c>
      <c r="Z179">
        <v>2130.89</v>
      </c>
      <c r="AA179" t="s">
        <v>62</v>
      </c>
      <c r="AB179">
        <v>0</v>
      </c>
      <c r="AC179">
        <v>93.97</v>
      </c>
      <c r="AD179">
        <v>246</v>
      </c>
      <c r="AE179">
        <v>198</v>
      </c>
    </row>
    <row r="180" spans="1:31" x14ac:dyDescent="0.25">
      <c r="A180" t="s">
        <v>1039</v>
      </c>
      <c r="B180" t="s">
        <v>584</v>
      </c>
      <c r="C180" s="1">
        <v>44770</v>
      </c>
      <c r="D180" s="1">
        <v>45469</v>
      </c>
      <c r="E180" t="s">
        <v>65</v>
      </c>
      <c r="F180" t="s">
        <v>34</v>
      </c>
      <c r="G180" t="s">
        <v>343</v>
      </c>
      <c r="H180" t="s">
        <v>147</v>
      </c>
      <c r="I180" t="s">
        <v>1040</v>
      </c>
      <c r="J180" t="s">
        <v>165</v>
      </c>
      <c r="K180" t="s">
        <v>166</v>
      </c>
      <c r="L180" t="s">
        <v>1041</v>
      </c>
      <c r="M180">
        <v>81.86</v>
      </c>
      <c r="N180">
        <v>42</v>
      </c>
      <c r="O180" t="s">
        <v>1042</v>
      </c>
      <c r="P180" t="s">
        <v>141</v>
      </c>
      <c r="Q180" t="s">
        <v>370</v>
      </c>
      <c r="R180" t="s">
        <v>44</v>
      </c>
      <c r="S180" t="s">
        <v>126</v>
      </c>
      <c r="T180" t="s">
        <v>185</v>
      </c>
      <c r="U180">
        <v>3025</v>
      </c>
      <c r="V180">
        <v>452</v>
      </c>
      <c r="W180">
        <v>11</v>
      </c>
      <c r="X180">
        <v>1629.07</v>
      </c>
      <c r="Y180">
        <v>309.37</v>
      </c>
      <c r="Z180">
        <v>1938.44</v>
      </c>
      <c r="AA180" t="s">
        <v>62</v>
      </c>
      <c r="AB180">
        <v>0</v>
      </c>
      <c r="AC180">
        <v>90.97</v>
      </c>
      <c r="AD180">
        <v>468</v>
      </c>
      <c r="AE180">
        <v>467</v>
      </c>
    </row>
    <row r="181" spans="1:31" x14ac:dyDescent="0.25">
      <c r="A181" t="s">
        <v>1043</v>
      </c>
      <c r="B181" t="s">
        <v>1044</v>
      </c>
      <c r="C181" s="1">
        <v>44675</v>
      </c>
      <c r="D181" s="1">
        <v>44974</v>
      </c>
      <c r="E181" t="s">
        <v>65</v>
      </c>
      <c r="F181" t="s">
        <v>91</v>
      </c>
      <c r="G181" t="s">
        <v>52</v>
      </c>
      <c r="H181" t="s">
        <v>53</v>
      </c>
      <c r="I181" t="s">
        <v>103</v>
      </c>
      <c r="J181" t="s">
        <v>104</v>
      </c>
      <c r="K181" t="s">
        <v>105</v>
      </c>
      <c r="L181" t="s">
        <v>106</v>
      </c>
      <c r="M181">
        <v>183.69</v>
      </c>
      <c r="N181">
        <v>37</v>
      </c>
      <c r="O181" t="s">
        <v>1045</v>
      </c>
      <c r="P181" t="s">
        <v>108</v>
      </c>
      <c r="Q181" t="s">
        <v>980</v>
      </c>
      <c r="R181" t="s">
        <v>152</v>
      </c>
      <c r="S181" t="s">
        <v>87</v>
      </c>
      <c r="T181" t="s">
        <v>426</v>
      </c>
      <c r="U181">
        <v>1297</v>
      </c>
      <c r="V181">
        <v>372</v>
      </c>
      <c r="W181">
        <v>6</v>
      </c>
      <c r="X181">
        <v>680.66</v>
      </c>
      <c r="Y181">
        <v>135.36000000000001</v>
      </c>
      <c r="Z181">
        <v>816.02</v>
      </c>
      <c r="AA181" t="s">
        <v>62</v>
      </c>
      <c r="AB181">
        <v>0</v>
      </c>
      <c r="AC181">
        <v>87.5</v>
      </c>
      <c r="AD181">
        <v>389</v>
      </c>
      <c r="AE181">
        <v>340</v>
      </c>
    </row>
    <row r="182" spans="1:31" x14ac:dyDescent="0.25">
      <c r="A182" t="s">
        <v>1046</v>
      </c>
      <c r="B182" t="s">
        <v>1047</v>
      </c>
      <c r="C182" s="1">
        <v>45542</v>
      </c>
      <c r="D182" s="1">
        <v>44321</v>
      </c>
      <c r="E182" t="s">
        <v>65</v>
      </c>
      <c r="F182" t="s">
        <v>146</v>
      </c>
      <c r="G182" t="s">
        <v>52</v>
      </c>
      <c r="H182" t="s">
        <v>53</v>
      </c>
      <c r="I182" t="s">
        <v>1048</v>
      </c>
      <c r="J182" t="s">
        <v>104</v>
      </c>
      <c r="K182" t="s">
        <v>181</v>
      </c>
      <c r="L182" t="s">
        <v>1049</v>
      </c>
      <c r="M182">
        <v>248.6</v>
      </c>
      <c r="N182">
        <v>11</v>
      </c>
      <c r="O182" t="s">
        <v>1050</v>
      </c>
      <c r="P182" t="s">
        <v>108</v>
      </c>
      <c r="Q182" t="s">
        <v>191</v>
      </c>
      <c r="R182" t="s">
        <v>152</v>
      </c>
      <c r="S182" t="s">
        <v>73</v>
      </c>
      <c r="T182" t="s">
        <v>470</v>
      </c>
      <c r="U182">
        <v>3415</v>
      </c>
      <c r="V182">
        <v>373</v>
      </c>
      <c r="W182">
        <v>3</v>
      </c>
      <c r="X182">
        <v>1746.49</v>
      </c>
      <c r="Y182">
        <v>87.93</v>
      </c>
      <c r="Z182">
        <v>1834.42</v>
      </c>
      <c r="AA182" t="s">
        <v>62</v>
      </c>
      <c r="AB182">
        <v>0</v>
      </c>
      <c r="AC182">
        <v>91.1</v>
      </c>
      <c r="AD182">
        <v>472</v>
      </c>
      <c r="AE182">
        <v>471</v>
      </c>
    </row>
    <row r="183" spans="1:31" x14ac:dyDescent="0.25">
      <c r="A183" t="s">
        <v>1051</v>
      </c>
      <c r="B183" t="s">
        <v>1052</v>
      </c>
      <c r="C183" s="1">
        <v>44380</v>
      </c>
      <c r="D183" s="1">
        <v>44739</v>
      </c>
      <c r="E183" t="s">
        <v>65</v>
      </c>
      <c r="F183" t="s">
        <v>77</v>
      </c>
      <c r="G183" t="s">
        <v>66</v>
      </c>
      <c r="H183" t="s">
        <v>147</v>
      </c>
      <c r="I183" t="s">
        <v>1053</v>
      </c>
      <c r="J183" t="s">
        <v>104</v>
      </c>
      <c r="K183" t="s">
        <v>105</v>
      </c>
      <c r="L183" t="s">
        <v>1054</v>
      </c>
      <c r="M183">
        <v>175.3</v>
      </c>
      <c r="N183">
        <v>77</v>
      </c>
      <c r="O183" t="s">
        <v>822</v>
      </c>
      <c r="P183" t="s">
        <v>42</v>
      </c>
      <c r="Q183" t="s">
        <v>544</v>
      </c>
      <c r="R183" t="s">
        <v>44</v>
      </c>
      <c r="S183" t="s">
        <v>45</v>
      </c>
      <c r="T183" t="s">
        <v>533</v>
      </c>
      <c r="U183">
        <v>1967</v>
      </c>
      <c r="V183">
        <v>288</v>
      </c>
      <c r="W183">
        <v>4</v>
      </c>
      <c r="X183">
        <v>896.14</v>
      </c>
      <c r="Y183">
        <v>268.5</v>
      </c>
      <c r="Z183">
        <v>1164.6400000000001</v>
      </c>
      <c r="AA183" t="s">
        <v>62</v>
      </c>
      <c r="AB183">
        <v>0</v>
      </c>
      <c r="AC183">
        <v>77.900000000000006</v>
      </c>
      <c r="AD183">
        <v>253</v>
      </c>
      <c r="AE183">
        <v>212</v>
      </c>
    </row>
    <row r="184" spans="1:31" x14ac:dyDescent="0.25">
      <c r="A184" t="s">
        <v>1055</v>
      </c>
      <c r="B184" t="s">
        <v>1056</v>
      </c>
      <c r="C184" s="1">
        <v>45481</v>
      </c>
      <c r="D184" s="1">
        <v>44718</v>
      </c>
      <c r="E184" t="s">
        <v>65</v>
      </c>
      <c r="F184" t="s">
        <v>51</v>
      </c>
      <c r="G184" t="s">
        <v>113</v>
      </c>
      <c r="H184" t="s">
        <v>36</v>
      </c>
      <c r="I184" t="s">
        <v>1057</v>
      </c>
      <c r="J184" t="s">
        <v>38</v>
      </c>
      <c r="K184" t="s">
        <v>94</v>
      </c>
      <c r="L184" t="s">
        <v>1058</v>
      </c>
      <c r="M184">
        <v>475.89</v>
      </c>
      <c r="N184">
        <v>54</v>
      </c>
      <c r="O184" t="s">
        <v>1059</v>
      </c>
      <c r="P184" t="s">
        <v>141</v>
      </c>
      <c r="Q184" t="s">
        <v>109</v>
      </c>
      <c r="R184" t="s">
        <v>44</v>
      </c>
      <c r="S184" t="s">
        <v>98</v>
      </c>
      <c r="T184" t="s">
        <v>198</v>
      </c>
      <c r="U184">
        <v>241</v>
      </c>
      <c r="V184">
        <v>498</v>
      </c>
      <c r="W184">
        <v>20</v>
      </c>
      <c r="X184">
        <v>1543.65</v>
      </c>
      <c r="Y184">
        <v>22.15</v>
      </c>
      <c r="Z184">
        <v>1565.8</v>
      </c>
      <c r="AA184" t="s">
        <v>47</v>
      </c>
      <c r="AB184">
        <v>10</v>
      </c>
      <c r="AC184">
        <v>86.32</v>
      </c>
      <c r="AD184">
        <v>194</v>
      </c>
      <c r="AE184">
        <v>237</v>
      </c>
    </row>
    <row r="185" spans="1:31" x14ac:dyDescent="0.25">
      <c r="A185" t="s">
        <v>1060</v>
      </c>
      <c r="B185" t="s">
        <v>1061</v>
      </c>
      <c r="C185" s="1">
        <v>44540</v>
      </c>
      <c r="D185" s="1">
        <v>45402</v>
      </c>
      <c r="E185" t="s">
        <v>50</v>
      </c>
      <c r="F185" t="s">
        <v>146</v>
      </c>
      <c r="G185" t="s">
        <v>113</v>
      </c>
      <c r="H185" t="s">
        <v>79</v>
      </c>
      <c r="I185" t="s">
        <v>934</v>
      </c>
      <c r="J185" t="s">
        <v>38</v>
      </c>
      <c r="K185" t="s">
        <v>55</v>
      </c>
      <c r="L185" t="s">
        <v>935</v>
      </c>
      <c r="M185">
        <v>261.16000000000003</v>
      </c>
      <c r="N185">
        <v>58</v>
      </c>
      <c r="O185" t="s">
        <v>1062</v>
      </c>
      <c r="P185" t="s">
        <v>108</v>
      </c>
      <c r="Q185" t="s">
        <v>191</v>
      </c>
      <c r="R185" t="s">
        <v>86</v>
      </c>
      <c r="S185" t="s">
        <v>73</v>
      </c>
      <c r="T185" t="s">
        <v>738</v>
      </c>
      <c r="U185">
        <v>2161</v>
      </c>
      <c r="V185">
        <v>301</v>
      </c>
      <c r="W185">
        <v>21</v>
      </c>
      <c r="X185">
        <v>176.7</v>
      </c>
      <c r="Y185">
        <v>327.84</v>
      </c>
      <c r="Z185">
        <v>504.54</v>
      </c>
      <c r="AA185" t="s">
        <v>47</v>
      </c>
      <c r="AB185">
        <v>5</v>
      </c>
      <c r="AC185">
        <v>88.06</v>
      </c>
      <c r="AD185">
        <v>229</v>
      </c>
      <c r="AE185">
        <v>270</v>
      </c>
    </row>
    <row r="186" spans="1:31" x14ac:dyDescent="0.25">
      <c r="A186" t="s">
        <v>1063</v>
      </c>
      <c r="B186" t="s">
        <v>1064</v>
      </c>
      <c r="C186" s="1">
        <v>44602</v>
      </c>
      <c r="D186" s="1">
        <v>44779</v>
      </c>
      <c r="E186" t="s">
        <v>65</v>
      </c>
      <c r="F186" t="s">
        <v>34</v>
      </c>
      <c r="G186" t="s">
        <v>102</v>
      </c>
      <c r="H186" t="s">
        <v>36</v>
      </c>
      <c r="I186" t="s">
        <v>1065</v>
      </c>
      <c r="J186" t="s">
        <v>38</v>
      </c>
      <c r="K186" t="s">
        <v>55</v>
      </c>
      <c r="L186" t="s">
        <v>1066</v>
      </c>
      <c r="M186">
        <v>323.37</v>
      </c>
      <c r="N186">
        <v>7</v>
      </c>
      <c r="O186" t="s">
        <v>1067</v>
      </c>
      <c r="P186" t="s">
        <v>108</v>
      </c>
      <c r="Q186" t="s">
        <v>389</v>
      </c>
      <c r="R186" t="s">
        <v>152</v>
      </c>
      <c r="S186" t="s">
        <v>126</v>
      </c>
      <c r="T186" t="s">
        <v>812</v>
      </c>
      <c r="U186">
        <v>1864</v>
      </c>
      <c r="V186">
        <v>73</v>
      </c>
      <c r="W186">
        <v>3</v>
      </c>
      <c r="X186">
        <v>438.63</v>
      </c>
      <c r="Y186">
        <v>12.74</v>
      </c>
      <c r="Z186">
        <v>451.37</v>
      </c>
      <c r="AA186" t="s">
        <v>62</v>
      </c>
      <c r="AB186">
        <v>0</v>
      </c>
      <c r="AC186">
        <v>71.27</v>
      </c>
      <c r="AD186">
        <v>246</v>
      </c>
      <c r="AE186">
        <v>229</v>
      </c>
    </row>
    <row r="187" spans="1:31" x14ac:dyDescent="0.25">
      <c r="A187" t="s">
        <v>1068</v>
      </c>
      <c r="B187" t="s">
        <v>1069</v>
      </c>
      <c r="C187" s="1">
        <v>44659</v>
      </c>
      <c r="D187" s="1">
        <v>44951</v>
      </c>
      <c r="E187" t="s">
        <v>65</v>
      </c>
      <c r="F187" t="s">
        <v>34</v>
      </c>
      <c r="G187" t="s">
        <v>78</v>
      </c>
      <c r="H187" t="s">
        <v>53</v>
      </c>
      <c r="I187" t="s">
        <v>1070</v>
      </c>
      <c r="J187" t="s">
        <v>38</v>
      </c>
      <c r="K187" t="s">
        <v>39</v>
      </c>
      <c r="L187" t="s">
        <v>1071</v>
      </c>
      <c r="M187">
        <v>375.2</v>
      </c>
      <c r="N187">
        <v>91</v>
      </c>
      <c r="O187" t="s">
        <v>1072</v>
      </c>
      <c r="P187" t="s">
        <v>58</v>
      </c>
      <c r="Q187" t="s">
        <v>458</v>
      </c>
      <c r="R187" t="s">
        <v>60</v>
      </c>
      <c r="S187" t="s">
        <v>73</v>
      </c>
      <c r="T187" t="s">
        <v>812</v>
      </c>
      <c r="U187">
        <v>1439</v>
      </c>
      <c r="V187">
        <v>321</v>
      </c>
      <c r="W187">
        <v>19</v>
      </c>
      <c r="X187">
        <v>780.32</v>
      </c>
      <c r="Y187">
        <v>153.44</v>
      </c>
      <c r="Z187">
        <v>933.76</v>
      </c>
      <c r="AA187" t="s">
        <v>62</v>
      </c>
      <c r="AB187">
        <v>0</v>
      </c>
      <c r="AC187">
        <v>90.04</v>
      </c>
      <c r="AD187">
        <v>399</v>
      </c>
      <c r="AE187">
        <v>438</v>
      </c>
    </row>
    <row r="188" spans="1:31" x14ac:dyDescent="0.25">
      <c r="A188" t="s">
        <v>1073</v>
      </c>
      <c r="B188" t="s">
        <v>1074</v>
      </c>
      <c r="C188" s="1">
        <v>45427</v>
      </c>
      <c r="D188" s="1">
        <v>45160</v>
      </c>
      <c r="E188" t="s">
        <v>65</v>
      </c>
      <c r="F188" t="s">
        <v>51</v>
      </c>
      <c r="G188" t="s">
        <v>102</v>
      </c>
      <c r="H188" t="s">
        <v>79</v>
      </c>
      <c r="I188" t="s">
        <v>576</v>
      </c>
      <c r="J188" t="s">
        <v>38</v>
      </c>
      <c r="K188" t="s">
        <v>39</v>
      </c>
      <c r="L188" t="s">
        <v>577</v>
      </c>
      <c r="M188">
        <v>340.4</v>
      </c>
      <c r="N188">
        <v>61</v>
      </c>
      <c r="O188" t="s">
        <v>1075</v>
      </c>
      <c r="P188" t="s">
        <v>141</v>
      </c>
      <c r="Q188" t="s">
        <v>708</v>
      </c>
      <c r="R188" t="s">
        <v>44</v>
      </c>
      <c r="S188" t="s">
        <v>98</v>
      </c>
      <c r="T188" t="s">
        <v>46</v>
      </c>
      <c r="U188">
        <v>2141</v>
      </c>
      <c r="V188">
        <v>257</v>
      </c>
      <c r="W188">
        <v>4</v>
      </c>
      <c r="X188">
        <v>1347.39</v>
      </c>
      <c r="Y188">
        <v>450.32</v>
      </c>
      <c r="Z188">
        <v>1797.71</v>
      </c>
      <c r="AA188" t="s">
        <v>62</v>
      </c>
      <c r="AB188">
        <v>0</v>
      </c>
      <c r="AC188">
        <v>79.7</v>
      </c>
      <c r="AD188">
        <v>410</v>
      </c>
      <c r="AE188">
        <v>421</v>
      </c>
    </row>
    <row r="189" spans="1:31" x14ac:dyDescent="0.25">
      <c r="A189" t="s">
        <v>1076</v>
      </c>
      <c r="B189" t="s">
        <v>1077</v>
      </c>
      <c r="C189" s="1">
        <v>43915</v>
      </c>
      <c r="D189" s="1">
        <v>44448</v>
      </c>
      <c r="E189" t="s">
        <v>65</v>
      </c>
      <c r="F189" t="s">
        <v>51</v>
      </c>
      <c r="G189" t="s">
        <v>343</v>
      </c>
      <c r="H189" t="s">
        <v>163</v>
      </c>
      <c r="I189" t="s">
        <v>1078</v>
      </c>
      <c r="J189" t="s">
        <v>38</v>
      </c>
      <c r="K189" t="s">
        <v>39</v>
      </c>
      <c r="L189" t="s">
        <v>1079</v>
      </c>
      <c r="M189">
        <v>235.53</v>
      </c>
      <c r="N189">
        <v>55</v>
      </c>
      <c r="O189" t="s">
        <v>1029</v>
      </c>
      <c r="P189" t="s">
        <v>42</v>
      </c>
      <c r="Q189" t="s">
        <v>346</v>
      </c>
      <c r="R189" t="s">
        <v>86</v>
      </c>
      <c r="S189" t="s">
        <v>45</v>
      </c>
      <c r="T189" t="s">
        <v>170</v>
      </c>
      <c r="U189">
        <v>1642</v>
      </c>
      <c r="V189">
        <v>325</v>
      </c>
      <c r="W189">
        <v>23</v>
      </c>
      <c r="X189">
        <v>507.61</v>
      </c>
      <c r="Y189">
        <v>99.31</v>
      </c>
      <c r="Z189">
        <v>606.92000000000007</v>
      </c>
      <c r="AA189" t="s">
        <v>62</v>
      </c>
      <c r="AB189">
        <v>0</v>
      </c>
      <c r="AC189">
        <v>82.82</v>
      </c>
      <c r="AD189">
        <v>214</v>
      </c>
      <c r="AE189">
        <v>217</v>
      </c>
    </row>
    <row r="190" spans="1:31" x14ac:dyDescent="0.25">
      <c r="A190" t="s">
        <v>1080</v>
      </c>
      <c r="B190" t="s">
        <v>1081</v>
      </c>
      <c r="C190" s="1">
        <v>44269</v>
      </c>
      <c r="D190" s="1">
        <v>44225</v>
      </c>
      <c r="E190" t="s">
        <v>65</v>
      </c>
      <c r="F190" t="s">
        <v>51</v>
      </c>
      <c r="G190" t="s">
        <v>343</v>
      </c>
      <c r="H190" t="s">
        <v>221</v>
      </c>
      <c r="I190" t="s">
        <v>1082</v>
      </c>
      <c r="J190" t="s">
        <v>38</v>
      </c>
      <c r="K190" t="s">
        <v>81</v>
      </c>
      <c r="L190" t="s">
        <v>1083</v>
      </c>
      <c r="M190">
        <v>74.040000000000006</v>
      </c>
      <c r="N190">
        <v>7</v>
      </c>
      <c r="O190" t="s">
        <v>1084</v>
      </c>
      <c r="P190" t="s">
        <v>42</v>
      </c>
      <c r="Q190" t="s">
        <v>151</v>
      </c>
      <c r="R190" t="s">
        <v>152</v>
      </c>
      <c r="S190" t="s">
        <v>126</v>
      </c>
      <c r="T190" t="s">
        <v>153</v>
      </c>
      <c r="U190">
        <v>3724</v>
      </c>
      <c r="V190">
        <v>466</v>
      </c>
      <c r="W190">
        <v>8</v>
      </c>
      <c r="X190">
        <v>511.79</v>
      </c>
      <c r="Y190">
        <v>65.83</v>
      </c>
      <c r="Z190">
        <v>577.62</v>
      </c>
      <c r="AA190" t="s">
        <v>62</v>
      </c>
      <c r="AB190">
        <v>0</v>
      </c>
      <c r="AC190">
        <v>77.069999999999993</v>
      </c>
      <c r="AD190">
        <v>132</v>
      </c>
      <c r="AE190">
        <v>126</v>
      </c>
    </row>
    <row r="191" spans="1:31" x14ac:dyDescent="0.25">
      <c r="A191" t="s">
        <v>1085</v>
      </c>
      <c r="B191" t="s">
        <v>1086</v>
      </c>
      <c r="C191" s="1">
        <v>44032</v>
      </c>
      <c r="D191" s="1">
        <v>43854</v>
      </c>
      <c r="E191" t="s">
        <v>33</v>
      </c>
      <c r="F191" t="s">
        <v>34</v>
      </c>
      <c r="G191" t="s">
        <v>113</v>
      </c>
      <c r="H191" t="s">
        <v>114</v>
      </c>
      <c r="I191" t="s">
        <v>1087</v>
      </c>
      <c r="J191" t="s">
        <v>38</v>
      </c>
      <c r="K191" t="s">
        <v>81</v>
      </c>
      <c r="L191" t="s">
        <v>1088</v>
      </c>
      <c r="M191">
        <v>199.53</v>
      </c>
      <c r="N191">
        <v>61</v>
      </c>
      <c r="O191" t="s">
        <v>1089</v>
      </c>
      <c r="P191" t="s">
        <v>58</v>
      </c>
      <c r="Q191" t="s">
        <v>118</v>
      </c>
      <c r="R191" t="s">
        <v>44</v>
      </c>
      <c r="S191" t="s">
        <v>98</v>
      </c>
      <c r="T191" t="s">
        <v>99</v>
      </c>
      <c r="U191">
        <v>4021</v>
      </c>
      <c r="V191">
        <v>137</v>
      </c>
      <c r="W191">
        <v>20</v>
      </c>
      <c r="X191">
        <v>1430.03</v>
      </c>
      <c r="Y191">
        <v>258.5</v>
      </c>
      <c r="Z191">
        <v>1688.53</v>
      </c>
      <c r="AA191" t="s">
        <v>62</v>
      </c>
      <c r="AB191">
        <v>0</v>
      </c>
      <c r="AC191">
        <v>70.760000000000005</v>
      </c>
      <c r="AD191">
        <v>470</v>
      </c>
      <c r="AE191">
        <v>426</v>
      </c>
    </row>
    <row r="192" spans="1:31" x14ac:dyDescent="0.25">
      <c r="A192" t="s">
        <v>1090</v>
      </c>
      <c r="B192" t="s">
        <v>1091</v>
      </c>
      <c r="C192" s="1">
        <v>45169</v>
      </c>
      <c r="D192" s="1">
        <v>43862</v>
      </c>
      <c r="E192" t="s">
        <v>50</v>
      </c>
      <c r="F192" t="s">
        <v>77</v>
      </c>
      <c r="G192" t="s">
        <v>92</v>
      </c>
      <c r="H192" t="s">
        <v>53</v>
      </c>
      <c r="I192" t="s">
        <v>1092</v>
      </c>
      <c r="J192" t="s">
        <v>165</v>
      </c>
      <c r="K192" t="s">
        <v>202</v>
      </c>
      <c r="L192" t="s">
        <v>1093</v>
      </c>
      <c r="M192">
        <v>355.56</v>
      </c>
      <c r="N192">
        <v>28</v>
      </c>
      <c r="O192" t="s">
        <v>1094</v>
      </c>
      <c r="P192" t="s">
        <v>42</v>
      </c>
      <c r="Q192" t="s">
        <v>142</v>
      </c>
      <c r="R192" t="s">
        <v>152</v>
      </c>
      <c r="S192" t="s">
        <v>98</v>
      </c>
      <c r="T192" t="s">
        <v>437</v>
      </c>
      <c r="U192">
        <v>3754</v>
      </c>
      <c r="V192">
        <v>367</v>
      </c>
      <c r="W192">
        <v>1</v>
      </c>
      <c r="X192">
        <v>297.49</v>
      </c>
      <c r="Y192">
        <v>226.33</v>
      </c>
      <c r="Z192">
        <v>523.82000000000005</v>
      </c>
      <c r="AA192" t="s">
        <v>62</v>
      </c>
      <c r="AB192">
        <v>0</v>
      </c>
      <c r="AC192">
        <v>83.6</v>
      </c>
      <c r="AD192">
        <v>289</v>
      </c>
      <c r="AE192">
        <v>287</v>
      </c>
    </row>
    <row r="193" spans="1:31" x14ac:dyDescent="0.25">
      <c r="A193" t="s">
        <v>1095</v>
      </c>
      <c r="B193" t="s">
        <v>1096</v>
      </c>
      <c r="C193" s="1">
        <v>45055</v>
      </c>
      <c r="D193" s="1">
        <v>44006</v>
      </c>
      <c r="E193" t="s">
        <v>50</v>
      </c>
      <c r="F193" t="s">
        <v>77</v>
      </c>
      <c r="G193" t="s">
        <v>343</v>
      </c>
      <c r="H193" t="s">
        <v>53</v>
      </c>
      <c r="I193" t="s">
        <v>1097</v>
      </c>
      <c r="J193" t="s">
        <v>165</v>
      </c>
      <c r="K193" t="s">
        <v>1098</v>
      </c>
      <c r="L193" t="s">
        <v>1099</v>
      </c>
      <c r="M193">
        <v>107.85</v>
      </c>
      <c r="N193">
        <v>78</v>
      </c>
      <c r="O193" t="s">
        <v>737</v>
      </c>
      <c r="P193" t="s">
        <v>42</v>
      </c>
      <c r="Q193" t="s">
        <v>370</v>
      </c>
      <c r="R193" t="s">
        <v>60</v>
      </c>
      <c r="S193" t="s">
        <v>98</v>
      </c>
      <c r="T193" t="s">
        <v>644</v>
      </c>
      <c r="U193">
        <v>4926</v>
      </c>
      <c r="V193">
        <v>387</v>
      </c>
      <c r="W193">
        <v>21</v>
      </c>
      <c r="X193">
        <v>692.15</v>
      </c>
      <c r="Y193">
        <v>130.80000000000001</v>
      </c>
      <c r="Z193">
        <v>822.95</v>
      </c>
      <c r="AA193" t="s">
        <v>62</v>
      </c>
      <c r="AB193">
        <v>0</v>
      </c>
      <c r="AC193">
        <v>74.83</v>
      </c>
      <c r="AD193">
        <v>286</v>
      </c>
      <c r="AE193">
        <v>317</v>
      </c>
    </row>
    <row r="194" spans="1:31" x14ac:dyDescent="0.25">
      <c r="A194" t="s">
        <v>1100</v>
      </c>
      <c r="B194" t="s">
        <v>1101</v>
      </c>
      <c r="C194" s="1">
        <v>45130</v>
      </c>
      <c r="D194" s="1">
        <v>45532</v>
      </c>
      <c r="E194" t="s">
        <v>65</v>
      </c>
      <c r="F194" t="s">
        <v>91</v>
      </c>
      <c r="G194" t="s">
        <v>92</v>
      </c>
      <c r="H194" t="s">
        <v>147</v>
      </c>
      <c r="I194" t="s">
        <v>1102</v>
      </c>
      <c r="J194" t="s">
        <v>104</v>
      </c>
      <c r="K194" t="s">
        <v>181</v>
      </c>
      <c r="L194" t="s">
        <v>1103</v>
      </c>
      <c r="M194">
        <v>23.18</v>
      </c>
      <c r="N194">
        <v>37</v>
      </c>
      <c r="O194" t="s">
        <v>307</v>
      </c>
      <c r="P194" t="s">
        <v>58</v>
      </c>
      <c r="Q194" t="s">
        <v>232</v>
      </c>
      <c r="R194" t="s">
        <v>86</v>
      </c>
      <c r="S194" t="s">
        <v>73</v>
      </c>
      <c r="T194" t="s">
        <v>371</v>
      </c>
      <c r="U194">
        <v>2600</v>
      </c>
      <c r="V194">
        <v>122</v>
      </c>
      <c r="W194">
        <v>3</v>
      </c>
      <c r="X194">
        <v>1942.19</v>
      </c>
      <c r="Y194">
        <v>452.53</v>
      </c>
      <c r="Z194">
        <v>2394.7199999999998</v>
      </c>
      <c r="AA194" t="s">
        <v>62</v>
      </c>
      <c r="AB194">
        <v>0</v>
      </c>
      <c r="AC194">
        <v>97.75</v>
      </c>
      <c r="AD194">
        <v>304</v>
      </c>
      <c r="AE194">
        <v>295</v>
      </c>
    </row>
    <row r="195" spans="1:31" x14ac:dyDescent="0.25">
      <c r="A195" t="s">
        <v>1104</v>
      </c>
      <c r="B195" t="s">
        <v>1105</v>
      </c>
      <c r="C195" s="1">
        <v>44324</v>
      </c>
      <c r="D195" s="1">
        <v>44903</v>
      </c>
      <c r="E195" t="s">
        <v>50</v>
      </c>
      <c r="F195" t="s">
        <v>51</v>
      </c>
      <c r="G195" t="s">
        <v>92</v>
      </c>
      <c r="H195" t="s">
        <v>67</v>
      </c>
      <c r="I195" t="s">
        <v>1106</v>
      </c>
      <c r="J195" t="s">
        <v>38</v>
      </c>
      <c r="K195" t="s">
        <v>55</v>
      </c>
      <c r="L195" t="s">
        <v>1107</v>
      </c>
      <c r="M195">
        <v>27.74</v>
      </c>
      <c r="N195">
        <v>37</v>
      </c>
      <c r="O195" t="s">
        <v>1108</v>
      </c>
      <c r="P195" t="s">
        <v>58</v>
      </c>
      <c r="Q195" t="s">
        <v>353</v>
      </c>
      <c r="R195" t="s">
        <v>86</v>
      </c>
      <c r="S195" t="s">
        <v>98</v>
      </c>
      <c r="T195" t="s">
        <v>481</v>
      </c>
      <c r="U195">
        <v>1323</v>
      </c>
      <c r="V195">
        <v>274</v>
      </c>
      <c r="W195">
        <v>7</v>
      </c>
      <c r="X195">
        <v>86.22</v>
      </c>
      <c r="Y195">
        <v>89.82</v>
      </c>
      <c r="Z195">
        <v>176.04</v>
      </c>
      <c r="AA195" t="s">
        <v>62</v>
      </c>
      <c r="AB195">
        <v>0</v>
      </c>
      <c r="AC195">
        <v>85.18</v>
      </c>
      <c r="AD195">
        <v>334</v>
      </c>
      <c r="AE195">
        <v>320</v>
      </c>
    </row>
    <row r="196" spans="1:31" x14ac:dyDescent="0.25">
      <c r="A196" t="s">
        <v>1109</v>
      </c>
      <c r="B196" t="s">
        <v>1110</v>
      </c>
      <c r="C196" s="1">
        <v>45228</v>
      </c>
      <c r="D196" s="1">
        <v>45073</v>
      </c>
      <c r="E196" t="s">
        <v>65</v>
      </c>
      <c r="F196" t="s">
        <v>34</v>
      </c>
      <c r="G196" t="s">
        <v>92</v>
      </c>
      <c r="H196" t="s">
        <v>79</v>
      </c>
      <c r="I196" t="s">
        <v>1111</v>
      </c>
      <c r="J196" t="s">
        <v>38</v>
      </c>
      <c r="K196" t="s">
        <v>55</v>
      </c>
      <c r="L196" t="s">
        <v>1112</v>
      </c>
      <c r="M196">
        <v>414.94</v>
      </c>
      <c r="N196">
        <v>23</v>
      </c>
      <c r="O196" t="s">
        <v>1113</v>
      </c>
      <c r="P196" t="s">
        <v>84</v>
      </c>
      <c r="Q196" t="s">
        <v>980</v>
      </c>
      <c r="R196" t="s">
        <v>44</v>
      </c>
      <c r="S196" t="s">
        <v>87</v>
      </c>
      <c r="T196" t="s">
        <v>1038</v>
      </c>
      <c r="U196">
        <v>2076</v>
      </c>
      <c r="V196">
        <v>147</v>
      </c>
      <c r="W196">
        <v>26</v>
      </c>
      <c r="X196">
        <v>51.65</v>
      </c>
      <c r="Y196">
        <v>275.05</v>
      </c>
      <c r="Z196">
        <v>326.7</v>
      </c>
      <c r="AA196" t="s">
        <v>62</v>
      </c>
      <c r="AB196">
        <v>0</v>
      </c>
      <c r="AC196">
        <v>71.900000000000006</v>
      </c>
      <c r="AD196">
        <v>223</v>
      </c>
      <c r="AE196">
        <v>222</v>
      </c>
    </row>
    <row r="197" spans="1:31" x14ac:dyDescent="0.25">
      <c r="A197" t="s">
        <v>1114</v>
      </c>
      <c r="B197" t="s">
        <v>1115</v>
      </c>
      <c r="C197" s="1">
        <v>43831</v>
      </c>
      <c r="D197" s="1">
        <v>45097</v>
      </c>
      <c r="E197" t="s">
        <v>50</v>
      </c>
      <c r="F197" t="s">
        <v>146</v>
      </c>
      <c r="G197" t="s">
        <v>102</v>
      </c>
      <c r="H197" t="s">
        <v>53</v>
      </c>
      <c r="I197" t="s">
        <v>1116</v>
      </c>
      <c r="J197" t="s">
        <v>38</v>
      </c>
      <c r="K197" t="s">
        <v>39</v>
      </c>
      <c r="L197" t="s">
        <v>1117</v>
      </c>
      <c r="M197">
        <v>247.47</v>
      </c>
      <c r="N197">
        <v>78</v>
      </c>
      <c r="O197" t="s">
        <v>817</v>
      </c>
      <c r="P197" t="s">
        <v>42</v>
      </c>
      <c r="Q197" t="s">
        <v>97</v>
      </c>
      <c r="R197" t="s">
        <v>60</v>
      </c>
      <c r="S197" t="s">
        <v>45</v>
      </c>
      <c r="T197" t="s">
        <v>61</v>
      </c>
      <c r="U197">
        <v>4660</v>
      </c>
      <c r="V197">
        <v>439</v>
      </c>
      <c r="W197">
        <v>21</v>
      </c>
      <c r="X197">
        <v>404.37</v>
      </c>
      <c r="Y197">
        <v>201.21</v>
      </c>
      <c r="Z197">
        <v>605.58000000000004</v>
      </c>
      <c r="AA197" t="s">
        <v>62</v>
      </c>
      <c r="AB197">
        <v>0</v>
      </c>
      <c r="AC197">
        <v>71.53</v>
      </c>
      <c r="AD197">
        <v>424</v>
      </c>
      <c r="AE197">
        <v>387</v>
      </c>
    </row>
    <row r="198" spans="1:31" x14ac:dyDescent="0.25">
      <c r="A198" t="s">
        <v>1118</v>
      </c>
      <c r="B198" t="s">
        <v>1119</v>
      </c>
      <c r="C198" s="1">
        <v>44445</v>
      </c>
      <c r="D198" s="1">
        <v>44102</v>
      </c>
      <c r="E198" t="s">
        <v>65</v>
      </c>
      <c r="F198" t="s">
        <v>34</v>
      </c>
      <c r="G198" t="s">
        <v>113</v>
      </c>
      <c r="H198" t="s">
        <v>36</v>
      </c>
      <c r="I198" t="s">
        <v>1120</v>
      </c>
      <c r="J198" t="s">
        <v>38</v>
      </c>
      <c r="K198" t="s">
        <v>81</v>
      </c>
      <c r="L198" t="s">
        <v>1121</v>
      </c>
      <c r="M198">
        <v>110.28</v>
      </c>
      <c r="N198">
        <v>61</v>
      </c>
      <c r="O198" t="s">
        <v>1122</v>
      </c>
      <c r="P198" t="s">
        <v>58</v>
      </c>
      <c r="Q198" t="s">
        <v>118</v>
      </c>
      <c r="R198" t="s">
        <v>44</v>
      </c>
      <c r="S198" t="s">
        <v>98</v>
      </c>
      <c r="T198" t="s">
        <v>284</v>
      </c>
      <c r="U198">
        <v>4847</v>
      </c>
      <c r="V198">
        <v>54</v>
      </c>
      <c r="W198">
        <v>7</v>
      </c>
      <c r="X198">
        <v>1775.82</v>
      </c>
      <c r="Y198">
        <v>272.06</v>
      </c>
      <c r="Z198">
        <v>2047.88</v>
      </c>
      <c r="AA198" t="s">
        <v>47</v>
      </c>
      <c r="AB198">
        <v>12</v>
      </c>
      <c r="AC198">
        <v>79.290000000000006</v>
      </c>
      <c r="AD198">
        <v>358</v>
      </c>
      <c r="AE198">
        <v>319</v>
      </c>
    </row>
    <row r="199" spans="1:31" x14ac:dyDescent="0.25">
      <c r="A199" t="s">
        <v>1123</v>
      </c>
      <c r="B199" t="s">
        <v>1124</v>
      </c>
      <c r="C199" s="1">
        <v>44381</v>
      </c>
      <c r="D199" s="1">
        <v>45275</v>
      </c>
      <c r="E199" t="s">
        <v>33</v>
      </c>
      <c r="F199" t="s">
        <v>91</v>
      </c>
      <c r="G199" t="s">
        <v>92</v>
      </c>
      <c r="H199" t="s">
        <v>67</v>
      </c>
      <c r="I199" t="s">
        <v>1125</v>
      </c>
      <c r="J199" t="s">
        <v>165</v>
      </c>
      <c r="K199" t="s">
        <v>166</v>
      </c>
      <c r="L199" t="s">
        <v>1126</v>
      </c>
      <c r="M199">
        <v>459.68</v>
      </c>
      <c r="N199">
        <v>27</v>
      </c>
      <c r="O199" t="s">
        <v>1127</v>
      </c>
      <c r="P199" t="s">
        <v>141</v>
      </c>
      <c r="Q199" t="s">
        <v>532</v>
      </c>
      <c r="R199" t="s">
        <v>60</v>
      </c>
      <c r="S199" t="s">
        <v>126</v>
      </c>
      <c r="T199" t="s">
        <v>308</v>
      </c>
      <c r="U199">
        <v>188</v>
      </c>
      <c r="V199">
        <v>160</v>
      </c>
      <c r="W199">
        <v>24</v>
      </c>
      <c r="X199">
        <v>272.56</v>
      </c>
      <c r="Y199">
        <v>314.79000000000002</v>
      </c>
      <c r="Z199">
        <v>587.35</v>
      </c>
      <c r="AA199" t="s">
        <v>62</v>
      </c>
      <c r="AB199">
        <v>0</v>
      </c>
      <c r="AC199">
        <v>76.39</v>
      </c>
      <c r="AD199">
        <v>457</v>
      </c>
      <c r="AE199">
        <v>435</v>
      </c>
    </row>
    <row r="200" spans="1:31" x14ac:dyDescent="0.25">
      <c r="A200" t="s">
        <v>1128</v>
      </c>
      <c r="B200" t="s">
        <v>1129</v>
      </c>
      <c r="C200" s="1">
        <v>45003</v>
      </c>
      <c r="D200" s="1">
        <v>44359</v>
      </c>
      <c r="E200" t="s">
        <v>65</v>
      </c>
      <c r="F200" t="s">
        <v>34</v>
      </c>
      <c r="G200" t="s">
        <v>113</v>
      </c>
      <c r="H200" t="s">
        <v>147</v>
      </c>
      <c r="I200" t="s">
        <v>1130</v>
      </c>
      <c r="J200" t="s">
        <v>104</v>
      </c>
      <c r="K200" t="s">
        <v>554</v>
      </c>
      <c r="L200" t="s">
        <v>1131</v>
      </c>
      <c r="M200">
        <v>177.53</v>
      </c>
      <c r="N200">
        <v>62</v>
      </c>
      <c r="O200" t="s">
        <v>1132</v>
      </c>
      <c r="P200" t="s">
        <v>108</v>
      </c>
      <c r="Q200" t="s">
        <v>97</v>
      </c>
      <c r="R200" t="s">
        <v>86</v>
      </c>
      <c r="S200" t="s">
        <v>87</v>
      </c>
      <c r="T200" t="s">
        <v>627</v>
      </c>
      <c r="U200">
        <v>4600</v>
      </c>
      <c r="V200">
        <v>365</v>
      </c>
      <c r="W200">
        <v>6</v>
      </c>
      <c r="X200">
        <v>1142.79</v>
      </c>
      <c r="Y200">
        <v>392.48</v>
      </c>
      <c r="Z200">
        <v>1535.27</v>
      </c>
      <c r="AA200" t="s">
        <v>62</v>
      </c>
      <c r="AB200">
        <v>0</v>
      </c>
      <c r="AC200">
        <v>99.38</v>
      </c>
      <c r="AD200">
        <v>449</v>
      </c>
      <c r="AE200">
        <v>474</v>
      </c>
    </row>
    <row r="201" spans="1:31" x14ac:dyDescent="0.25">
      <c r="A201" t="s">
        <v>1133</v>
      </c>
      <c r="B201" t="s">
        <v>1134</v>
      </c>
      <c r="C201" s="1">
        <v>44032</v>
      </c>
      <c r="D201" s="1">
        <v>45080</v>
      </c>
      <c r="E201" t="s">
        <v>65</v>
      </c>
      <c r="F201" t="s">
        <v>91</v>
      </c>
      <c r="G201" t="s">
        <v>102</v>
      </c>
      <c r="H201" t="s">
        <v>163</v>
      </c>
      <c r="I201" t="s">
        <v>1135</v>
      </c>
      <c r="J201" t="s">
        <v>104</v>
      </c>
      <c r="K201" t="s">
        <v>554</v>
      </c>
      <c r="L201" t="s">
        <v>1136</v>
      </c>
      <c r="M201">
        <v>51.69</v>
      </c>
      <c r="N201">
        <v>37</v>
      </c>
      <c r="O201" t="s">
        <v>1137</v>
      </c>
      <c r="P201" t="s">
        <v>42</v>
      </c>
      <c r="Q201" t="s">
        <v>169</v>
      </c>
      <c r="R201" t="s">
        <v>44</v>
      </c>
      <c r="S201" t="s">
        <v>126</v>
      </c>
      <c r="T201" t="s">
        <v>134</v>
      </c>
      <c r="U201">
        <v>4713</v>
      </c>
      <c r="V201">
        <v>370</v>
      </c>
      <c r="W201">
        <v>8</v>
      </c>
      <c r="X201">
        <v>686.76</v>
      </c>
      <c r="Y201">
        <v>263.17</v>
      </c>
      <c r="Z201">
        <v>949.93000000000006</v>
      </c>
      <c r="AA201" t="s">
        <v>62</v>
      </c>
      <c r="AB201">
        <v>0</v>
      </c>
      <c r="AC201">
        <v>91.28</v>
      </c>
      <c r="AD201">
        <v>206</v>
      </c>
      <c r="AE201">
        <v>212</v>
      </c>
    </row>
    <row r="202" spans="1:31" x14ac:dyDescent="0.25">
      <c r="A202" t="s">
        <v>1138</v>
      </c>
      <c r="B202" t="s">
        <v>1139</v>
      </c>
      <c r="C202" s="1">
        <v>44798</v>
      </c>
      <c r="D202" s="1">
        <v>43884</v>
      </c>
      <c r="E202" t="s">
        <v>65</v>
      </c>
      <c r="F202" t="s">
        <v>34</v>
      </c>
      <c r="G202" t="s">
        <v>35</v>
      </c>
      <c r="H202" t="s">
        <v>36</v>
      </c>
      <c r="I202" t="s">
        <v>1140</v>
      </c>
      <c r="J202" t="s">
        <v>104</v>
      </c>
      <c r="K202" t="s">
        <v>554</v>
      </c>
      <c r="L202" t="s">
        <v>1141</v>
      </c>
      <c r="M202">
        <v>13.4</v>
      </c>
      <c r="N202">
        <v>93</v>
      </c>
      <c r="O202" t="s">
        <v>1142</v>
      </c>
      <c r="P202" t="s">
        <v>141</v>
      </c>
      <c r="Q202" t="s">
        <v>408</v>
      </c>
      <c r="R202" t="s">
        <v>86</v>
      </c>
      <c r="S202" t="s">
        <v>45</v>
      </c>
      <c r="T202" t="s">
        <v>119</v>
      </c>
      <c r="U202">
        <v>4650</v>
      </c>
      <c r="V202">
        <v>434</v>
      </c>
      <c r="W202">
        <v>19</v>
      </c>
      <c r="X202">
        <v>690.84</v>
      </c>
      <c r="Y202">
        <v>475.24</v>
      </c>
      <c r="Z202">
        <v>1166.08</v>
      </c>
      <c r="AA202" t="s">
        <v>62</v>
      </c>
      <c r="AB202">
        <v>0</v>
      </c>
      <c r="AC202">
        <v>93.73</v>
      </c>
      <c r="AD202">
        <v>273</v>
      </c>
      <c r="AE202">
        <v>307</v>
      </c>
    </row>
    <row r="203" spans="1:31" x14ac:dyDescent="0.25">
      <c r="A203" t="s">
        <v>1143</v>
      </c>
      <c r="B203" t="s">
        <v>1144</v>
      </c>
      <c r="C203" s="1">
        <v>44059</v>
      </c>
      <c r="D203" s="1">
        <v>44058</v>
      </c>
      <c r="E203" t="s">
        <v>65</v>
      </c>
      <c r="F203" t="s">
        <v>146</v>
      </c>
      <c r="G203" t="s">
        <v>102</v>
      </c>
      <c r="H203" t="s">
        <v>36</v>
      </c>
      <c r="I203" t="s">
        <v>1145</v>
      </c>
      <c r="J203" t="s">
        <v>38</v>
      </c>
      <c r="K203" t="s">
        <v>338</v>
      </c>
      <c r="L203" t="s">
        <v>1146</v>
      </c>
      <c r="M203">
        <v>357.32</v>
      </c>
      <c r="N203">
        <v>73</v>
      </c>
      <c r="O203" t="s">
        <v>1147</v>
      </c>
      <c r="P203" t="s">
        <v>58</v>
      </c>
      <c r="Q203" t="s">
        <v>191</v>
      </c>
      <c r="R203" t="s">
        <v>60</v>
      </c>
      <c r="S203" t="s">
        <v>45</v>
      </c>
      <c r="T203" t="s">
        <v>259</v>
      </c>
      <c r="U203">
        <v>1937</v>
      </c>
      <c r="V203">
        <v>251</v>
      </c>
      <c r="W203">
        <v>6</v>
      </c>
      <c r="X203">
        <v>1161.28</v>
      </c>
      <c r="Y203">
        <v>497.52</v>
      </c>
      <c r="Z203">
        <v>1658.8</v>
      </c>
      <c r="AA203" t="s">
        <v>62</v>
      </c>
      <c r="AB203">
        <v>0</v>
      </c>
      <c r="AC203">
        <v>84.19</v>
      </c>
      <c r="AD203">
        <v>328</v>
      </c>
      <c r="AE203">
        <v>330</v>
      </c>
    </row>
    <row r="204" spans="1:31" x14ac:dyDescent="0.25">
      <c r="A204" t="s">
        <v>1148</v>
      </c>
      <c r="B204" t="s">
        <v>1149</v>
      </c>
      <c r="C204" s="1">
        <v>44046</v>
      </c>
      <c r="D204" s="1">
        <v>44773</v>
      </c>
      <c r="E204" t="s">
        <v>65</v>
      </c>
      <c r="F204" t="s">
        <v>51</v>
      </c>
      <c r="G204" t="s">
        <v>52</v>
      </c>
      <c r="H204" t="s">
        <v>221</v>
      </c>
      <c r="I204" t="s">
        <v>1150</v>
      </c>
      <c r="J204" t="s">
        <v>38</v>
      </c>
      <c r="K204" t="s">
        <v>338</v>
      </c>
      <c r="L204" t="s">
        <v>1151</v>
      </c>
      <c r="M204">
        <v>242.51</v>
      </c>
      <c r="N204">
        <v>54</v>
      </c>
      <c r="O204" t="s">
        <v>1152</v>
      </c>
      <c r="P204" t="s">
        <v>58</v>
      </c>
      <c r="Q204" t="s">
        <v>491</v>
      </c>
      <c r="R204" t="s">
        <v>60</v>
      </c>
      <c r="S204" t="s">
        <v>45</v>
      </c>
      <c r="T204" t="s">
        <v>371</v>
      </c>
      <c r="U204">
        <v>4884</v>
      </c>
      <c r="V204">
        <v>459</v>
      </c>
      <c r="W204">
        <v>12</v>
      </c>
      <c r="X204">
        <v>1037.33</v>
      </c>
      <c r="Y204">
        <v>350.54</v>
      </c>
      <c r="Z204">
        <v>1387.87</v>
      </c>
      <c r="AA204" t="s">
        <v>62</v>
      </c>
      <c r="AB204">
        <v>0</v>
      </c>
      <c r="AC204">
        <v>70.739999999999995</v>
      </c>
      <c r="AD204">
        <v>354</v>
      </c>
      <c r="AE204">
        <v>334</v>
      </c>
    </row>
    <row r="205" spans="1:31" x14ac:dyDescent="0.25">
      <c r="A205" t="s">
        <v>1153</v>
      </c>
      <c r="B205" t="s">
        <v>1154</v>
      </c>
      <c r="C205" s="1">
        <v>43990</v>
      </c>
      <c r="D205" s="1">
        <v>45018</v>
      </c>
      <c r="E205" t="s">
        <v>33</v>
      </c>
      <c r="F205" t="s">
        <v>91</v>
      </c>
      <c r="G205" t="s">
        <v>343</v>
      </c>
      <c r="H205" t="s">
        <v>79</v>
      </c>
      <c r="I205" t="s">
        <v>1155</v>
      </c>
      <c r="J205" t="s">
        <v>38</v>
      </c>
      <c r="K205" t="s">
        <v>94</v>
      </c>
      <c r="L205" t="s">
        <v>1156</v>
      </c>
      <c r="M205">
        <v>156.01</v>
      </c>
      <c r="N205">
        <v>5</v>
      </c>
      <c r="O205" t="s">
        <v>1157</v>
      </c>
      <c r="P205" t="s">
        <v>84</v>
      </c>
      <c r="Q205" t="s">
        <v>191</v>
      </c>
      <c r="R205" t="s">
        <v>44</v>
      </c>
      <c r="S205" t="s">
        <v>126</v>
      </c>
      <c r="T205" t="s">
        <v>1038</v>
      </c>
      <c r="U205">
        <v>4114</v>
      </c>
      <c r="V205">
        <v>402</v>
      </c>
      <c r="W205">
        <v>25</v>
      </c>
      <c r="X205">
        <v>1786.27</v>
      </c>
      <c r="Y205">
        <v>273.60000000000002</v>
      </c>
      <c r="Z205">
        <v>2059.87</v>
      </c>
      <c r="AA205" t="s">
        <v>47</v>
      </c>
      <c r="AB205">
        <v>13</v>
      </c>
      <c r="AC205">
        <v>77.319999999999993</v>
      </c>
      <c r="AD205">
        <v>497</v>
      </c>
      <c r="AE205">
        <v>546</v>
      </c>
    </row>
    <row r="206" spans="1:31" x14ac:dyDescent="0.25">
      <c r="A206" t="s">
        <v>1158</v>
      </c>
      <c r="B206" t="s">
        <v>1159</v>
      </c>
      <c r="C206" s="1">
        <v>44991</v>
      </c>
      <c r="D206" s="1">
        <v>44384</v>
      </c>
      <c r="E206" t="s">
        <v>50</v>
      </c>
      <c r="F206" t="s">
        <v>77</v>
      </c>
      <c r="G206" t="s">
        <v>102</v>
      </c>
      <c r="H206" t="s">
        <v>67</v>
      </c>
      <c r="I206" t="s">
        <v>1160</v>
      </c>
      <c r="J206" t="s">
        <v>38</v>
      </c>
      <c r="K206" t="s">
        <v>94</v>
      </c>
      <c r="L206" t="s">
        <v>1161</v>
      </c>
      <c r="M206">
        <v>60.29</v>
      </c>
      <c r="N206">
        <v>45</v>
      </c>
      <c r="O206" t="s">
        <v>1162</v>
      </c>
      <c r="P206" t="s">
        <v>108</v>
      </c>
      <c r="Q206" t="s">
        <v>169</v>
      </c>
      <c r="R206" t="s">
        <v>60</v>
      </c>
      <c r="S206" t="s">
        <v>87</v>
      </c>
      <c r="T206" t="s">
        <v>371</v>
      </c>
      <c r="U206">
        <v>4273</v>
      </c>
      <c r="V206">
        <v>287</v>
      </c>
      <c r="W206">
        <v>7</v>
      </c>
      <c r="X206">
        <v>1400.45</v>
      </c>
      <c r="Y206">
        <v>28.15</v>
      </c>
      <c r="Z206">
        <v>1428.6</v>
      </c>
      <c r="AA206" t="s">
        <v>62</v>
      </c>
      <c r="AB206">
        <v>0</v>
      </c>
      <c r="AC206">
        <v>77.760000000000005</v>
      </c>
      <c r="AD206">
        <v>151</v>
      </c>
      <c r="AE206">
        <v>158</v>
      </c>
    </row>
    <row r="207" spans="1:31" x14ac:dyDescent="0.25">
      <c r="A207" t="s">
        <v>1163</v>
      </c>
      <c r="B207" t="s">
        <v>1164</v>
      </c>
      <c r="C207" s="1">
        <v>44880</v>
      </c>
      <c r="D207" s="1">
        <v>45355</v>
      </c>
      <c r="E207" t="s">
        <v>65</v>
      </c>
      <c r="F207" t="s">
        <v>146</v>
      </c>
      <c r="G207" t="s">
        <v>92</v>
      </c>
      <c r="H207" t="s">
        <v>147</v>
      </c>
      <c r="I207" t="s">
        <v>1165</v>
      </c>
      <c r="J207" t="s">
        <v>38</v>
      </c>
      <c r="K207" t="s">
        <v>55</v>
      </c>
      <c r="L207" t="s">
        <v>1166</v>
      </c>
      <c r="M207">
        <v>242.39</v>
      </c>
      <c r="N207">
        <v>65</v>
      </c>
      <c r="O207" t="s">
        <v>1167</v>
      </c>
      <c r="P207" t="s">
        <v>58</v>
      </c>
      <c r="Q207" t="s">
        <v>377</v>
      </c>
      <c r="R207" t="s">
        <v>152</v>
      </c>
      <c r="S207" t="s">
        <v>98</v>
      </c>
      <c r="T207" t="s">
        <v>1168</v>
      </c>
      <c r="U207">
        <v>1323</v>
      </c>
      <c r="V207">
        <v>134</v>
      </c>
      <c r="W207">
        <v>26</v>
      </c>
      <c r="X207">
        <v>721.05</v>
      </c>
      <c r="Y207">
        <v>186.83</v>
      </c>
      <c r="Z207">
        <v>907.88</v>
      </c>
      <c r="AA207" t="s">
        <v>62</v>
      </c>
      <c r="AB207">
        <v>0</v>
      </c>
      <c r="AC207">
        <v>79.959999999999994</v>
      </c>
      <c r="AD207">
        <v>314</v>
      </c>
      <c r="AE207">
        <v>350</v>
      </c>
    </row>
    <row r="208" spans="1:31" x14ac:dyDescent="0.25">
      <c r="A208" t="s">
        <v>1169</v>
      </c>
      <c r="B208" t="s">
        <v>1170</v>
      </c>
      <c r="C208" s="1">
        <v>45081</v>
      </c>
      <c r="D208" s="1">
        <v>43951</v>
      </c>
      <c r="E208" t="s">
        <v>65</v>
      </c>
      <c r="F208" t="s">
        <v>51</v>
      </c>
      <c r="G208" t="s">
        <v>113</v>
      </c>
      <c r="H208" t="s">
        <v>53</v>
      </c>
      <c r="I208" t="s">
        <v>1171</v>
      </c>
      <c r="J208" t="s">
        <v>38</v>
      </c>
      <c r="K208" t="s">
        <v>55</v>
      </c>
      <c r="L208" t="s">
        <v>1172</v>
      </c>
      <c r="M208">
        <v>255.87</v>
      </c>
      <c r="N208">
        <v>12</v>
      </c>
      <c r="O208" t="s">
        <v>707</v>
      </c>
      <c r="P208" t="s">
        <v>42</v>
      </c>
      <c r="Q208" t="s">
        <v>142</v>
      </c>
      <c r="R208" t="s">
        <v>86</v>
      </c>
      <c r="S208" t="s">
        <v>73</v>
      </c>
      <c r="T208" t="s">
        <v>910</v>
      </c>
      <c r="U208">
        <v>4585</v>
      </c>
      <c r="V208">
        <v>304</v>
      </c>
      <c r="W208">
        <v>15</v>
      </c>
      <c r="X208">
        <v>1977.02</v>
      </c>
      <c r="Y208">
        <v>249.04</v>
      </c>
      <c r="Z208">
        <v>2226.06</v>
      </c>
      <c r="AA208" t="s">
        <v>62</v>
      </c>
      <c r="AB208">
        <v>0</v>
      </c>
      <c r="AC208">
        <v>86.17</v>
      </c>
      <c r="AD208">
        <v>61</v>
      </c>
      <c r="AE208">
        <v>66</v>
      </c>
    </row>
    <row r="209" spans="1:31" x14ac:dyDescent="0.25">
      <c r="A209" t="s">
        <v>1173</v>
      </c>
      <c r="B209" t="s">
        <v>1174</v>
      </c>
      <c r="C209" s="1">
        <v>45212</v>
      </c>
      <c r="D209" s="1">
        <v>45203</v>
      </c>
      <c r="E209" t="s">
        <v>65</v>
      </c>
      <c r="F209" t="s">
        <v>34</v>
      </c>
      <c r="G209" t="s">
        <v>52</v>
      </c>
      <c r="H209" t="s">
        <v>163</v>
      </c>
      <c r="I209" t="s">
        <v>417</v>
      </c>
      <c r="J209" t="s">
        <v>38</v>
      </c>
      <c r="K209" t="s">
        <v>55</v>
      </c>
      <c r="L209" t="s">
        <v>418</v>
      </c>
      <c r="M209">
        <v>480.68</v>
      </c>
      <c r="N209">
        <v>53</v>
      </c>
      <c r="O209" t="s">
        <v>1175</v>
      </c>
      <c r="P209" t="s">
        <v>84</v>
      </c>
      <c r="Q209" t="s">
        <v>169</v>
      </c>
      <c r="R209" t="s">
        <v>60</v>
      </c>
      <c r="S209" t="s">
        <v>45</v>
      </c>
      <c r="T209" t="s">
        <v>812</v>
      </c>
      <c r="U209">
        <v>765</v>
      </c>
      <c r="V209">
        <v>443</v>
      </c>
      <c r="W209">
        <v>27</v>
      </c>
      <c r="X209">
        <v>287.43</v>
      </c>
      <c r="Y209">
        <v>85.94</v>
      </c>
      <c r="Z209">
        <v>373.37</v>
      </c>
      <c r="AA209" t="s">
        <v>62</v>
      </c>
      <c r="AB209">
        <v>0</v>
      </c>
      <c r="AC209">
        <v>78.12</v>
      </c>
      <c r="AD209">
        <v>134</v>
      </c>
      <c r="AE209">
        <v>153</v>
      </c>
    </row>
    <row r="210" spans="1:31" x14ac:dyDescent="0.25">
      <c r="A210" t="s">
        <v>1176</v>
      </c>
      <c r="B210" t="s">
        <v>1177</v>
      </c>
      <c r="C210" s="1">
        <v>44217</v>
      </c>
      <c r="D210" s="1">
        <v>44778</v>
      </c>
      <c r="E210" t="s">
        <v>65</v>
      </c>
      <c r="F210" t="s">
        <v>146</v>
      </c>
      <c r="G210" t="s">
        <v>113</v>
      </c>
      <c r="H210" t="s">
        <v>163</v>
      </c>
      <c r="I210" t="s">
        <v>520</v>
      </c>
      <c r="J210" t="s">
        <v>38</v>
      </c>
      <c r="K210" t="s">
        <v>55</v>
      </c>
      <c r="L210" t="s">
        <v>521</v>
      </c>
      <c r="M210">
        <v>58.8</v>
      </c>
      <c r="N210">
        <v>76</v>
      </c>
      <c r="O210" t="s">
        <v>701</v>
      </c>
      <c r="P210" t="s">
        <v>58</v>
      </c>
      <c r="Q210" t="s">
        <v>245</v>
      </c>
      <c r="R210" t="s">
        <v>60</v>
      </c>
      <c r="S210" t="s">
        <v>126</v>
      </c>
      <c r="T210" t="s">
        <v>1038</v>
      </c>
      <c r="U210">
        <v>2392</v>
      </c>
      <c r="V210">
        <v>349</v>
      </c>
      <c r="W210">
        <v>9</v>
      </c>
      <c r="X210">
        <v>1418.58</v>
      </c>
      <c r="Y210">
        <v>117.76</v>
      </c>
      <c r="Z210">
        <v>1536.34</v>
      </c>
      <c r="AA210" t="s">
        <v>62</v>
      </c>
      <c r="AB210">
        <v>0</v>
      </c>
      <c r="AC210">
        <v>78.8</v>
      </c>
      <c r="AD210">
        <v>89</v>
      </c>
      <c r="AE210">
        <v>59</v>
      </c>
    </row>
    <row r="211" spans="1:31" x14ac:dyDescent="0.25">
      <c r="A211" t="s">
        <v>1178</v>
      </c>
      <c r="B211" t="s">
        <v>1179</v>
      </c>
      <c r="C211" s="1">
        <v>43979</v>
      </c>
      <c r="D211" s="1">
        <v>44447</v>
      </c>
      <c r="E211" t="s">
        <v>65</v>
      </c>
      <c r="F211" t="s">
        <v>51</v>
      </c>
      <c r="G211" t="s">
        <v>92</v>
      </c>
      <c r="H211" t="s">
        <v>67</v>
      </c>
      <c r="I211" t="s">
        <v>729</v>
      </c>
      <c r="J211" t="s">
        <v>38</v>
      </c>
      <c r="K211" t="s">
        <v>39</v>
      </c>
      <c r="L211" t="s">
        <v>730</v>
      </c>
      <c r="M211">
        <v>219.57</v>
      </c>
      <c r="N211">
        <v>96</v>
      </c>
      <c r="O211" t="s">
        <v>1180</v>
      </c>
      <c r="P211" t="s">
        <v>108</v>
      </c>
      <c r="Q211" t="s">
        <v>346</v>
      </c>
      <c r="R211" t="s">
        <v>60</v>
      </c>
      <c r="S211" t="s">
        <v>98</v>
      </c>
      <c r="T211" t="s">
        <v>259</v>
      </c>
      <c r="U211">
        <v>2606</v>
      </c>
      <c r="V211">
        <v>68</v>
      </c>
      <c r="W211">
        <v>6</v>
      </c>
      <c r="X211">
        <v>1169.51</v>
      </c>
      <c r="Y211">
        <v>480.26</v>
      </c>
      <c r="Z211">
        <v>1649.77</v>
      </c>
      <c r="AA211" t="s">
        <v>62</v>
      </c>
      <c r="AB211">
        <v>0</v>
      </c>
      <c r="AC211">
        <v>70.95</v>
      </c>
      <c r="AD211">
        <v>272</v>
      </c>
      <c r="AE211">
        <v>271</v>
      </c>
    </row>
    <row r="212" spans="1:31" x14ac:dyDescent="0.25">
      <c r="A212" t="s">
        <v>1181</v>
      </c>
      <c r="B212" t="s">
        <v>1182</v>
      </c>
      <c r="C212" s="1">
        <v>45187</v>
      </c>
      <c r="D212" s="1">
        <v>45023</v>
      </c>
      <c r="E212" t="s">
        <v>33</v>
      </c>
      <c r="F212" t="s">
        <v>146</v>
      </c>
      <c r="G212" t="s">
        <v>343</v>
      </c>
      <c r="H212" t="s">
        <v>36</v>
      </c>
      <c r="I212" t="s">
        <v>1183</v>
      </c>
      <c r="J212" t="s">
        <v>38</v>
      </c>
      <c r="K212" t="s">
        <v>39</v>
      </c>
      <c r="L212" t="s">
        <v>1184</v>
      </c>
      <c r="M212">
        <v>327.27</v>
      </c>
      <c r="N212">
        <v>23</v>
      </c>
      <c r="O212" t="s">
        <v>1185</v>
      </c>
      <c r="P212" t="s">
        <v>84</v>
      </c>
      <c r="Q212" t="s">
        <v>389</v>
      </c>
      <c r="R212" t="s">
        <v>152</v>
      </c>
      <c r="S212" t="s">
        <v>98</v>
      </c>
      <c r="T212" t="s">
        <v>143</v>
      </c>
      <c r="U212">
        <v>4012</v>
      </c>
      <c r="V212">
        <v>437</v>
      </c>
      <c r="W212">
        <v>28</v>
      </c>
      <c r="X212">
        <v>391.41</v>
      </c>
      <c r="Y212">
        <v>108.58</v>
      </c>
      <c r="Z212">
        <v>499.99</v>
      </c>
      <c r="AA212" t="s">
        <v>62</v>
      </c>
      <c r="AB212">
        <v>0</v>
      </c>
      <c r="AC212">
        <v>88.48</v>
      </c>
      <c r="AD212">
        <v>493</v>
      </c>
      <c r="AE212">
        <v>472</v>
      </c>
    </row>
    <row r="213" spans="1:31" x14ac:dyDescent="0.25">
      <c r="A213" t="s">
        <v>1186</v>
      </c>
      <c r="B213" t="s">
        <v>1187</v>
      </c>
      <c r="C213" s="1">
        <v>44768</v>
      </c>
      <c r="D213" s="1">
        <v>44988</v>
      </c>
      <c r="E213" t="s">
        <v>65</v>
      </c>
      <c r="F213" t="s">
        <v>146</v>
      </c>
      <c r="G213" t="s">
        <v>78</v>
      </c>
      <c r="H213" t="s">
        <v>79</v>
      </c>
      <c r="I213" t="s">
        <v>1188</v>
      </c>
      <c r="J213" t="s">
        <v>38</v>
      </c>
      <c r="K213" t="s">
        <v>39</v>
      </c>
      <c r="L213" t="s">
        <v>1189</v>
      </c>
      <c r="M213">
        <v>350.58</v>
      </c>
      <c r="N213">
        <v>18</v>
      </c>
      <c r="O213" t="s">
        <v>1190</v>
      </c>
      <c r="P213" t="s">
        <v>141</v>
      </c>
      <c r="Q213" t="s">
        <v>353</v>
      </c>
      <c r="R213" t="s">
        <v>152</v>
      </c>
      <c r="S213" t="s">
        <v>45</v>
      </c>
      <c r="T213" t="s">
        <v>170</v>
      </c>
      <c r="U213">
        <v>2582</v>
      </c>
      <c r="V213">
        <v>231</v>
      </c>
      <c r="W213">
        <v>4</v>
      </c>
      <c r="X213">
        <v>1442.07</v>
      </c>
      <c r="Y213">
        <v>74.040000000000006</v>
      </c>
      <c r="Z213">
        <v>1516.11</v>
      </c>
      <c r="AA213" t="s">
        <v>62</v>
      </c>
      <c r="AB213">
        <v>0</v>
      </c>
      <c r="AC213">
        <v>71.760000000000005</v>
      </c>
      <c r="AD213">
        <v>388</v>
      </c>
      <c r="AE213">
        <v>373</v>
      </c>
    </row>
    <row r="214" spans="1:31" x14ac:dyDescent="0.25">
      <c r="A214" t="s">
        <v>1191</v>
      </c>
      <c r="B214" t="s">
        <v>1192</v>
      </c>
      <c r="C214" s="1">
        <v>45459</v>
      </c>
      <c r="D214" s="1">
        <v>44631</v>
      </c>
      <c r="E214" t="s">
        <v>50</v>
      </c>
      <c r="F214" t="s">
        <v>51</v>
      </c>
      <c r="G214" t="s">
        <v>66</v>
      </c>
      <c r="H214" t="s">
        <v>36</v>
      </c>
      <c r="I214" t="s">
        <v>1193</v>
      </c>
      <c r="J214" t="s">
        <v>38</v>
      </c>
      <c r="K214" t="s">
        <v>39</v>
      </c>
      <c r="L214" t="s">
        <v>1194</v>
      </c>
      <c r="M214">
        <v>215.89</v>
      </c>
      <c r="N214">
        <v>54</v>
      </c>
      <c r="O214" t="s">
        <v>1195</v>
      </c>
      <c r="P214" t="s">
        <v>141</v>
      </c>
      <c r="Q214" t="s">
        <v>353</v>
      </c>
      <c r="R214" t="s">
        <v>44</v>
      </c>
      <c r="S214" t="s">
        <v>45</v>
      </c>
      <c r="T214" t="s">
        <v>61</v>
      </c>
      <c r="U214">
        <v>2888</v>
      </c>
      <c r="V214">
        <v>301</v>
      </c>
      <c r="W214">
        <v>10</v>
      </c>
      <c r="X214">
        <v>1400.61</v>
      </c>
      <c r="Y214">
        <v>167.19</v>
      </c>
      <c r="Z214">
        <v>1567.8</v>
      </c>
      <c r="AA214" t="s">
        <v>62</v>
      </c>
      <c r="AB214">
        <v>0</v>
      </c>
      <c r="AC214">
        <v>75.59</v>
      </c>
      <c r="AD214">
        <v>56</v>
      </c>
      <c r="AE214">
        <v>10</v>
      </c>
    </row>
    <row r="215" spans="1:31" x14ac:dyDescent="0.25">
      <c r="A215" t="s">
        <v>1196</v>
      </c>
      <c r="B215" t="s">
        <v>1197</v>
      </c>
      <c r="C215" s="1">
        <v>44355</v>
      </c>
      <c r="D215" s="1">
        <v>44026</v>
      </c>
      <c r="E215" t="s">
        <v>65</v>
      </c>
      <c r="F215" t="s">
        <v>77</v>
      </c>
      <c r="G215" t="s">
        <v>92</v>
      </c>
      <c r="H215" t="s">
        <v>79</v>
      </c>
      <c r="I215" t="s">
        <v>1198</v>
      </c>
      <c r="J215" t="s">
        <v>38</v>
      </c>
      <c r="K215" t="s">
        <v>39</v>
      </c>
      <c r="L215" t="s">
        <v>1199</v>
      </c>
      <c r="M215">
        <v>210.82</v>
      </c>
      <c r="N215">
        <v>30</v>
      </c>
      <c r="O215" t="s">
        <v>469</v>
      </c>
      <c r="P215" t="s">
        <v>84</v>
      </c>
      <c r="Q215" t="s">
        <v>184</v>
      </c>
      <c r="R215" t="s">
        <v>86</v>
      </c>
      <c r="S215" t="s">
        <v>126</v>
      </c>
      <c r="T215" t="s">
        <v>170</v>
      </c>
      <c r="U215">
        <v>2100</v>
      </c>
      <c r="V215">
        <v>71</v>
      </c>
      <c r="W215">
        <v>15</v>
      </c>
      <c r="X215">
        <v>90.13</v>
      </c>
      <c r="Y215">
        <v>382.79</v>
      </c>
      <c r="Z215">
        <v>472.92</v>
      </c>
      <c r="AA215" t="s">
        <v>62</v>
      </c>
      <c r="AB215">
        <v>0</v>
      </c>
      <c r="AC215">
        <v>98.07</v>
      </c>
      <c r="AD215">
        <v>337</v>
      </c>
      <c r="AE215">
        <v>287</v>
      </c>
    </row>
    <row r="216" spans="1:31" x14ac:dyDescent="0.25">
      <c r="A216" t="s">
        <v>1200</v>
      </c>
      <c r="B216" t="s">
        <v>1201</v>
      </c>
      <c r="C216" s="1">
        <v>44719</v>
      </c>
      <c r="D216" s="1">
        <v>44216</v>
      </c>
      <c r="E216" t="s">
        <v>65</v>
      </c>
      <c r="F216" t="s">
        <v>51</v>
      </c>
      <c r="G216" t="s">
        <v>343</v>
      </c>
      <c r="H216" t="s">
        <v>163</v>
      </c>
      <c r="I216" t="s">
        <v>1202</v>
      </c>
      <c r="J216" t="s">
        <v>38</v>
      </c>
      <c r="K216" t="s">
        <v>39</v>
      </c>
      <c r="L216" t="s">
        <v>1203</v>
      </c>
      <c r="M216">
        <v>19.489999999999998</v>
      </c>
      <c r="N216">
        <v>94</v>
      </c>
      <c r="O216" t="s">
        <v>1204</v>
      </c>
      <c r="P216" t="s">
        <v>42</v>
      </c>
      <c r="Q216" t="s">
        <v>320</v>
      </c>
      <c r="R216" t="s">
        <v>86</v>
      </c>
      <c r="S216" t="s">
        <v>98</v>
      </c>
      <c r="T216" t="s">
        <v>812</v>
      </c>
      <c r="U216">
        <v>2273</v>
      </c>
      <c r="V216">
        <v>163</v>
      </c>
      <c r="W216">
        <v>18</v>
      </c>
      <c r="X216">
        <v>1335.07</v>
      </c>
      <c r="Y216">
        <v>434.22</v>
      </c>
      <c r="Z216">
        <v>1769.29</v>
      </c>
      <c r="AA216" t="s">
        <v>47</v>
      </c>
      <c r="AB216">
        <v>10</v>
      </c>
      <c r="AC216">
        <v>91.97</v>
      </c>
      <c r="AD216">
        <v>425</v>
      </c>
      <c r="AE216">
        <v>386</v>
      </c>
    </row>
    <row r="217" spans="1:31" x14ac:dyDescent="0.25">
      <c r="A217" t="s">
        <v>1205</v>
      </c>
      <c r="B217" t="s">
        <v>1206</v>
      </c>
      <c r="C217" s="1">
        <v>44013</v>
      </c>
      <c r="D217" s="1">
        <v>44047</v>
      </c>
      <c r="E217" t="s">
        <v>65</v>
      </c>
      <c r="F217" t="s">
        <v>77</v>
      </c>
      <c r="G217" t="s">
        <v>52</v>
      </c>
      <c r="H217" t="s">
        <v>53</v>
      </c>
      <c r="I217" t="s">
        <v>1207</v>
      </c>
      <c r="J217" t="s">
        <v>38</v>
      </c>
      <c r="K217" t="s">
        <v>39</v>
      </c>
      <c r="L217" t="s">
        <v>1208</v>
      </c>
      <c r="M217">
        <v>387.24</v>
      </c>
      <c r="N217">
        <v>61</v>
      </c>
      <c r="O217" t="s">
        <v>1209</v>
      </c>
      <c r="P217" t="s">
        <v>108</v>
      </c>
      <c r="Q217" t="s">
        <v>245</v>
      </c>
      <c r="R217" t="s">
        <v>152</v>
      </c>
      <c r="S217" t="s">
        <v>45</v>
      </c>
      <c r="T217" t="s">
        <v>302</v>
      </c>
      <c r="U217">
        <v>373</v>
      </c>
      <c r="V217">
        <v>150</v>
      </c>
      <c r="W217">
        <v>25</v>
      </c>
      <c r="X217">
        <v>1515.68</v>
      </c>
      <c r="Y217">
        <v>42.93</v>
      </c>
      <c r="Z217">
        <v>1558.61</v>
      </c>
      <c r="AA217" t="s">
        <v>62</v>
      </c>
      <c r="AB217">
        <v>0</v>
      </c>
      <c r="AC217">
        <v>89.89</v>
      </c>
      <c r="AD217">
        <v>279</v>
      </c>
      <c r="AE217">
        <v>286</v>
      </c>
    </row>
    <row r="218" spans="1:31" x14ac:dyDescent="0.25">
      <c r="A218" t="s">
        <v>1210</v>
      </c>
      <c r="B218" t="s">
        <v>1211</v>
      </c>
      <c r="C218" s="1">
        <v>44093</v>
      </c>
      <c r="D218" s="1">
        <v>44904</v>
      </c>
      <c r="E218" t="s">
        <v>65</v>
      </c>
      <c r="F218" t="s">
        <v>51</v>
      </c>
      <c r="G218" t="s">
        <v>52</v>
      </c>
      <c r="H218" t="s">
        <v>114</v>
      </c>
      <c r="I218" t="s">
        <v>1212</v>
      </c>
      <c r="J218" t="s">
        <v>38</v>
      </c>
      <c r="K218" t="s">
        <v>39</v>
      </c>
      <c r="L218" t="s">
        <v>1213</v>
      </c>
      <c r="M218">
        <v>6.19</v>
      </c>
      <c r="N218">
        <v>15</v>
      </c>
      <c r="O218" t="s">
        <v>1214</v>
      </c>
      <c r="P218" t="s">
        <v>108</v>
      </c>
      <c r="Q218" t="s">
        <v>133</v>
      </c>
      <c r="R218" t="s">
        <v>60</v>
      </c>
      <c r="S218" t="s">
        <v>45</v>
      </c>
      <c r="T218" t="s">
        <v>419</v>
      </c>
      <c r="U218">
        <v>748</v>
      </c>
      <c r="V218">
        <v>347</v>
      </c>
      <c r="W218">
        <v>29</v>
      </c>
      <c r="X218">
        <v>516.28</v>
      </c>
      <c r="Y218">
        <v>411.45</v>
      </c>
      <c r="Z218">
        <v>927.73</v>
      </c>
      <c r="AA218" t="s">
        <v>62</v>
      </c>
      <c r="AB218">
        <v>0</v>
      </c>
      <c r="AC218">
        <v>92.78</v>
      </c>
      <c r="AD218">
        <v>68</v>
      </c>
      <c r="AE218">
        <v>83</v>
      </c>
    </row>
    <row r="219" spans="1:31" x14ac:dyDescent="0.25">
      <c r="A219" t="s">
        <v>1215</v>
      </c>
      <c r="B219" t="s">
        <v>1216</v>
      </c>
      <c r="C219" s="1">
        <v>43881</v>
      </c>
      <c r="D219" s="1">
        <v>45650</v>
      </c>
      <c r="E219" t="s">
        <v>50</v>
      </c>
      <c r="F219" t="s">
        <v>146</v>
      </c>
      <c r="G219" t="s">
        <v>78</v>
      </c>
      <c r="H219" t="s">
        <v>79</v>
      </c>
      <c r="I219" t="s">
        <v>1217</v>
      </c>
      <c r="J219" t="s">
        <v>104</v>
      </c>
      <c r="K219" t="s">
        <v>229</v>
      </c>
      <c r="L219" t="s">
        <v>1218</v>
      </c>
      <c r="M219">
        <v>447.26</v>
      </c>
      <c r="N219">
        <v>93</v>
      </c>
      <c r="O219" t="s">
        <v>1219</v>
      </c>
      <c r="P219" t="s">
        <v>84</v>
      </c>
      <c r="Q219" t="s">
        <v>133</v>
      </c>
      <c r="R219" t="s">
        <v>152</v>
      </c>
      <c r="S219" t="s">
        <v>87</v>
      </c>
      <c r="T219" t="s">
        <v>88</v>
      </c>
      <c r="U219">
        <v>2686</v>
      </c>
      <c r="V219">
        <v>89</v>
      </c>
      <c r="W219">
        <v>3</v>
      </c>
      <c r="X219">
        <v>797.51</v>
      </c>
      <c r="Y219">
        <v>152.94999999999999</v>
      </c>
      <c r="Z219">
        <v>950.46</v>
      </c>
      <c r="AA219" t="s">
        <v>62</v>
      </c>
      <c r="AB219">
        <v>0</v>
      </c>
      <c r="AC219">
        <v>94.05</v>
      </c>
      <c r="AD219">
        <v>494</v>
      </c>
      <c r="AE219">
        <v>511</v>
      </c>
    </row>
    <row r="220" spans="1:31" x14ac:dyDescent="0.25">
      <c r="A220" t="s">
        <v>1220</v>
      </c>
      <c r="B220" t="s">
        <v>1221</v>
      </c>
      <c r="C220" s="1">
        <v>45261</v>
      </c>
      <c r="D220" s="1">
        <v>44796</v>
      </c>
      <c r="E220" t="s">
        <v>65</v>
      </c>
      <c r="F220" t="s">
        <v>77</v>
      </c>
      <c r="G220" t="s">
        <v>52</v>
      </c>
      <c r="H220" t="s">
        <v>53</v>
      </c>
      <c r="I220" t="s">
        <v>1222</v>
      </c>
      <c r="J220" t="s">
        <v>104</v>
      </c>
      <c r="K220" t="s">
        <v>181</v>
      </c>
      <c r="L220" t="s">
        <v>1223</v>
      </c>
      <c r="M220">
        <v>484.64</v>
      </c>
      <c r="N220">
        <v>47</v>
      </c>
      <c r="O220" t="s">
        <v>1224</v>
      </c>
      <c r="P220" t="s">
        <v>58</v>
      </c>
      <c r="Q220" t="s">
        <v>708</v>
      </c>
      <c r="R220" t="s">
        <v>44</v>
      </c>
      <c r="S220" t="s">
        <v>126</v>
      </c>
      <c r="T220" t="s">
        <v>627</v>
      </c>
      <c r="U220">
        <v>3685</v>
      </c>
      <c r="V220">
        <v>334</v>
      </c>
      <c r="W220">
        <v>13</v>
      </c>
      <c r="X220">
        <v>563.38</v>
      </c>
      <c r="Y220">
        <v>88.12</v>
      </c>
      <c r="Z220">
        <v>651.5</v>
      </c>
      <c r="AA220" t="s">
        <v>47</v>
      </c>
      <c r="AB220">
        <v>12</v>
      </c>
      <c r="AC220">
        <v>90.36</v>
      </c>
      <c r="AD220">
        <v>170</v>
      </c>
      <c r="AE220">
        <v>125</v>
      </c>
    </row>
    <row r="221" spans="1:31" x14ac:dyDescent="0.25">
      <c r="A221" t="s">
        <v>1225</v>
      </c>
      <c r="B221" t="s">
        <v>1226</v>
      </c>
      <c r="C221" s="1">
        <v>45111</v>
      </c>
      <c r="D221" s="1">
        <v>43846</v>
      </c>
      <c r="E221" t="s">
        <v>65</v>
      </c>
      <c r="F221" t="s">
        <v>146</v>
      </c>
      <c r="G221" t="s">
        <v>66</v>
      </c>
      <c r="H221" t="s">
        <v>36</v>
      </c>
      <c r="I221" t="s">
        <v>1227</v>
      </c>
      <c r="J221" t="s">
        <v>104</v>
      </c>
      <c r="K221" t="s">
        <v>181</v>
      </c>
      <c r="L221" t="s">
        <v>1228</v>
      </c>
      <c r="M221">
        <v>22.27</v>
      </c>
      <c r="N221">
        <v>53</v>
      </c>
      <c r="O221" t="s">
        <v>57</v>
      </c>
      <c r="P221" t="s">
        <v>108</v>
      </c>
      <c r="Q221" t="s">
        <v>346</v>
      </c>
      <c r="R221" t="s">
        <v>44</v>
      </c>
      <c r="S221" t="s">
        <v>87</v>
      </c>
      <c r="T221" t="s">
        <v>1229</v>
      </c>
      <c r="U221">
        <v>2717</v>
      </c>
      <c r="V221">
        <v>391</v>
      </c>
      <c r="W221">
        <v>9</v>
      </c>
      <c r="X221">
        <v>1498.26</v>
      </c>
      <c r="Y221">
        <v>165.05</v>
      </c>
      <c r="Z221">
        <v>1663.31</v>
      </c>
      <c r="AA221" t="s">
        <v>62</v>
      </c>
      <c r="AB221">
        <v>0</v>
      </c>
      <c r="AC221">
        <v>74.760000000000005</v>
      </c>
      <c r="AD221">
        <v>89</v>
      </c>
      <c r="AE221">
        <v>54</v>
      </c>
    </row>
    <row r="222" spans="1:31" x14ac:dyDescent="0.25">
      <c r="A222" t="s">
        <v>1230</v>
      </c>
      <c r="B222" t="s">
        <v>1231</v>
      </c>
      <c r="C222" s="1">
        <v>44169</v>
      </c>
      <c r="D222" s="1">
        <v>44326</v>
      </c>
      <c r="E222" t="s">
        <v>50</v>
      </c>
      <c r="F222" t="s">
        <v>77</v>
      </c>
      <c r="G222" t="s">
        <v>35</v>
      </c>
      <c r="H222" t="s">
        <v>114</v>
      </c>
      <c r="I222" t="s">
        <v>1232</v>
      </c>
      <c r="J222" t="s">
        <v>104</v>
      </c>
      <c r="K222" t="s">
        <v>181</v>
      </c>
      <c r="L222" t="s">
        <v>1233</v>
      </c>
      <c r="M222">
        <v>383.48</v>
      </c>
      <c r="N222">
        <v>3</v>
      </c>
      <c r="O222" t="s">
        <v>1234</v>
      </c>
      <c r="P222" t="s">
        <v>42</v>
      </c>
      <c r="Q222" t="s">
        <v>176</v>
      </c>
      <c r="R222" t="s">
        <v>152</v>
      </c>
      <c r="S222" t="s">
        <v>126</v>
      </c>
      <c r="T222" t="s">
        <v>46</v>
      </c>
      <c r="U222">
        <v>3572</v>
      </c>
      <c r="V222">
        <v>294</v>
      </c>
      <c r="W222">
        <v>5</v>
      </c>
      <c r="X222">
        <v>649.48</v>
      </c>
      <c r="Y222">
        <v>91.1</v>
      </c>
      <c r="Z222">
        <v>740.58</v>
      </c>
      <c r="AA222" t="s">
        <v>62</v>
      </c>
      <c r="AB222">
        <v>0</v>
      </c>
      <c r="AC222">
        <v>96.58</v>
      </c>
      <c r="AD222">
        <v>181</v>
      </c>
      <c r="AE222">
        <v>224</v>
      </c>
    </row>
    <row r="223" spans="1:31" x14ac:dyDescent="0.25">
      <c r="A223" t="s">
        <v>1235</v>
      </c>
      <c r="B223" t="s">
        <v>1236</v>
      </c>
      <c r="C223" s="1">
        <v>44717</v>
      </c>
      <c r="D223" s="1">
        <v>44787</v>
      </c>
      <c r="E223" t="s">
        <v>50</v>
      </c>
      <c r="F223" t="s">
        <v>91</v>
      </c>
      <c r="G223" t="s">
        <v>113</v>
      </c>
      <c r="H223" t="s">
        <v>147</v>
      </c>
      <c r="I223" t="s">
        <v>1237</v>
      </c>
      <c r="J223" t="s">
        <v>38</v>
      </c>
      <c r="K223" t="s">
        <v>94</v>
      </c>
      <c r="L223" t="s">
        <v>1238</v>
      </c>
      <c r="M223">
        <v>335.86</v>
      </c>
      <c r="N223">
        <v>98</v>
      </c>
      <c r="O223" t="s">
        <v>1239</v>
      </c>
      <c r="P223" t="s">
        <v>84</v>
      </c>
      <c r="Q223" t="s">
        <v>43</v>
      </c>
      <c r="R223" t="s">
        <v>44</v>
      </c>
      <c r="S223" t="s">
        <v>73</v>
      </c>
      <c r="T223" t="s">
        <v>61</v>
      </c>
      <c r="U223">
        <v>3157</v>
      </c>
      <c r="V223">
        <v>397</v>
      </c>
      <c r="W223">
        <v>9</v>
      </c>
      <c r="X223">
        <v>1743.8</v>
      </c>
      <c r="Y223">
        <v>388.5</v>
      </c>
      <c r="Z223">
        <v>2132.3000000000002</v>
      </c>
      <c r="AA223" t="s">
        <v>62</v>
      </c>
      <c r="AB223">
        <v>0</v>
      </c>
      <c r="AC223">
        <v>95.56</v>
      </c>
      <c r="AD223">
        <v>83</v>
      </c>
      <c r="AE223">
        <v>68</v>
      </c>
    </row>
    <row r="224" spans="1:31" x14ac:dyDescent="0.25">
      <c r="A224" t="s">
        <v>1240</v>
      </c>
      <c r="B224" t="s">
        <v>1241</v>
      </c>
      <c r="C224" s="1">
        <v>44510</v>
      </c>
      <c r="D224" s="1">
        <v>44749</v>
      </c>
      <c r="E224" t="s">
        <v>50</v>
      </c>
      <c r="F224" t="s">
        <v>51</v>
      </c>
      <c r="G224" t="s">
        <v>78</v>
      </c>
      <c r="H224" t="s">
        <v>221</v>
      </c>
      <c r="I224" t="s">
        <v>1242</v>
      </c>
      <c r="J224" t="s">
        <v>38</v>
      </c>
      <c r="K224" t="s">
        <v>138</v>
      </c>
      <c r="L224" t="s">
        <v>601</v>
      </c>
      <c r="M224">
        <v>203.49</v>
      </c>
      <c r="N224">
        <v>95</v>
      </c>
      <c r="O224" t="s">
        <v>1243</v>
      </c>
      <c r="P224" t="s">
        <v>108</v>
      </c>
      <c r="Q224" t="s">
        <v>1244</v>
      </c>
      <c r="R224" t="s">
        <v>152</v>
      </c>
      <c r="S224" t="s">
        <v>98</v>
      </c>
      <c r="T224" t="s">
        <v>738</v>
      </c>
      <c r="U224">
        <v>1208</v>
      </c>
      <c r="V224">
        <v>318</v>
      </c>
      <c r="W224">
        <v>5</v>
      </c>
      <c r="X224">
        <v>1145.6500000000001</v>
      </c>
      <c r="Y224">
        <v>18.62</v>
      </c>
      <c r="Z224">
        <v>1164.27</v>
      </c>
      <c r="AA224" t="s">
        <v>62</v>
      </c>
      <c r="AB224">
        <v>0</v>
      </c>
      <c r="AC224">
        <v>98.62</v>
      </c>
      <c r="AD224">
        <v>366</v>
      </c>
      <c r="AE224">
        <v>360</v>
      </c>
    </row>
    <row r="225" spans="1:31" x14ac:dyDescent="0.25">
      <c r="A225" t="s">
        <v>1245</v>
      </c>
      <c r="B225" t="s">
        <v>1246</v>
      </c>
      <c r="C225" s="1">
        <v>44825</v>
      </c>
      <c r="D225" s="1">
        <v>45086</v>
      </c>
      <c r="E225" t="s">
        <v>50</v>
      </c>
      <c r="F225" t="s">
        <v>146</v>
      </c>
      <c r="G225" t="s">
        <v>343</v>
      </c>
      <c r="H225" t="s">
        <v>53</v>
      </c>
      <c r="I225" t="s">
        <v>498</v>
      </c>
      <c r="J225" t="s">
        <v>38</v>
      </c>
      <c r="K225" t="s">
        <v>39</v>
      </c>
      <c r="L225" t="s">
        <v>499</v>
      </c>
      <c r="M225">
        <v>352.9</v>
      </c>
      <c r="N225">
        <v>99</v>
      </c>
      <c r="O225" t="s">
        <v>1247</v>
      </c>
      <c r="P225" t="s">
        <v>84</v>
      </c>
      <c r="Q225" t="s">
        <v>245</v>
      </c>
      <c r="R225" t="s">
        <v>44</v>
      </c>
      <c r="S225" t="s">
        <v>73</v>
      </c>
      <c r="T225" t="s">
        <v>1229</v>
      </c>
      <c r="U225">
        <v>2642</v>
      </c>
      <c r="V225">
        <v>325</v>
      </c>
      <c r="W225">
        <v>10</v>
      </c>
      <c r="X225">
        <v>137.06</v>
      </c>
      <c r="Y225">
        <v>283.73</v>
      </c>
      <c r="Z225">
        <v>420.79</v>
      </c>
      <c r="AA225" t="s">
        <v>62</v>
      </c>
      <c r="AB225">
        <v>0</v>
      </c>
      <c r="AC225">
        <v>96.69</v>
      </c>
      <c r="AD225">
        <v>406</v>
      </c>
      <c r="AE225">
        <v>404</v>
      </c>
    </row>
    <row r="226" spans="1:31" x14ac:dyDescent="0.25">
      <c r="A226" t="s">
        <v>1248</v>
      </c>
      <c r="B226" t="s">
        <v>1249</v>
      </c>
      <c r="C226" s="1">
        <v>44155</v>
      </c>
      <c r="D226" s="1">
        <v>44120</v>
      </c>
      <c r="E226" t="s">
        <v>33</v>
      </c>
      <c r="F226" t="s">
        <v>91</v>
      </c>
      <c r="G226" t="s">
        <v>66</v>
      </c>
      <c r="H226" t="s">
        <v>163</v>
      </c>
      <c r="I226" t="s">
        <v>287</v>
      </c>
      <c r="J226" t="s">
        <v>38</v>
      </c>
      <c r="K226" t="s">
        <v>81</v>
      </c>
      <c r="L226" t="s">
        <v>288</v>
      </c>
      <c r="M226">
        <v>353.64</v>
      </c>
      <c r="N226">
        <v>2</v>
      </c>
      <c r="O226" t="s">
        <v>817</v>
      </c>
      <c r="P226" t="s">
        <v>108</v>
      </c>
      <c r="Q226" t="s">
        <v>708</v>
      </c>
      <c r="R226" t="s">
        <v>86</v>
      </c>
      <c r="S226" t="s">
        <v>126</v>
      </c>
      <c r="T226" t="s">
        <v>447</v>
      </c>
      <c r="U226">
        <v>4991</v>
      </c>
      <c r="V226">
        <v>435</v>
      </c>
      <c r="W226">
        <v>15</v>
      </c>
      <c r="X226">
        <v>1373.97</v>
      </c>
      <c r="Y226">
        <v>331.93</v>
      </c>
      <c r="Z226">
        <v>1705.9</v>
      </c>
      <c r="AA226" t="s">
        <v>62</v>
      </c>
      <c r="AB226">
        <v>0</v>
      </c>
      <c r="AC226">
        <v>73.47</v>
      </c>
      <c r="AD226">
        <v>132</v>
      </c>
      <c r="AE226">
        <v>166</v>
      </c>
    </row>
    <row r="227" spans="1:31" x14ac:dyDescent="0.25">
      <c r="A227" t="s">
        <v>1250</v>
      </c>
      <c r="B227" t="s">
        <v>1251</v>
      </c>
      <c r="C227" s="1">
        <v>45118</v>
      </c>
      <c r="D227" s="1">
        <v>44555</v>
      </c>
      <c r="E227" t="s">
        <v>65</v>
      </c>
      <c r="F227" t="s">
        <v>34</v>
      </c>
      <c r="G227" t="s">
        <v>52</v>
      </c>
      <c r="H227" t="s">
        <v>36</v>
      </c>
      <c r="I227" t="s">
        <v>1252</v>
      </c>
      <c r="J227" t="s">
        <v>165</v>
      </c>
      <c r="K227" t="s">
        <v>1098</v>
      </c>
      <c r="L227" t="s">
        <v>1253</v>
      </c>
      <c r="M227">
        <v>163.87</v>
      </c>
      <c r="N227">
        <v>76</v>
      </c>
      <c r="O227" t="s">
        <v>1254</v>
      </c>
      <c r="P227" t="s">
        <v>42</v>
      </c>
      <c r="Q227" t="s">
        <v>353</v>
      </c>
      <c r="R227" t="s">
        <v>152</v>
      </c>
      <c r="S227" t="s">
        <v>126</v>
      </c>
      <c r="T227" t="s">
        <v>110</v>
      </c>
      <c r="U227">
        <v>654</v>
      </c>
      <c r="V227">
        <v>208</v>
      </c>
      <c r="W227">
        <v>2</v>
      </c>
      <c r="X227">
        <v>129.46</v>
      </c>
      <c r="Y227">
        <v>342.94</v>
      </c>
      <c r="Z227">
        <v>472.4</v>
      </c>
      <c r="AA227" t="s">
        <v>62</v>
      </c>
      <c r="AB227">
        <v>0</v>
      </c>
      <c r="AC227">
        <v>80.84</v>
      </c>
      <c r="AD227">
        <v>170</v>
      </c>
      <c r="AE227">
        <v>204</v>
      </c>
    </row>
    <row r="228" spans="1:31" x14ac:dyDescent="0.25">
      <c r="A228" t="s">
        <v>1255</v>
      </c>
      <c r="B228" t="s">
        <v>1256</v>
      </c>
      <c r="C228" s="1">
        <v>44255</v>
      </c>
      <c r="D228" s="1">
        <v>45187</v>
      </c>
      <c r="E228" t="s">
        <v>65</v>
      </c>
      <c r="F228" t="s">
        <v>34</v>
      </c>
      <c r="G228" t="s">
        <v>102</v>
      </c>
      <c r="H228" t="s">
        <v>163</v>
      </c>
      <c r="I228" t="s">
        <v>1257</v>
      </c>
      <c r="J228" t="s">
        <v>165</v>
      </c>
      <c r="K228" t="s">
        <v>1098</v>
      </c>
      <c r="L228" t="s">
        <v>1258</v>
      </c>
      <c r="M228">
        <v>111.35</v>
      </c>
      <c r="N228">
        <v>4</v>
      </c>
      <c r="O228" t="s">
        <v>1175</v>
      </c>
      <c r="P228" t="s">
        <v>141</v>
      </c>
      <c r="Q228" t="s">
        <v>458</v>
      </c>
      <c r="R228" t="s">
        <v>44</v>
      </c>
      <c r="S228" t="s">
        <v>87</v>
      </c>
      <c r="T228" t="s">
        <v>470</v>
      </c>
      <c r="U228">
        <v>2329</v>
      </c>
      <c r="V228">
        <v>473</v>
      </c>
      <c r="W228">
        <v>17</v>
      </c>
      <c r="X228">
        <v>1400.16</v>
      </c>
      <c r="Y228">
        <v>479.23</v>
      </c>
      <c r="Z228">
        <v>1879.39</v>
      </c>
      <c r="AA228" t="s">
        <v>47</v>
      </c>
      <c r="AB228">
        <v>6</v>
      </c>
      <c r="AC228">
        <v>95.79</v>
      </c>
      <c r="AD228">
        <v>406</v>
      </c>
      <c r="AE228">
        <v>371</v>
      </c>
    </row>
    <row r="229" spans="1:31" x14ac:dyDescent="0.25">
      <c r="A229" t="s">
        <v>1259</v>
      </c>
      <c r="B229" t="s">
        <v>1260</v>
      </c>
      <c r="C229" s="1">
        <v>45545</v>
      </c>
      <c r="D229" s="1">
        <v>44890</v>
      </c>
      <c r="E229" t="s">
        <v>50</v>
      </c>
      <c r="F229" t="s">
        <v>77</v>
      </c>
      <c r="G229" t="s">
        <v>66</v>
      </c>
      <c r="H229" t="s">
        <v>147</v>
      </c>
      <c r="I229" t="s">
        <v>1097</v>
      </c>
      <c r="J229" t="s">
        <v>165</v>
      </c>
      <c r="K229" t="s">
        <v>1098</v>
      </c>
      <c r="L229" t="s">
        <v>1099</v>
      </c>
      <c r="M229">
        <v>123.62</v>
      </c>
      <c r="N229">
        <v>52</v>
      </c>
      <c r="O229" t="s">
        <v>1075</v>
      </c>
      <c r="P229" t="s">
        <v>58</v>
      </c>
      <c r="Q229" t="s">
        <v>708</v>
      </c>
      <c r="R229" t="s">
        <v>152</v>
      </c>
      <c r="S229" t="s">
        <v>73</v>
      </c>
      <c r="T229" t="s">
        <v>1038</v>
      </c>
      <c r="U229">
        <v>1657</v>
      </c>
      <c r="V229">
        <v>298</v>
      </c>
      <c r="W229">
        <v>23</v>
      </c>
      <c r="X229">
        <v>1779.68</v>
      </c>
      <c r="Y229">
        <v>123.49</v>
      </c>
      <c r="Z229">
        <v>1903.17</v>
      </c>
      <c r="AA229" t="s">
        <v>62</v>
      </c>
      <c r="AB229">
        <v>0</v>
      </c>
      <c r="AC229">
        <v>73.400000000000006</v>
      </c>
      <c r="AD229">
        <v>356</v>
      </c>
      <c r="AE229">
        <v>320</v>
      </c>
    </row>
    <row r="230" spans="1:31" x14ac:dyDescent="0.25">
      <c r="A230" t="s">
        <v>1261</v>
      </c>
      <c r="B230" t="s">
        <v>1262</v>
      </c>
      <c r="C230" s="1">
        <v>44982</v>
      </c>
      <c r="D230" s="1">
        <v>43950</v>
      </c>
      <c r="E230" t="s">
        <v>50</v>
      </c>
      <c r="F230" t="s">
        <v>77</v>
      </c>
      <c r="G230" t="s">
        <v>78</v>
      </c>
      <c r="H230" t="s">
        <v>163</v>
      </c>
      <c r="I230" t="s">
        <v>1263</v>
      </c>
      <c r="J230" t="s">
        <v>104</v>
      </c>
      <c r="K230" t="s">
        <v>181</v>
      </c>
      <c r="L230" t="s">
        <v>1264</v>
      </c>
      <c r="M230">
        <v>201.26</v>
      </c>
      <c r="N230">
        <v>62</v>
      </c>
      <c r="O230" t="s">
        <v>1265</v>
      </c>
      <c r="P230" t="s">
        <v>42</v>
      </c>
      <c r="Q230" t="s">
        <v>232</v>
      </c>
      <c r="R230" t="s">
        <v>44</v>
      </c>
      <c r="S230" t="s">
        <v>87</v>
      </c>
      <c r="T230" t="s">
        <v>334</v>
      </c>
      <c r="U230">
        <v>805</v>
      </c>
      <c r="V230">
        <v>200</v>
      </c>
      <c r="W230">
        <v>17</v>
      </c>
      <c r="X230">
        <v>219.25</v>
      </c>
      <c r="Y230">
        <v>427.91</v>
      </c>
      <c r="Z230">
        <v>647.16000000000008</v>
      </c>
      <c r="AA230" t="s">
        <v>62</v>
      </c>
      <c r="AB230">
        <v>0</v>
      </c>
      <c r="AC230">
        <v>87.11</v>
      </c>
      <c r="AD230">
        <v>265</v>
      </c>
      <c r="AE230">
        <v>268</v>
      </c>
    </row>
    <row r="231" spans="1:31" x14ac:dyDescent="0.25">
      <c r="A231" t="s">
        <v>1266</v>
      </c>
      <c r="B231" t="s">
        <v>1267</v>
      </c>
      <c r="C231" s="1">
        <v>45221</v>
      </c>
      <c r="D231" s="1">
        <v>44459</v>
      </c>
      <c r="E231" t="s">
        <v>65</v>
      </c>
      <c r="F231" t="s">
        <v>77</v>
      </c>
      <c r="G231" t="s">
        <v>35</v>
      </c>
      <c r="H231" t="s">
        <v>221</v>
      </c>
      <c r="I231" t="s">
        <v>1007</v>
      </c>
      <c r="J231" t="s">
        <v>104</v>
      </c>
      <c r="K231" t="s">
        <v>181</v>
      </c>
      <c r="L231" t="s">
        <v>1008</v>
      </c>
      <c r="M231">
        <v>347.18</v>
      </c>
      <c r="N231">
        <v>14</v>
      </c>
      <c r="O231" t="s">
        <v>510</v>
      </c>
      <c r="P231" t="s">
        <v>42</v>
      </c>
      <c r="Q231" t="s">
        <v>169</v>
      </c>
      <c r="R231" t="s">
        <v>152</v>
      </c>
      <c r="S231" t="s">
        <v>73</v>
      </c>
      <c r="T231" t="s">
        <v>359</v>
      </c>
      <c r="U231">
        <v>4971</v>
      </c>
      <c r="V231">
        <v>434</v>
      </c>
      <c r="W231">
        <v>12</v>
      </c>
      <c r="X231">
        <v>1856.36</v>
      </c>
      <c r="Y231">
        <v>254.31</v>
      </c>
      <c r="Z231">
        <v>2110.67</v>
      </c>
      <c r="AA231" t="s">
        <v>47</v>
      </c>
      <c r="AB231">
        <v>10</v>
      </c>
      <c r="AC231">
        <v>70.36</v>
      </c>
      <c r="AD231">
        <v>159</v>
      </c>
      <c r="AE231">
        <v>133</v>
      </c>
    </row>
    <row r="232" spans="1:31" x14ac:dyDescent="0.25">
      <c r="A232" t="s">
        <v>1268</v>
      </c>
      <c r="B232" t="s">
        <v>1269</v>
      </c>
      <c r="C232" s="1">
        <v>44381</v>
      </c>
      <c r="D232" s="1">
        <v>44496</v>
      </c>
      <c r="E232" t="s">
        <v>65</v>
      </c>
      <c r="F232" t="s">
        <v>77</v>
      </c>
      <c r="G232" t="s">
        <v>66</v>
      </c>
      <c r="H232" t="s">
        <v>53</v>
      </c>
      <c r="I232" t="s">
        <v>635</v>
      </c>
      <c r="J232" t="s">
        <v>38</v>
      </c>
      <c r="K232" t="s">
        <v>55</v>
      </c>
      <c r="L232" t="s">
        <v>636</v>
      </c>
      <c r="M232">
        <v>130.51</v>
      </c>
      <c r="N232">
        <v>39</v>
      </c>
      <c r="O232" t="s">
        <v>1270</v>
      </c>
      <c r="P232" t="s">
        <v>141</v>
      </c>
      <c r="Q232" t="s">
        <v>389</v>
      </c>
      <c r="R232" t="s">
        <v>86</v>
      </c>
      <c r="S232" t="s">
        <v>98</v>
      </c>
      <c r="T232" t="s">
        <v>170</v>
      </c>
      <c r="U232">
        <v>4663</v>
      </c>
      <c r="V232">
        <v>74</v>
      </c>
      <c r="W232">
        <v>1</v>
      </c>
      <c r="X232">
        <v>188.65</v>
      </c>
      <c r="Y232">
        <v>280.64</v>
      </c>
      <c r="Z232">
        <v>469.29</v>
      </c>
      <c r="AA232" t="s">
        <v>62</v>
      </c>
      <c r="AB232">
        <v>0</v>
      </c>
      <c r="AC232">
        <v>95.23</v>
      </c>
      <c r="AD232">
        <v>202</v>
      </c>
      <c r="AE232">
        <v>242</v>
      </c>
    </row>
    <row r="233" spans="1:31" x14ac:dyDescent="0.25">
      <c r="A233" t="s">
        <v>1271</v>
      </c>
      <c r="B233" t="s">
        <v>1272</v>
      </c>
      <c r="C233" s="1">
        <v>45084</v>
      </c>
      <c r="D233" s="1">
        <v>43908</v>
      </c>
      <c r="E233" t="s">
        <v>65</v>
      </c>
      <c r="F233" t="s">
        <v>91</v>
      </c>
      <c r="G233" t="s">
        <v>113</v>
      </c>
      <c r="H233" t="s">
        <v>36</v>
      </c>
      <c r="I233" t="s">
        <v>1273</v>
      </c>
      <c r="J233" t="s">
        <v>38</v>
      </c>
      <c r="K233" t="s">
        <v>69</v>
      </c>
      <c r="L233" t="s">
        <v>1274</v>
      </c>
      <c r="M233">
        <v>120.66</v>
      </c>
      <c r="N233">
        <v>4</v>
      </c>
      <c r="O233" t="s">
        <v>1275</v>
      </c>
      <c r="P233" t="s">
        <v>108</v>
      </c>
      <c r="Q233" t="s">
        <v>252</v>
      </c>
      <c r="R233" t="s">
        <v>152</v>
      </c>
      <c r="S233" t="s">
        <v>98</v>
      </c>
      <c r="T233" t="s">
        <v>409</v>
      </c>
      <c r="U233">
        <v>644</v>
      </c>
      <c r="V233">
        <v>429</v>
      </c>
      <c r="W233">
        <v>15</v>
      </c>
      <c r="X233">
        <v>575.09</v>
      </c>
      <c r="Y233">
        <v>313.87</v>
      </c>
      <c r="Z233">
        <v>888.96</v>
      </c>
      <c r="AA233" t="s">
        <v>62</v>
      </c>
      <c r="AB233">
        <v>0</v>
      </c>
      <c r="AC233">
        <v>72.45</v>
      </c>
      <c r="AD233">
        <v>282</v>
      </c>
      <c r="AE233">
        <v>274</v>
      </c>
    </row>
    <row r="234" spans="1:31" x14ac:dyDescent="0.25">
      <c r="A234" t="s">
        <v>1276</v>
      </c>
      <c r="B234" t="s">
        <v>1277</v>
      </c>
      <c r="C234" s="1">
        <v>45570</v>
      </c>
      <c r="D234" s="1">
        <v>44195</v>
      </c>
      <c r="E234" t="s">
        <v>65</v>
      </c>
      <c r="F234" t="s">
        <v>91</v>
      </c>
      <c r="G234" t="s">
        <v>102</v>
      </c>
      <c r="H234" t="s">
        <v>147</v>
      </c>
      <c r="I234" t="s">
        <v>1278</v>
      </c>
      <c r="J234" t="s">
        <v>38</v>
      </c>
      <c r="K234" t="s">
        <v>81</v>
      </c>
      <c r="L234" t="s">
        <v>1279</v>
      </c>
      <c r="M234">
        <v>282.81</v>
      </c>
      <c r="N234">
        <v>39</v>
      </c>
      <c r="O234" t="s">
        <v>1280</v>
      </c>
      <c r="P234" t="s">
        <v>58</v>
      </c>
      <c r="Q234" t="s">
        <v>353</v>
      </c>
      <c r="R234" t="s">
        <v>60</v>
      </c>
      <c r="S234" t="s">
        <v>87</v>
      </c>
      <c r="T234" t="s">
        <v>437</v>
      </c>
      <c r="U234">
        <v>3419</v>
      </c>
      <c r="V234">
        <v>288</v>
      </c>
      <c r="W234">
        <v>23</v>
      </c>
      <c r="X234">
        <v>262.55</v>
      </c>
      <c r="Y234">
        <v>401.9</v>
      </c>
      <c r="Z234">
        <v>664.45</v>
      </c>
      <c r="AA234" t="s">
        <v>62</v>
      </c>
      <c r="AB234">
        <v>0</v>
      </c>
      <c r="AC234">
        <v>91.97</v>
      </c>
      <c r="AD234">
        <v>165</v>
      </c>
      <c r="AE234">
        <v>151</v>
      </c>
    </row>
    <row r="235" spans="1:31" x14ac:dyDescent="0.25">
      <c r="A235" t="s">
        <v>1281</v>
      </c>
      <c r="B235" t="s">
        <v>1282</v>
      </c>
      <c r="C235" s="1">
        <v>44012</v>
      </c>
      <c r="D235" s="1">
        <v>45222</v>
      </c>
      <c r="E235" t="s">
        <v>65</v>
      </c>
      <c r="F235" t="s">
        <v>51</v>
      </c>
      <c r="G235" t="s">
        <v>92</v>
      </c>
      <c r="H235" t="s">
        <v>36</v>
      </c>
      <c r="I235" t="s">
        <v>1283</v>
      </c>
      <c r="J235" t="s">
        <v>165</v>
      </c>
      <c r="K235" t="s">
        <v>202</v>
      </c>
      <c r="L235" t="s">
        <v>1284</v>
      </c>
      <c r="M235">
        <v>414.51</v>
      </c>
      <c r="N235">
        <v>76</v>
      </c>
      <c r="O235" t="s">
        <v>1285</v>
      </c>
      <c r="P235" t="s">
        <v>141</v>
      </c>
      <c r="Q235" t="s">
        <v>176</v>
      </c>
      <c r="R235" t="s">
        <v>44</v>
      </c>
      <c r="S235" t="s">
        <v>98</v>
      </c>
      <c r="T235" t="s">
        <v>644</v>
      </c>
      <c r="U235">
        <v>3339</v>
      </c>
      <c r="V235">
        <v>384</v>
      </c>
      <c r="W235">
        <v>29</v>
      </c>
      <c r="X235">
        <v>190.4</v>
      </c>
      <c r="Y235">
        <v>129.66</v>
      </c>
      <c r="Z235">
        <v>320.06</v>
      </c>
      <c r="AA235" t="s">
        <v>62</v>
      </c>
      <c r="AB235">
        <v>0</v>
      </c>
      <c r="AC235">
        <v>73.77</v>
      </c>
      <c r="AD235">
        <v>285</v>
      </c>
      <c r="AE235">
        <v>293</v>
      </c>
    </row>
    <row r="236" spans="1:31" x14ac:dyDescent="0.25">
      <c r="A236" t="s">
        <v>1286</v>
      </c>
      <c r="B236" t="s">
        <v>1287</v>
      </c>
      <c r="C236" s="1">
        <v>44650</v>
      </c>
      <c r="D236" s="1">
        <v>44941</v>
      </c>
      <c r="E236" t="s">
        <v>65</v>
      </c>
      <c r="F236" t="s">
        <v>91</v>
      </c>
      <c r="G236" t="s">
        <v>343</v>
      </c>
      <c r="H236" t="s">
        <v>147</v>
      </c>
      <c r="I236" t="s">
        <v>1288</v>
      </c>
      <c r="J236" t="s">
        <v>165</v>
      </c>
      <c r="K236" t="s">
        <v>166</v>
      </c>
      <c r="L236" t="s">
        <v>1289</v>
      </c>
      <c r="M236">
        <v>114.57</v>
      </c>
      <c r="N236">
        <v>21</v>
      </c>
      <c r="O236" t="s">
        <v>1290</v>
      </c>
      <c r="P236" t="s">
        <v>141</v>
      </c>
      <c r="Q236" t="s">
        <v>118</v>
      </c>
      <c r="R236" t="s">
        <v>86</v>
      </c>
      <c r="S236" t="s">
        <v>45</v>
      </c>
      <c r="T236" t="s">
        <v>644</v>
      </c>
      <c r="U236">
        <v>3913</v>
      </c>
      <c r="V236">
        <v>156</v>
      </c>
      <c r="W236">
        <v>1</v>
      </c>
      <c r="X236">
        <v>759.77</v>
      </c>
      <c r="Y236">
        <v>372.21</v>
      </c>
      <c r="Z236">
        <v>1131.98</v>
      </c>
      <c r="AA236" t="s">
        <v>62</v>
      </c>
      <c r="AB236">
        <v>0</v>
      </c>
      <c r="AC236">
        <v>74.08</v>
      </c>
      <c r="AD236">
        <v>353</v>
      </c>
      <c r="AE236">
        <v>401</v>
      </c>
    </row>
    <row r="237" spans="1:31" x14ac:dyDescent="0.25">
      <c r="A237" t="s">
        <v>1291</v>
      </c>
      <c r="B237" t="s">
        <v>1292</v>
      </c>
      <c r="C237" s="1">
        <v>44331</v>
      </c>
      <c r="D237" s="1">
        <v>45122</v>
      </c>
      <c r="E237" t="s">
        <v>65</v>
      </c>
      <c r="F237" t="s">
        <v>34</v>
      </c>
      <c r="G237" t="s">
        <v>343</v>
      </c>
      <c r="H237" t="s">
        <v>221</v>
      </c>
      <c r="I237" t="s">
        <v>235</v>
      </c>
      <c r="J237" t="s">
        <v>104</v>
      </c>
      <c r="K237" t="s">
        <v>105</v>
      </c>
      <c r="L237" t="s">
        <v>236</v>
      </c>
      <c r="M237">
        <v>27.76</v>
      </c>
      <c r="N237">
        <v>74</v>
      </c>
      <c r="O237" t="s">
        <v>1293</v>
      </c>
      <c r="P237" t="s">
        <v>42</v>
      </c>
      <c r="Q237" t="s">
        <v>458</v>
      </c>
      <c r="R237" t="s">
        <v>152</v>
      </c>
      <c r="S237" t="s">
        <v>73</v>
      </c>
      <c r="T237" t="s">
        <v>1294</v>
      </c>
      <c r="U237">
        <v>1286</v>
      </c>
      <c r="V237">
        <v>129</v>
      </c>
      <c r="W237">
        <v>1</v>
      </c>
      <c r="X237">
        <v>1964.59</v>
      </c>
      <c r="Y237">
        <v>155.62</v>
      </c>
      <c r="Z237">
        <v>2120.21</v>
      </c>
      <c r="AA237" t="s">
        <v>62</v>
      </c>
      <c r="AB237">
        <v>0</v>
      </c>
      <c r="AC237">
        <v>72.319999999999993</v>
      </c>
      <c r="AD237">
        <v>405</v>
      </c>
      <c r="AE237">
        <v>422</v>
      </c>
    </row>
    <row r="238" spans="1:31" x14ac:dyDescent="0.25">
      <c r="A238" t="s">
        <v>1295</v>
      </c>
      <c r="B238" t="s">
        <v>1296</v>
      </c>
      <c r="C238" s="1">
        <v>44180</v>
      </c>
      <c r="D238" s="1">
        <v>44408</v>
      </c>
      <c r="E238" t="s">
        <v>65</v>
      </c>
      <c r="F238" t="s">
        <v>51</v>
      </c>
      <c r="G238" t="s">
        <v>343</v>
      </c>
      <c r="H238" t="s">
        <v>53</v>
      </c>
      <c r="I238" t="s">
        <v>1297</v>
      </c>
      <c r="J238" t="s">
        <v>104</v>
      </c>
      <c r="K238" t="s">
        <v>181</v>
      </c>
      <c r="L238" t="s">
        <v>1298</v>
      </c>
      <c r="M238">
        <v>416.74</v>
      </c>
      <c r="N238">
        <v>42</v>
      </c>
      <c r="O238" t="s">
        <v>1299</v>
      </c>
      <c r="P238" t="s">
        <v>84</v>
      </c>
      <c r="Q238" t="s">
        <v>217</v>
      </c>
      <c r="R238" t="s">
        <v>86</v>
      </c>
      <c r="S238" t="s">
        <v>98</v>
      </c>
      <c r="T238" t="s">
        <v>198</v>
      </c>
      <c r="U238">
        <v>2850</v>
      </c>
      <c r="V238">
        <v>477</v>
      </c>
      <c r="W238">
        <v>26</v>
      </c>
      <c r="X238">
        <v>315.58999999999997</v>
      </c>
      <c r="Y238">
        <v>142.06</v>
      </c>
      <c r="Z238">
        <v>457.65</v>
      </c>
      <c r="AA238" t="s">
        <v>62</v>
      </c>
      <c r="AB238">
        <v>0</v>
      </c>
      <c r="AC238">
        <v>91.62</v>
      </c>
      <c r="AD238">
        <v>288</v>
      </c>
      <c r="AE238">
        <v>335</v>
      </c>
    </row>
    <row r="239" spans="1:31" x14ac:dyDescent="0.25">
      <c r="A239" t="s">
        <v>1300</v>
      </c>
      <c r="B239" t="s">
        <v>1301</v>
      </c>
      <c r="C239" s="1">
        <v>45351</v>
      </c>
      <c r="D239" s="1">
        <v>44646</v>
      </c>
      <c r="E239" t="s">
        <v>65</v>
      </c>
      <c r="F239" t="s">
        <v>34</v>
      </c>
      <c r="G239" t="s">
        <v>113</v>
      </c>
      <c r="H239" t="s">
        <v>36</v>
      </c>
      <c r="I239" t="s">
        <v>1302</v>
      </c>
      <c r="J239" t="s">
        <v>38</v>
      </c>
      <c r="K239" t="s">
        <v>94</v>
      </c>
      <c r="L239" t="s">
        <v>1303</v>
      </c>
      <c r="M239">
        <v>116.12</v>
      </c>
      <c r="N239">
        <v>44</v>
      </c>
      <c r="O239" t="s">
        <v>1304</v>
      </c>
      <c r="P239" t="s">
        <v>84</v>
      </c>
      <c r="Q239" t="s">
        <v>118</v>
      </c>
      <c r="R239" t="s">
        <v>60</v>
      </c>
      <c r="S239" t="s">
        <v>98</v>
      </c>
      <c r="T239" t="s">
        <v>437</v>
      </c>
      <c r="U239">
        <v>4542</v>
      </c>
      <c r="V239">
        <v>182</v>
      </c>
      <c r="W239">
        <v>11</v>
      </c>
      <c r="X239">
        <v>1786.29</v>
      </c>
      <c r="Y239">
        <v>36.9</v>
      </c>
      <c r="Z239">
        <v>1823.19</v>
      </c>
      <c r="AA239" t="s">
        <v>62</v>
      </c>
      <c r="AB239">
        <v>0</v>
      </c>
      <c r="AC239">
        <v>76.94</v>
      </c>
      <c r="AD239">
        <v>444</v>
      </c>
      <c r="AE239">
        <v>466</v>
      </c>
    </row>
    <row r="240" spans="1:31" x14ac:dyDescent="0.25">
      <c r="A240" t="s">
        <v>1305</v>
      </c>
      <c r="B240" t="s">
        <v>1306</v>
      </c>
      <c r="C240" s="1">
        <v>44380</v>
      </c>
      <c r="D240" s="1">
        <v>45293</v>
      </c>
      <c r="E240" t="s">
        <v>65</v>
      </c>
      <c r="F240" t="s">
        <v>146</v>
      </c>
      <c r="G240" t="s">
        <v>343</v>
      </c>
      <c r="H240" t="s">
        <v>53</v>
      </c>
      <c r="I240" t="s">
        <v>1307</v>
      </c>
      <c r="J240" t="s">
        <v>38</v>
      </c>
      <c r="K240" t="s">
        <v>94</v>
      </c>
      <c r="L240" t="s">
        <v>1308</v>
      </c>
      <c r="M240">
        <v>321.14999999999998</v>
      </c>
      <c r="N240">
        <v>68</v>
      </c>
      <c r="O240" t="s">
        <v>1309</v>
      </c>
      <c r="P240" t="s">
        <v>42</v>
      </c>
      <c r="Q240" t="s">
        <v>238</v>
      </c>
      <c r="R240" t="s">
        <v>60</v>
      </c>
      <c r="S240" t="s">
        <v>126</v>
      </c>
      <c r="T240" t="s">
        <v>88</v>
      </c>
      <c r="U240">
        <v>89</v>
      </c>
      <c r="V240">
        <v>431</v>
      </c>
      <c r="W240">
        <v>10</v>
      </c>
      <c r="X240">
        <v>1980.82</v>
      </c>
      <c r="Y240">
        <v>94.51</v>
      </c>
      <c r="Z240">
        <v>2075.33</v>
      </c>
      <c r="AA240" t="s">
        <v>47</v>
      </c>
      <c r="AB240">
        <v>4</v>
      </c>
      <c r="AC240">
        <v>82.91</v>
      </c>
      <c r="AD240">
        <v>356</v>
      </c>
      <c r="AE240">
        <v>348</v>
      </c>
    </row>
    <row r="241" spans="1:31" x14ac:dyDescent="0.25">
      <c r="A241" t="s">
        <v>1310</v>
      </c>
      <c r="B241" t="s">
        <v>1311</v>
      </c>
      <c r="C241" s="1">
        <v>44825</v>
      </c>
      <c r="D241" s="1">
        <v>44614</v>
      </c>
      <c r="E241" t="s">
        <v>50</v>
      </c>
      <c r="F241" t="s">
        <v>146</v>
      </c>
      <c r="G241" t="s">
        <v>66</v>
      </c>
      <c r="H241" t="s">
        <v>221</v>
      </c>
      <c r="I241" t="s">
        <v>1312</v>
      </c>
      <c r="J241" t="s">
        <v>38</v>
      </c>
      <c r="K241" t="s">
        <v>94</v>
      </c>
      <c r="L241" t="s">
        <v>1313</v>
      </c>
      <c r="M241">
        <v>284.12</v>
      </c>
      <c r="N241">
        <v>5</v>
      </c>
      <c r="O241" t="s">
        <v>1314</v>
      </c>
      <c r="P241" t="s">
        <v>42</v>
      </c>
      <c r="Q241" t="s">
        <v>169</v>
      </c>
      <c r="R241" t="s">
        <v>60</v>
      </c>
      <c r="S241" t="s">
        <v>126</v>
      </c>
      <c r="T241" t="s">
        <v>296</v>
      </c>
      <c r="U241">
        <v>3062</v>
      </c>
      <c r="V241">
        <v>358</v>
      </c>
      <c r="W241">
        <v>7</v>
      </c>
      <c r="X241">
        <v>679.17</v>
      </c>
      <c r="Y241">
        <v>181.66</v>
      </c>
      <c r="Z241">
        <v>860.82999999999993</v>
      </c>
      <c r="AA241" t="s">
        <v>62</v>
      </c>
      <c r="AB241">
        <v>0</v>
      </c>
      <c r="AC241">
        <v>91.46</v>
      </c>
      <c r="AD241">
        <v>122</v>
      </c>
      <c r="AE241">
        <v>131</v>
      </c>
    </row>
    <row r="242" spans="1:31" x14ac:dyDescent="0.25">
      <c r="A242" t="s">
        <v>1315</v>
      </c>
      <c r="B242" t="s">
        <v>1316</v>
      </c>
      <c r="C242" s="1">
        <v>44434</v>
      </c>
      <c r="D242" s="1">
        <v>45492</v>
      </c>
      <c r="E242" t="s">
        <v>65</v>
      </c>
      <c r="F242" t="s">
        <v>34</v>
      </c>
      <c r="G242" t="s">
        <v>343</v>
      </c>
      <c r="H242" t="s">
        <v>67</v>
      </c>
      <c r="I242" t="s">
        <v>1317</v>
      </c>
      <c r="J242" t="s">
        <v>38</v>
      </c>
      <c r="K242" t="s">
        <v>55</v>
      </c>
      <c r="L242" t="s">
        <v>1318</v>
      </c>
      <c r="M242">
        <v>460.62</v>
      </c>
      <c r="N242">
        <v>46</v>
      </c>
      <c r="O242" t="s">
        <v>1319</v>
      </c>
      <c r="P242" t="s">
        <v>58</v>
      </c>
      <c r="Q242" t="s">
        <v>686</v>
      </c>
      <c r="R242" t="s">
        <v>44</v>
      </c>
      <c r="S242" t="s">
        <v>45</v>
      </c>
      <c r="T242" t="s">
        <v>160</v>
      </c>
      <c r="U242">
        <v>3336</v>
      </c>
      <c r="V242">
        <v>83</v>
      </c>
      <c r="W242">
        <v>14</v>
      </c>
      <c r="X242">
        <v>1144.1300000000001</v>
      </c>
      <c r="Y242">
        <v>365.61</v>
      </c>
      <c r="Z242">
        <v>1509.74</v>
      </c>
      <c r="AA242" t="s">
        <v>47</v>
      </c>
      <c r="AB242">
        <v>5</v>
      </c>
      <c r="AC242">
        <v>79.510000000000005</v>
      </c>
      <c r="AD242">
        <v>254</v>
      </c>
      <c r="AE242">
        <v>206</v>
      </c>
    </row>
    <row r="243" spans="1:31" x14ac:dyDescent="0.25">
      <c r="A243" t="s">
        <v>1320</v>
      </c>
      <c r="B243" t="s">
        <v>1321</v>
      </c>
      <c r="C243" s="1">
        <v>45034</v>
      </c>
      <c r="D243" s="1">
        <v>45488</v>
      </c>
      <c r="E243" t="s">
        <v>65</v>
      </c>
      <c r="F243" t="s">
        <v>91</v>
      </c>
      <c r="G243" t="s">
        <v>66</v>
      </c>
      <c r="H243" t="s">
        <v>163</v>
      </c>
      <c r="I243" t="s">
        <v>1322</v>
      </c>
      <c r="J243" t="s">
        <v>38</v>
      </c>
      <c r="K243" t="s">
        <v>69</v>
      </c>
      <c r="L243" t="s">
        <v>1323</v>
      </c>
      <c r="M243">
        <v>200.03</v>
      </c>
      <c r="N243">
        <v>51</v>
      </c>
      <c r="O243" t="s">
        <v>1324</v>
      </c>
      <c r="P243" t="s">
        <v>141</v>
      </c>
      <c r="Q243" t="s">
        <v>118</v>
      </c>
      <c r="R243" t="s">
        <v>44</v>
      </c>
      <c r="S243" t="s">
        <v>73</v>
      </c>
      <c r="T243" t="s">
        <v>206</v>
      </c>
      <c r="U243">
        <v>801</v>
      </c>
      <c r="V243">
        <v>311</v>
      </c>
      <c r="W243">
        <v>19</v>
      </c>
      <c r="X243">
        <v>376.26</v>
      </c>
      <c r="Y243">
        <v>121.34</v>
      </c>
      <c r="Z243">
        <v>497.6</v>
      </c>
      <c r="AA243" t="s">
        <v>62</v>
      </c>
      <c r="AB243">
        <v>0</v>
      </c>
      <c r="AC243">
        <v>94.49</v>
      </c>
      <c r="AD243">
        <v>236</v>
      </c>
      <c r="AE243">
        <v>223</v>
      </c>
    </row>
    <row r="244" spans="1:31" x14ac:dyDescent="0.25">
      <c r="A244" t="s">
        <v>1325</v>
      </c>
      <c r="B244" t="s">
        <v>1326</v>
      </c>
      <c r="C244" s="1">
        <v>44450</v>
      </c>
      <c r="D244" s="1">
        <v>44073</v>
      </c>
      <c r="E244" t="s">
        <v>50</v>
      </c>
      <c r="F244" t="s">
        <v>34</v>
      </c>
      <c r="G244" t="s">
        <v>92</v>
      </c>
      <c r="H244" t="s">
        <v>221</v>
      </c>
      <c r="I244" t="s">
        <v>1327</v>
      </c>
      <c r="J244" t="s">
        <v>38</v>
      </c>
      <c r="K244" t="s">
        <v>69</v>
      </c>
      <c r="L244" t="s">
        <v>1328</v>
      </c>
      <c r="M244">
        <v>297.33999999999997</v>
      </c>
      <c r="N244">
        <v>82</v>
      </c>
      <c r="O244" t="s">
        <v>1309</v>
      </c>
      <c r="P244" t="s">
        <v>84</v>
      </c>
      <c r="Q244" t="s">
        <v>252</v>
      </c>
      <c r="R244" t="s">
        <v>152</v>
      </c>
      <c r="S244" t="s">
        <v>87</v>
      </c>
      <c r="T244" t="s">
        <v>253</v>
      </c>
      <c r="U244">
        <v>4049</v>
      </c>
      <c r="V244">
        <v>416</v>
      </c>
      <c r="W244">
        <v>14</v>
      </c>
      <c r="X244">
        <v>1341.3</v>
      </c>
      <c r="Y244">
        <v>392.99</v>
      </c>
      <c r="Z244">
        <v>1734.29</v>
      </c>
      <c r="AA244" t="s">
        <v>62</v>
      </c>
      <c r="AB244">
        <v>0</v>
      </c>
      <c r="AC244">
        <v>98.44</v>
      </c>
      <c r="AD244">
        <v>320</v>
      </c>
      <c r="AE244">
        <v>331</v>
      </c>
    </row>
    <row r="245" spans="1:31" x14ac:dyDescent="0.25">
      <c r="A245" t="s">
        <v>1329</v>
      </c>
      <c r="B245" t="s">
        <v>1330</v>
      </c>
      <c r="C245" s="1">
        <v>44231</v>
      </c>
      <c r="D245" s="1">
        <v>44930</v>
      </c>
      <c r="E245" t="s">
        <v>65</v>
      </c>
      <c r="F245" t="s">
        <v>34</v>
      </c>
      <c r="G245" t="s">
        <v>343</v>
      </c>
      <c r="H245" t="s">
        <v>36</v>
      </c>
      <c r="I245" t="s">
        <v>1331</v>
      </c>
      <c r="J245" t="s">
        <v>38</v>
      </c>
      <c r="K245" t="s">
        <v>39</v>
      </c>
      <c r="L245" t="s">
        <v>1332</v>
      </c>
      <c r="M245">
        <v>295.55</v>
      </c>
      <c r="N245">
        <v>62</v>
      </c>
      <c r="O245" t="s">
        <v>1333</v>
      </c>
      <c r="P245" t="s">
        <v>108</v>
      </c>
      <c r="Q245" t="s">
        <v>377</v>
      </c>
      <c r="R245" t="s">
        <v>60</v>
      </c>
      <c r="S245" t="s">
        <v>98</v>
      </c>
      <c r="T245" t="s">
        <v>721</v>
      </c>
      <c r="U245">
        <v>2055</v>
      </c>
      <c r="V245">
        <v>295</v>
      </c>
      <c r="W245">
        <v>6</v>
      </c>
      <c r="X245">
        <v>570.65</v>
      </c>
      <c r="Y245">
        <v>164.25</v>
      </c>
      <c r="Z245">
        <v>734.9</v>
      </c>
      <c r="AA245" t="s">
        <v>62</v>
      </c>
      <c r="AB245">
        <v>0</v>
      </c>
      <c r="AC245">
        <v>70.98</v>
      </c>
      <c r="AD245">
        <v>319</v>
      </c>
      <c r="AE245">
        <v>337</v>
      </c>
    </row>
    <row r="246" spans="1:31" x14ac:dyDescent="0.25">
      <c r="A246" t="s">
        <v>1334</v>
      </c>
      <c r="B246" t="s">
        <v>1335</v>
      </c>
      <c r="C246" s="1">
        <v>44489</v>
      </c>
      <c r="D246" s="1">
        <v>45617</v>
      </c>
      <c r="E246" t="s">
        <v>65</v>
      </c>
      <c r="F246" t="s">
        <v>34</v>
      </c>
      <c r="G246" t="s">
        <v>66</v>
      </c>
      <c r="H246" t="s">
        <v>221</v>
      </c>
      <c r="I246" t="s">
        <v>1336</v>
      </c>
      <c r="J246" t="s">
        <v>38</v>
      </c>
      <c r="K246" t="s">
        <v>81</v>
      </c>
      <c r="L246" t="s">
        <v>1337</v>
      </c>
      <c r="M246">
        <v>465.29</v>
      </c>
      <c r="N246">
        <v>50</v>
      </c>
      <c r="O246" t="s">
        <v>1338</v>
      </c>
      <c r="P246" t="s">
        <v>58</v>
      </c>
      <c r="Q246" t="s">
        <v>295</v>
      </c>
      <c r="R246" t="s">
        <v>152</v>
      </c>
      <c r="S246" t="s">
        <v>126</v>
      </c>
      <c r="T246" t="s">
        <v>721</v>
      </c>
      <c r="U246">
        <v>1228</v>
      </c>
      <c r="V246">
        <v>102</v>
      </c>
      <c r="W246">
        <v>8</v>
      </c>
      <c r="X246">
        <v>1994.59</v>
      </c>
      <c r="Y246">
        <v>396.13</v>
      </c>
      <c r="Z246">
        <v>2390.7199999999998</v>
      </c>
      <c r="AA246" t="s">
        <v>62</v>
      </c>
      <c r="AB246">
        <v>0</v>
      </c>
      <c r="AC246">
        <v>88.73</v>
      </c>
      <c r="AD246">
        <v>235</v>
      </c>
      <c r="AE246">
        <v>197</v>
      </c>
    </row>
    <row r="247" spans="1:31" x14ac:dyDescent="0.25">
      <c r="A247" t="s">
        <v>1339</v>
      </c>
      <c r="B247" t="s">
        <v>1340</v>
      </c>
      <c r="C247" s="1">
        <v>44814</v>
      </c>
      <c r="D247" s="1">
        <v>44724</v>
      </c>
      <c r="E247" t="s">
        <v>65</v>
      </c>
      <c r="F247" t="s">
        <v>34</v>
      </c>
      <c r="G247" t="s">
        <v>113</v>
      </c>
      <c r="H247" t="s">
        <v>114</v>
      </c>
      <c r="I247" t="s">
        <v>1341</v>
      </c>
      <c r="J247" t="s">
        <v>165</v>
      </c>
      <c r="K247" t="s">
        <v>166</v>
      </c>
      <c r="L247" t="s">
        <v>1342</v>
      </c>
      <c r="M247">
        <v>104.75</v>
      </c>
      <c r="N247">
        <v>53</v>
      </c>
      <c r="O247" t="s">
        <v>1343</v>
      </c>
      <c r="P247" t="s">
        <v>141</v>
      </c>
      <c r="Q247" t="s">
        <v>562</v>
      </c>
      <c r="R247" t="s">
        <v>152</v>
      </c>
      <c r="S247" t="s">
        <v>98</v>
      </c>
      <c r="T247" t="s">
        <v>61</v>
      </c>
      <c r="U247">
        <v>1960</v>
      </c>
      <c r="V247">
        <v>397</v>
      </c>
      <c r="W247">
        <v>22</v>
      </c>
      <c r="X247">
        <v>1777.03</v>
      </c>
      <c r="Y247">
        <v>412.45</v>
      </c>
      <c r="Z247">
        <v>2189.48</v>
      </c>
      <c r="AA247" t="s">
        <v>47</v>
      </c>
      <c r="AB247">
        <v>9</v>
      </c>
      <c r="AC247">
        <v>79.25</v>
      </c>
      <c r="AD247">
        <v>183</v>
      </c>
      <c r="AE247">
        <v>183</v>
      </c>
    </row>
    <row r="248" spans="1:31" x14ac:dyDescent="0.25">
      <c r="A248" t="s">
        <v>1344</v>
      </c>
      <c r="B248" t="s">
        <v>1345</v>
      </c>
      <c r="C248" s="1">
        <v>44943</v>
      </c>
      <c r="D248" s="1">
        <v>44564</v>
      </c>
      <c r="E248" t="s">
        <v>50</v>
      </c>
      <c r="F248" t="s">
        <v>77</v>
      </c>
      <c r="G248" t="s">
        <v>66</v>
      </c>
      <c r="H248" t="s">
        <v>79</v>
      </c>
      <c r="I248" t="s">
        <v>1346</v>
      </c>
      <c r="J248" t="s">
        <v>104</v>
      </c>
      <c r="K248" t="s">
        <v>105</v>
      </c>
      <c r="L248" t="s">
        <v>1347</v>
      </c>
      <c r="M248">
        <v>94.74</v>
      </c>
      <c r="N248">
        <v>46</v>
      </c>
      <c r="O248" t="s">
        <v>1348</v>
      </c>
      <c r="P248" t="s">
        <v>84</v>
      </c>
      <c r="Q248" t="s">
        <v>191</v>
      </c>
      <c r="R248" t="s">
        <v>60</v>
      </c>
      <c r="S248" t="s">
        <v>73</v>
      </c>
      <c r="T248" t="s">
        <v>419</v>
      </c>
      <c r="U248">
        <v>3561</v>
      </c>
      <c r="V248">
        <v>317</v>
      </c>
      <c r="W248">
        <v>1</v>
      </c>
      <c r="X248">
        <v>1491.03</v>
      </c>
      <c r="Y248">
        <v>31.07</v>
      </c>
      <c r="Z248">
        <v>1522.1</v>
      </c>
      <c r="AA248" t="s">
        <v>62</v>
      </c>
      <c r="AB248">
        <v>0</v>
      </c>
      <c r="AC248">
        <v>82.36</v>
      </c>
      <c r="AD248">
        <v>425</v>
      </c>
      <c r="AE248">
        <v>449</v>
      </c>
    </row>
    <row r="249" spans="1:31" x14ac:dyDescent="0.25">
      <c r="A249" t="s">
        <v>1349</v>
      </c>
      <c r="B249" t="s">
        <v>1350</v>
      </c>
      <c r="C249" s="1">
        <v>44651</v>
      </c>
      <c r="D249" s="1">
        <v>45522</v>
      </c>
      <c r="E249" t="s">
        <v>50</v>
      </c>
      <c r="F249" t="s">
        <v>146</v>
      </c>
      <c r="G249" t="s">
        <v>102</v>
      </c>
      <c r="H249" t="s">
        <v>53</v>
      </c>
      <c r="I249" t="s">
        <v>93</v>
      </c>
      <c r="J249" t="s">
        <v>38</v>
      </c>
      <c r="K249" t="s">
        <v>94</v>
      </c>
      <c r="L249" t="s">
        <v>95</v>
      </c>
      <c r="M249">
        <v>495.49</v>
      </c>
      <c r="N249">
        <v>23</v>
      </c>
      <c r="O249" t="s">
        <v>1351</v>
      </c>
      <c r="P249" t="s">
        <v>58</v>
      </c>
      <c r="Q249" t="s">
        <v>320</v>
      </c>
      <c r="R249" t="s">
        <v>152</v>
      </c>
      <c r="S249" t="s">
        <v>73</v>
      </c>
      <c r="T249" t="s">
        <v>738</v>
      </c>
      <c r="U249">
        <v>1568</v>
      </c>
      <c r="V249">
        <v>419</v>
      </c>
      <c r="W249">
        <v>14</v>
      </c>
      <c r="X249">
        <v>921.91</v>
      </c>
      <c r="Y249">
        <v>411.8</v>
      </c>
      <c r="Z249">
        <v>1333.71</v>
      </c>
      <c r="AA249" t="s">
        <v>62</v>
      </c>
      <c r="AB249">
        <v>0</v>
      </c>
      <c r="AC249">
        <v>88.24</v>
      </c>
      <c r="AD249">
        <v>51</v>
      </c>
      <c r="AE249">
        <v>51</v>
      </c>
    </row>
    <row r="250" spans="1:31" x14ac:dyDescent="0.25">
      <c r="A250" t="s">
        <v>1352</v>
      </c>
      <c r="B250" t="s">
        <v>1353</v>
      </c>
      <c r="C250" s="1">
        <v>44384</v>
      </c>
      <c r="D250" s="1">
        <v>44955</v>
      </c>
      <c r="E250" t="s">
        <v>65</v>
      </c>
      <c r="F250" t="s">
        <v>91</v>
      </c>
      <c r="G250" t="s">
        <v>113</v>
      </c>
      <c r="H250" t="s">
        <v>53</v>
      </c>
      <c r="I250" t="s">
        <v>1354</v>
      </c>
      <c r="J250" t="s">
        <v>38</v>
      </c>
      <c r="K250" t="s">
        <v>55</v>
      </c>
      <c r="L250" t="s">
        <v>1355</v>
      </c>
      <c r="M250">
        <v>268.99</v>
      </c>
      <c r="N250">
        <v>44</v>
      </c>
      <c r="O250" t="s">
        <v>1356</v>
      </c>
      <c r="P250" t="s">
        <v>58</v>
      </c>
      <c r="Q250" t="s">
        <v>109</v>
      </c>
      <c r="R250" t="s">
        <v>44</v>
      </c>
      <c r="S250" t="s">
        <v>45</v>
      </c>
      <c r="T250" t="s">
        <v>347</v>
      </c>
      <c r="U250">
        <v>3336</v>
      </c>
      <c r="V250">
        <v>417</v>
      </c>
      <c r="W250">
        <v>8</v>
      </c>
      <c r="X250">
        <v>1059.83</v>
      </c>
      <c r="Y250">
        <v>152.71</v>
      </c>
      <c r="Z250">
        <v>1212.54</v>
      </c>
      <c r="AA250" t="s">
        <v>62</v>
      </c>
      <c r="AB250">
        <v>0</v>
      </c>
      <c r="AC250">
        <v>70.12</v>
      </c>
      <c r="AD250">
        <v>298</v>
      </c>
      <c r="AE250">
        <v>252</v>
      </c>
    </row>
    <row r="251" spans="1:31" x14ac:dyDescent="0.25">
      <c r="A251" t="s">
        <v>1357</v>
      </c>
      <c r="B251" t="s">
        <v>1358</v>
      </c>
      <c r="C251" s="1">
        <v>45552</v>
      </c>
      <c r="D251" s="1">
        <v>43835</v>
      </c>
      <c r="E251" t="s">
        <v>65</v>
      </c>
      <c r="F251" t="s">
        <v>51</v>
      </c>
      <c r="G251" t="s">
        <v>52</v>
      </c>
      <c r="H251" t="s">
        <v>53</v>
      </c>
      <c r="I251" t="s">
        <v>1359</v>
      </c>
      <c r="J251" t="s">
        <v>38</v>
      </c>
      <c r="K251" t="s">
        <v>55</v>
      </c>
      <c r="L251" t="s">
        <v>1360</v>
      </c>
      <c r="M251">
        <v>407.75</v>
      </c>
      <c r="N251">
        <v>73</v>
      </c>
      <c r="O251" t="s">
        <v>1361</v>
      </c>
      <c r="P251" t="s">
        <v>84</v>
      </c>
      <c r="Q251" t="s">
        <v>217</v>
      </c>
      <c r="R251" t="s">
        <v>44</v>
      </c>
      <c r="S251" t="s">
        <v>87</v>
      </c>
      <c r="T251" t="s">
        <v>359</v>
      </c>
      <c r="U251">
        <v>1101</v>
      </c>
      <c r="V251">
        <v>92</v>
      </c>
      <c r="W251">
        <v>16</v>
      </c>
      <c r="X251">
        <v>1771.67</v>
      </c>
      <c r="Y251">
        <v>192.02</v>
      </c>
      <c r="Z251">
        <v>1963.69</v>
      </c>
      <c r="AA251" t="s">
        <v>62</v>
      </c>
      <c r="AB251">
        <v>0</v>
      </c>
      <c r="AC251">
        <v>75.27</v>
      </c>
      <c r="AD251">
        <v>111</v>
      </c>
      <c r="AE251">
        <v>96</v>
      </c>
    </row>
    <row r="252" spans="1:31" x14ac:dyDescent="0.25">
      <c r="A252" t="s">
        <v>1362</v>
      </c>
      <c r="B252" t="s">
        <v>1363</v>
      </c>
      <c r="C252" s="1">
        <v>45292</v>
      </c>
      <c r="D252" s="1">
        <v>44210</v>
      </c>
      <c r="E252" t="s">
        <v>65</v>
      </c>
      <c r="F252" t="s">
        <v>146</v>
      </c>
      <c r="G252" t="s">
        <v>92</v>
      </c>
      <c r="H252" t="s">
        <v>147</v>
      </c>
      <c r="I252" t="s">
        <v>1364</v>
      </c>
      <c r="J252" t="s">
        <v>38</v>
      </c>
      <c r="K252" t="s">
        <v>39</v>
      </c>
      <c r="L252" t="s">
        <v>1365</v>
      </c>
      <c r="M252">
        <v>430.88</v>
      </c>
      <c r="N252">
        <v>28</v>
      </c>
      <c r="O252" t="s">
        <v>618</v>
      </c>
      <c r="P252" t="s">
        <v>84</v>
      </c>
      <c r="Q252" t="s">
        <v>118</v>
      </c>
      <c r="R252" t="s">
        <v>86</v>
      </c>
      <c r="S252" t="s">
        <v>73</v>
      </c>
      <c r="T252" t="s">
        <v>225</v>
      </c>
      <c r="U252">
        <v>3697</v>
      </c>
      <c r="V252">
        <v>340</v>
      </c>
      <c r="W252">
        <v>13</v>
      </c>
      <c r="X252">
        <v>162.07</v>
      </c>
      <c r="Y252">
        <v>160.97</v>
      </c>
      <c r="Z252">
        <v>323.04000000000002</v>
      </c>
      <c r="AA252" t="s">
        <v>62</v>
      </c>
      <c r="AB252">
        <v>0</v>
      </c>
      <c r="AC252">
        <v>91.06</v>
      </c>
      <c r="AD252">
        <v>75</v>
      </c>
      <c r="AE252">
        <v>62</v>
      </c>
    </row>
    <row r="253" spans="1:31" x14ac:dyDescent="0.25">
      <c r="A253" t="s">
        <v>1366</v>
      </c>
      <c r="B253" t="s">
        <v>1367</v>
      </c>
      <c r="C253" s="1">
        <v>45160</v>
      </c>
      <c r="D253" s="1">
        <v>44109</v>
      </c>
      <c r="E253" t="s">
        <v>65</v>
      </c>
      <c r="F253" t="s">
        <v>91</v>
      </c>
      <c r="G253" t="s">
        <v>66</v>
      </c>
      <c r="H253" t="s">
        <v>147</v>
      </c>
      <c r="I253" t="s">
        <v>1368</v>
      </c>
      <c r="J253" t="s">
        <v>38</v>
      </c>
      <c r="K253" t="s">
        <v>69</v>
      </c>
      <c r="L253" t="s">
        <v>1369</v>
      </c>
      <c r="M253">
        <v>455.03</v>
      </c>
      <c r="N253">
        <v>69</v>
      </c>
      <c r="O253" t="s">
        <v>1370</v>
      </c>
      <c r="P253" t="s">
        <v>141</v>
      </c>
      <c r="Q253" t="s">
        <v>408</v>
      </c>
      <c r="R253" t="s">
        <v>152</v>
      </c>
      <c r="S253" t="s">
        <v>98</v>
      </c>
      <c r="T253" t="s">
        <v>153</v>
      </c>
      <c r="U253">
        <v>4746</v>
      </c>
      <c r="V253">
        <v>235</v>
      </c>
      <c r="W253">
        <v>22</v>
      </c>
      <c r="X253">
        <v>1187.27</v>
      </c>
      <c r="Y253">
        <v>480.04</v>
      </c>
      <c r="Z253">
        <v>1667.31</v>
      </c>
      <c r="AA253" t="s">
        <v>62</v>
      </c>
      <c r="AB253">
        <v>0</v>
      </c>
      <c r="AC253">
        <v>91.48</v>
      </c>
      <c r="AD253">
        <v>268</v>
      </c>
      <c r="AE253">
        <v>309</v>
      </c>
    </row>
    <row r="254" spans="1:31" x14ac:dyDescent="0.25">
      <c r="A254" t="s">
        <v>1371</v>
      </c>
      <c r="B254" t="s">
        <v>1372</v>
      </c>
      <c r="C254" s="1">
        <v>44480</v>
      </c>
      <c r="D254" s="1">
        <v>45362</v>
      </c>
      <c r="E254" t="s">
        <v>50</v>
      </c>
      <c r="F254" t="s">
        <v>77</v>
      </c>
      <c r="G254" t="s">
        <v>52</v>
      </c>
      <c r="H254" t="s">
        <v>79</v>
      </c>
      <c r="I254" t="s">
        <v>1373</v>
      </c>
      <c r="J254" t="s">
        <v>38</v>
      </c>
      <c r="K254" t="s">
        <v>81</v>
      </c>
      <c r="L254" t="s">
        <v>1374</v>
      </c>
      <c r="M254">
        <v>48.27</v>
      </c>
      <c r="N254">
        <v>39</v>
      </c>
      <c r="O254" t="s">
        <v>1375</v>
      </c>
      <c r="P254" t="s">
        <v>108</v>
      </c>
      <c r="Q254" t="s">
        <v>176</v>
      </c>
      <c r="R254" t="s">
        <v>152</v>
      </c>
      <c r="S254" t="s">
        <v>73</v>
      </c>
      <c r="T254" t="s">
        <v>675</v>
      </c>
      <c r="U254">
        <v>1038</v>
      </c>
      <c r="V254">
        <v>315</v>
      </c>
      <c r="W254">
        <v>5</v>
      </c>
      <c r="X254">
        <v>218.62</v>
      </c>
      <c r="Y254">
        <v>153.69999999999999</v>
      </c>
      <c r="Z254">
        <v>372.32</v>
      </c>
      <c r="AA254" t="s">
        <v>62</v>
      </c>
      <c r="AB254">
        <v>0</v>
      </c>
      <c r="AC254">
        <v>91.69</v>
      </c>
      <c r="AD254">
        <v>125</v>
      </c>
      <c r="AE254">
        <v>134</v>
      </c>
    </row>
    <row r="255" spans="1:31" x14ac:dyDescent="0.25">
      <c r="A255" t="s">
        <v>1376</v>
      </c>
      <c r="B255" t="s">
        <v>1377</v>
      </c>
      <c r="C255" s="1">
        <v>44205</v>
      </c>
      <c r="D255" s="1">
        <v>44229</v>
      </c>
      <c r="E255" t="s">
        <v>65</v>
      </c>
      <c r="F255" t="s">
        <v>51</v>
      </c>
      <c r="G255" t="s">
        <v>78</v>
      </c>
      <c r="H255" t="s">
        <v>221</v>
      </c>
      <c r="I255" t="s">
        <v>1378</v>
      </c>
      <c r="J255" t="s">
        <v>165</v>
      </c>
      <c r="K255" t="s">
        <v>166</v>
      </c>
      <c r="L255" t="s">
        <v>1379</v>
      </c>
      <c r="M255">
        <v>202.73</v>
      </c>
      <c r="N255">
        <v>6</v>
      </c>
      <c r="O255" t="s">
        <v>1380</v>
      </c>
      <c r="P255" t="s">
        <v>84</v>
      </c>
      <c r="Q255" t="s">
        <v>408</v>
      </c>
      <c r="R255" t="s">
        <v>60</v>
      </c>
      <c r="S255" t="s">
        <v>126</v>
      </c>
      <c r="T255" t="s">
        <v>378</v>
      </c>
      <c r="U255">
        <v>3019</v>
      </c>
      <c r="V255">
        <v>281</v>
      </c>
      <c r="W255">
        <v>2</v>
      </c>
      <c r="X255">
        <v>637.6</v>
      </c>
      <c r="Y255">
        <v>265.18</v>
      </c>
      <c r="Z255">
        <v>902.78</v>
      </c>
      <c r="AA255" t="s">
        <v>62</v>
      </c>
      <c r="AB255">
        <v>0</v>
      </c>
      <c r="AC255">
        <v>83.54</v>
      </c>
      <c r="AD255">
        <v>380</v>
      </c>
      <c r="AE255">
        <v>367</v>
      </c>
    </row>
    <row r="256" spans="1:31" x14ac:dyDescent="0.25">
      <c r="A256" t="s">
        <v>1381</v>
      </c>
      <c r="B256" t="s">
        <v>1382</v>
      </c>
      <c r="C256" s="1">
        <v>44107</v>
      </c>
      <c r="D256" s="1">
        <v>44755</v>
      </c>
      <c r="E256" t="s">
        <v>65</v>
      </c>
      <c r="F256" t="s">
        <v>146</v>
      </c>
      <c r="G256" t="s">
        <v>92</v>
      </c>
      <c r="H256" t="s">
        <v>147</v>
      </c>
      <c r="I256" t="s">
        <v>1383</v>
      </c>
      <c r="J256" t="s">
        <v>104</v>
      </c>
      <c r="K256" t="s">
        <v>181</v>
      </c>
      <c r="L256" t="s">
        <v>1384</v>
      </c>
      <c r="M256">
        <v>23.69</v>
      </c>
      <c r="N256">
        <v>60</v>
      </c>
      <c r="O256" t="s">
        <v>1385</v>
      </c>
      <c r="P256" t="s">
        <v>141</v>
      </c>
      <c r="Q256" t="s">
        <v>109</v>
      </c>
      <c r="R256" t="s">
        <v>44</v>
      </c>
      <c r="S256" t="s">
        <v>45</v>
      </c>
      <c r="T256" t="s">
        <v>177</v>
      </c>
      <c r="U256">
        <v>1448</v>
      </c>
      <c r="V256">
        <v>258</v>
      </c>
      <c r="W256">
        <v>1</v>
      </c>
      <c r="X256">
        <v>297.19</v>
      </c>
      <c r="Y256">
        <v>125.95</v>
      </c>
      <c r="Z256">
        <v>423.14</v>
      </c>
      <c r="AA256" t="s">
        <v>62</v>
      </c>
      <c r="AB256">
        <v>0</v>
      </c>
      <c r="AC256">
        <v>84.78</v>
      </c>
      <c r="AD256">
        <v>304</v>
      </c>
      <c r="AE256">
        <v>327</v>
      </c>
    </row>
    <row r="257" spans="1:31" x14ac:dyDescent="0.25">
      <c r="A257" t="s">
        <v>1386</v>
      </c>
      <c r="B257" t="s">
        <v>1387</v>
      </c>
      <c r="C257" s="1">
        <v>44204</v>
      </c>
      <c r="D257" s="1">
        <v>44490</v>
      </c>
      <c r="E257" t="s">
        <v>50</v>
      </c>
      <c r="F257" t="s">
        <v>146</v>
      </c>
      <c r="G257" t="s">
        <v>102</v>
      </c>
      <c r="H257" t="s">
        <v>79</v>
      </c>
      <c r="I257" t="s">
        <v>1388</v>
      </c>
      <c r="J257" t="s">
        <v>38</v>
      </c>
      <c r="K257" t="s">
        <v>39</v>
      </c>
      <c r="L257" t="s">
        <v>1389</v>
      </c>
      <c r="M257">
        <v>259.73</v>
      </c>
      <c r="N257">
        <v>40</v>
      </c>
      <c r="O257" t="s">
        <v>1239</v>
      </c>
      <c r="P257" t="s">
        <v>42</v>
      </c>
      <c r="Q257" t="s">
        <v>109</v>
      </c>
      <c r="R257" t="s">
        <v>44</v>
      </c>
      <c r="S257" t="s">
        <v>98</v>
      </c>
      <c r="T257" t="s">
        <v>153</v>
      </c>
      <c r="U257">
        <v>1049</v>
      </c>
      <c r="V257">
        <v>286</v>
      </c>
      <c r="W257">
        <v>20</v>
      </c>
      <c r="X257">
        <v>982.09</v>
      </c>
      <c r="Y257">
        <v>66.64</v>
      </c>
      <c r="Z257">
        <v>1048.73</v>
      </c>
      <c r="AA257" t="s">
        <v>62</v>
      </c>
      <c r="AB257">
        <v>0</v>
      </c>
      <c r="AC257">
        <v>97.81</v>
      </c>
      <c r="AD257">
        <v>144</v>
      </c>
      <c r="AE257">
        <v>108</v>
      </c>
    </row>
    <row r="258" spans="1:31" x14ac:dyDescent="0.25">
      <c r="A258" t="s">
        <v>1390</v>
      </c>
      <c r="B258" t="s">
        <v>1391</v>
      </c>
      <c r="C258" s="1">
        <v>44780</v>
      </c>
      <c r="D258" s="1">
        <v>44132</v>
      </c>
      <c r="E258" t="s">
        <v>65</v>
      </c>
      <c r="F258" t="s">
        <v>146</v>
      </c>
      <c r="G258" t="s">
        <v>343</v>
      </c>
      <c r="H258" t="s">
        <v>79</v>
      </c>
      <c r="I258" t="s">
        <v>1392</v>
      </c>
      <c r="J258" t="s">
        <v>104</v>
      </c>
      <c r="K258" t="s">
        <v>105</v>
      </c>
      <c r="L258" t="s">
        <v>1393</v>
      </c>
      <c r="M258">
        <v>337.65</v>
      </c>
      <c r="N258">
        <v>64</v>
      </c>
      <c r="O258" t="s">
        <v>1394</v>
      </c>
      <c r="P258" t="s">
        <v>84</v>
      </c>
      <c r="Q258" t="s">
        <v>217</v>
      </c>
      <c r="R258" t="s">
        <v>86</v>
      </c>
      <c r="S258" t="s">
        <v>87</v>
      </c>
      <c r="T258" t="s">
        <v>177</v>
      </c>
      <c r="U258">
        <v>841</v>
      </c>
      <c r="V258">
        <v>220</v>
      </c>
      <c r="W258">
        <v>28</v>
      </c>
      <c r="X258">
        <v>65.760000000000005</v>
      </c>
      <c r="Y258">
        <v>480.13</v>
      </c>
      <c r="Z258">
        <v>545.89</v>
      </c>
      <c r="AA258" t="s">
        <v>62</v>
      </c>
      <c r="AB258">
        <v>0</v>
      </c>
      <c r="AC258">
        <v>80.45</v>
      </c>
      <c r="AD258">
        <v>329</v>
      </c>
      <c r="AE258">
        <v>296</v>
      </c>
    </row>
    <row r="259" spans="1:31" x14ac:dyDescent="0.25">
      <c r="A259" t="s">
        <v>1395</v>
      </c>
      <c r="B259" t="s">
        <v>1396</v>
      </c>
      <c r="C259" s="1">
        <v>45524</v>
      </c>
      <c r="D259" s="1">
        <v>44123</v>
      </c>
      <c r="E259" t="s">
        <v>50</v>
      </c>
      <c r="F259" t="s">
        <v>34</v>
      </c>
      <c r="G259" t="s">
        <v>78</v>
      </c>
      <c r="H259" t="s">
        <v>163</v>
      </c>
      <c r="I259" t="s">
        <v>1397</v>
      </c>
      <c r="J259" t="s">
        <v>38</v>
      </c>
      <c r="K259" t="s">
        <v>94</v>
      </c>
      <c r="L259" t="s">
        <v>1398</v>
      </c>
      <c r="M259">
        <v>264.26</v>
      </c>
      <c r="N259">
        <v>88</v>
      </c>
      <c r="O259" t="s">
        <v>1399</v>
      </c>
      <c r="P259" t="s">
        <v>58</v>
      </c>
      <c r="Q259" t="s">
        <v>327</v>
      </c>
      <c r="R259" t="s">
        <v>152</v>
      </c>
      <c r="S259" t="s">
        <v>98</v>
      </c>
      <c r="T259" t="s">
        <v>160</v>
      </c>
      <c r="U259">
        <v>2160</v>
      </c>
      <c r="V259">
        <v>103</v>
      </c>
      <c r="W259">
        <v>24</v>
      </c>
      <c r="X259">
        <v>1149.8499999999999</v>
      </c>
      <c r="Y259">
        <v>275.27</v>
      </c>
      <c r="Z259">
        <v>1425.12</v>
      </c>
      <c r="AA259" t="s">
        <v>62</v>
      </c>
      <c r="AB259">
        <v>0</v>
      </c>
      <c r="AC259">
        <v>78.09</v>
      </c>
      <c r="AD259">
        <v>62</v>
      </c>
      <c r="AE259">
        <v>58</v>
      </c>
    </row>
    <row r="260" spans="1:31" x14ac:dyDescent="0.25">
      <c r="A260" t="s">
        <v>1400</v>
      </c>
      <c r="B260" t="s">
        <v>1401</v>
      </c>
      <c r="C260" s="1">
        <v>44350</v>
      </c>
      <c r="D260" s="1">
        <v>45062</v>
      </c>
      <c r="E260" t="s">
        <v>50</v>
      </c>
      <c r="F260" t="s">
        <v>146</v>
      </c>
      <c r="G260" t="s">
        <v>66</v>
      </c>
      <c r="H260" t="s">
        <v>221</v>
      </c>
      <c r="I260" t="s">
        <v>1402</v>
      </c>
      <c r="J260" t="s">
        <v>38</v>
      </c>
      <c r="K260" t="s">
        <v>94</v>
      </c>
      <c r="L260" t="s">
        <v>1403</v>
      </c>
      <c r="M260">
        <v>361.53</v>
      </c>
      <c r="N260">
        <v>82</v>
      </c>
      <c r="O260" t="s">
        <v>1404</v>
      </c>
      <c r="P260" t="s">
        <v>141</v>
      </c>
      <c r="Q260" t="s">
        <v>333</v>
      </c>
      <c r="R260" t="s">
        <v>44</v>
      </c>
      <c r="S260" t="s">
        <v>73</v>
      </c>
      <c r="T260" t="s">
        <v>470</v>
      </c>
      <c r="U260">
        <v>2596</v>
      </c>
      <c r="V260">
        <v>88</v>
      </c>
      <c r="W260">
        <v>25</v>
      </c>
      <c r="X260">
        <v>548.91999999999996</v>
      </c>
      <c r="Y260">
        <v>402.65</v>
      </c>
      <c r="Z260">
        <v>951.56999999999994</v>
      </c>
      <c r="AA260" t="s">
        <v>62</v>
      </c>
      <c r="AB260">
        <v>0</v>
      </c>
      <c r="AC260">
        <v>86.47</v>
      </c>
      <c r="AD260">
        <v>499</v>
      </c>
      <c r="AE260">
        <v>494</v>
      </c>
    </row>
    <row r="261" spans="1:31" x14ac:dyDescent="0.25">
      <c r="A261" t="s">
        <v>1405</v>
      </c>
      <c r="B261" t="s">
        <v>1406</v>
      </c>
      <c r="C261" s="1">
        <v>44118</v>
      </c>
      <c r="D261" s="1">
        <v>44108</v>
      </c>
      <c r="E261" t="s">
        <v>50</v>
      </c>
      <c r="F261" t="s">
        <v>34</v>
      </c>
      <c r="G261" t="s">
        <v>113</v>
      </c>
      <c r="H261" t="s">
        <v>53</v>
      </c>
      <c r="I261" t="s">
        <v>1160</v>
      </c>
      <c r="J261" t="s">
        <v>38</v>
      </c>
      <c r="K261" t="s">
        <v>94</v>
      </c>
      <c r="L261" t="s">
        <v>1161</v>
      </c>
      <c r="M261">
        <v>267.22000000000003</v>
      </c>
      <c r="N261">
        <v>63</v>
      </c>
      <c r="O261" t="s">
        <v>1407</v>
      </c>
      <c r="P261" t="s">
        <v>42</v>
      </c>
      <c r="Q261" t="s">
        <v>458</v>
      </c>
      <c r="R261" t="s">
        <v>60</v>
      </c>
      <c r="S261" t="s">
        <v>87</v>
      </c>
      <c r="T261" t="s">
        <v>1168</v>
      </c>
      <c r="U261">
        <v>4474</v>
      </c>
      <c r="V261">
        <v>475</v>
      </c>
      <c r="W261">
        <v>16</v>
      </c>
      <c r="X261">
        <v>578.17999999999995</v>
      </c>
      <c r="Y261">
        <v>60.19</v>
      </c>
      <c r="Z261">
        <v>638.36999999999989</v>
      </c>
      <c r="AA261" t="s">
        <v>62</v>
      </c>
      <c r="AB261">
        <v>0</v>
      </c>
      <c r="AC261">
        <v>71.73</v>
      </c>
      <c r="AD261">
        <v>52</v>
      </c>
      <c r="AE261">
        <v>29</v>
      </c>
    </row>
    <row r="262" spans="1:31" x14ac:dyDescent="0.25">
      <c r="A262" t="s">
        <v>1408</v>
      </c>
      <c r="B262" t="s">
        <v>1409</v>
      </c>
      <c r="C262" s="1">
        <v>44697</v>
      </c>
      <c r="D262" s="1">
        <v>44688</v>
      </c>
      <c r="E262" t="s">
        <v>50</v>
      </c>
      <c r="F262" t="s">
        <v>146</v>
      </c>
      <c r="G262" t="s">
        <v>35</v>
      </c>
      <c r="H262" t="s">
        <v>67</v>
      </c>
      <c r="I262" t="s">
        <v>1410</v>
      </c>
      <c r="J262" t="s">
        <v>165</v>
      </c>
      <c r="K262" t="s">
        <v>202</v>
      </c>
      <c r="L262" t="s">
        <v>1411</v>
      </c>
      <c r="M262">
        <v>303.39</v>
      </c>
      <c r="N262">
        <v>12</v>
      </c>
      <c r="O262" t="s">
        <v>1412</v>
      </c>
      <c r="P262" t="s">
        <v>58</v>
      </c>
      <c r="Q262" t="s">
        <v>333</v>
      </c>
      <c r="R262" t="s">
        <v>86</v>
      </c>
      <c r="S262" t="s">
        <v>98</v>
      </c>
      <c r="T262" t="s">
        <v>738</v>
      </c>
      <c r="U262">
        <v>3876</v>
      </c>
      <c r="V262">
        <v>231</v>
      </c>
      <c r="W262">
        <v>21</v>
      </c>
      <c r="X262">
        <v>1484.93</v>
      </c>
      <c r="Y262">
        <v>492.6</v>
      </c>
      <c r="Z262">
        <v>1977.53</v>
      </c>
      <c r="AA262" t="s">
        <v>62</v>
      </c>
      <c r="AB262">
        <v>0</v>
      </c>
      <c r="AC262">
        <v>80.650000000000006</v>
      </c>
      <c r="AD262">
        <v>265</v>
      </c>
      <c r="AE262">
        <v>298</v>
      </c>
    </row>
    <row r="263" spans="1:31" x14ac:dyDescent="0.25">
      <c r="A263" t="s">
        <v>1413</v>
      </c>
      <c r="B263" t="s">
        <v>1414</v>
      </c>
      <c r="C263" s="1">
        <v>45045</v>
      </c>
      <c r="D263" s="1">
        <v>44799</v>
      </c>
      <c r="E263" t="s">
        <v>65</v>
      </c>
      <c r="F263" t="s">
        <v>77</v>
      </c>
      <c r="G263" t="s">
        <v>92</v>
      </c>
      <c r="H263" t="s">
        <v>221</v>
      </c>
      <c r="I263" t="s">
        <v>1415</v>
      </c>
      <c r="J263" t="s">
        <v>38</v>
      </c>
      <c r="K263" t="s">
        <v>94</v>
      </c>
      <c r="L263" t="s">
        <v>1416</v>
      </c>
      <c r="M263">
        <v>469.48</v>
      </c>
      <c r="N263">
        <v>9</v>
      </c>
      <c r="O263" t="s">
        <v>1417</v>
      </c>
      <c r="P263" t="s">
        <v>141</v>
      </c>
      <c r="Q263" t="s">
        <v>517</v>
      </c>
      <c r="R263" t="s">
        <v>44</v>
      </c>
      <c r="S263" t="s">
        <v>87</v>
      </c>
      <c r="T263" t="s">
        <v>419</v>
      </c>
      <c r="U263">
        <v>2965</v>
      </c>
      <c r="V263">
        <v>96</v>
      </c>
      <c r="W263">
        <v>29</v>
      </c>
      <c r="X263">
        <v>622.08000000000004</v>
      </c>
      <c r="Y263">
        <v>402.57</v>
      </c>
      <c r="Z263">
        <v>1024.6500000000001</v>
      </c>
      <c r="AA263" t="s">
        <v>62</v>
      </c>
      <c r="AB263">
        <v>0</v>
      </c>
      <c r="AC263">
        <v>85.37</v>
      </c>
      <c r="AD263">
        <v>64</v>
      </c>
      <c r="AE263">
        <v>105</v>
      </c>
    </row>
    <row r="264" spans="1:31" x14ac:dyDescent="0.25">
      <c r="A264" t="s">
        <v>1418</v>
      </c>
      <c r="B264" t="s">
        <v>1419</v>
      </c>
      <c r="C264" s="1">
        <v>44065</v>
      </c>
      <c r="D264" s="1">
        <v>44528</v>
      </c>
      <c r="E264" t="s">
        <v>65</v>
      </c>
      <c r="F264" t="s">
        <v>146</v>
      </c>
      <c r="G264" t="s">
        <v>78</v>
      </c>
      <c r="H264" t="s">
        <v>36</v>
      </c>
      <c r="I264" t="s">
        <v>689</v>
      </c>
      <c r="J264" t="s">
        <v>38</v>
      </c>
      <c r="K264" t="s">
        <v>55</v>
      </c>
      <c r="L264" t="s">
        <v>690</v>
      </c>
      <c r="M264">
        <v>191.71</v>
      </c>
      <c r="N264">
        <v>86</v>
      </c>
      <c r="O264" t="s">
        <v>1420</v>
      </c>
      <c r="P264" t="s">
        <v>141</v>
      </c>
      <c r="Q264" t="s">
        <v>72</v>
      </c>
      <c r="R264" t="s">
        <v>44</v>
      </c>
      <c r="S264" t="s">
        <v>73</v>
      </c>
      <c r="T264" t="s">
        <v>192</v>
      </c>
      <c r="U264">
        <v>3139</v>
      </c>
      <c r="V264">
        <v>351</v>
      </c>
      <c r="W264">
        <v>29</v>
      </c>
      <c r="X264">
        <v>540.75</v>
      </c>
      <c r="Y264">
        <v>340.48</v>
      </c>
      <c r="Z264">
        <v>881.23</v>
      </c>
      <c r="AA264" t="s">
        <v>62</v>
      </c>
      <c r="AB264">
        <v>0</v>
      </c>
      <c r="AC264">
        <v>95.85</v>
      </c>
      <c r="AD264">
        <v>204</v>
      </c>
      <c r="AE264">
        <v>170</v>
      </c>
    </row>
    <row r="265" spans="1:31" x14ac:dyDescent="0.25">
      <c r="A265" t="s">
        <v>1421</v>
      </c>
      <c r="B265" t="s">
        <v>1422</v>
      </c>
      <c r="C265" s="1">
        <v>45007</v>
      </c>
      <c r="D265" s="1">
        <v>44286</v>
      </c>
      <c r="E265" t="s">
        <v>50</v>
      </c>
      <c r="F265" t="s">
        <v>51</v>
      </c>
      <c r="G265" t="s">
        <v>343</v>
      </c>
      <c r="H265" t="s">
        <v>221</v>
      </c>
      <c r="I265" t="s">
        <v>1423</v>
      </c>
      <c r="J265" t="s">
        <v>38</v>
      </c>
      <c r="K265" t="s">
        <v>69</v>
      </c>
      <c r="L265" t="s">
        <v>1424</v>
      </c>
      <c r="M265">
        <v>445.35</v>
      </c>
      <c r="N265">
        <v>66</v>
      </c>
      <c r="O265" t="s">
        <v>1425</v>
      </c>
      <c r="P265" t="s">
        <v>108</v>
      </c>
      <c r="Q265" t="s">
        <v>59</v>
      </c>
      <c r="R265" t="s">
        <v>152</v>
      </c>
      <c r="S265" t="s">
        <v>45</v>
      </c>
      <c r="T265" t="s">
        <v>119</v>
      </c>
      <c r="U265">
        <v>2976</v>
      </c>
      <c r="V265">
        <v>307</v>
      </c>
      <c r="W265">
        <v>17</v>
      </c>
      <c r="X265">
        <v>1728.3</v>
      </c>
      <c r="Y265">
        <v>384.37</v>
      </c>
      <c r="Z265">
        <v>2112.67</v>
      </c>
      <c r="AA265" t="s">
        <v>47</v>
      </c>
      <c r="AB265">
        <v>1</v>
      </c>
      <c r="AC265">
        <v>99.21</v>
      </c>
      <c r="AD265">
        <v>397</v>
      </c>
      <c r="AE265">
        <v>357</v>
      </c>
    </row>
    <row r="266" spans="1:31" x14ac:dyDescent="0.25">
      <c r="A266" t="s">
        <v>1426</v>
      </c>
      <c r="B266" t="s">
        <v>1427</v>
      </c>
      <c r="C266" s="1">
        <v>44428</v>
      </c>
      <c r="D266" s="1">
        <v>45240</v>
      </c>
      <c r="E266" t="s">
        <v>65</v>
      </c>
      <c r="F266" t="s">
        <v>146</v>
      </c>
      <c r="G266" t="s">
        <v>102</v>
      </c>
      <c r="H266" t="s">
        <v>67</v>
      </c>
      <c r="I266" t="s">
        <v>1428</v>
      </c>
      <c r="J266" t="s">
        <v>165</v>
      </c>
      <c r="K266" t="s">
        <v>202</v>
      </c>
      <c r="L266" t="s">
        <v>1429</v>
      </c>
      <c r="M266">
        <v>416.73</v>
      </c>
      <c r="N266">
        <v>55</v>
      </c>
      <c r="O266" t="s">
        <v>1430</v>
      </c>
      <c r="P266" t="s">
        <v>58</v>
      </c>
      <c r="Q266" t="s">
        <v>909</v>
      </c>
      <c r="R266" t="s">
        <v>60</v>
      </c>
      <c r="S266" t="s">
        <v>45</v>
      </c>
      <c r="T266" t="s">
        <v>267</v>
      </c>
      <c r="U266">
        <v>3139</v>
      </c>
      <c r="V266">
        <v>426</v>
      </c>
      <c r="W266">
        <v>26</v>
      </c>
      <c r="X266">
        <v>462.45</v>
      </c>
      <c r="Y266">
        <v>57.85</v>
      </c>
      <c r="Z266">
        <v>520.29999999999995</v>
      </c>
      <c r="AA266" t="s">
        <v>47</v>
      </c>
      <c r="AB266">
        <v>14</v>
      </c>
      <c r="AC266">
        <v>84.13</v>
      </c>
      <c r="AD266">
        <v>141</v>
      </c>
      <c r="AE266">
        <v>99</v>
      </c>
    </row>
    <row r="267" spans="1:31" x14ac:dyDescent="0.25">
      <c r="A267" t="s">
        <v>1431</v>
      </c>
      <c r="B267" t="s">
        <v>1432</v>
      </c>
      <c r="C267" s="1">
        <v>45223</v>
      </c>
      <c r="D267" s="1">
        <v>44791</v>
      </c>
      <c r="E267" t="s">
        <v>65</v>
      </c>
      <c r="F267" t="s">
        <v>91</v>
      </c>
      <c r="G267" t="s">
        <v>35</v>
      </c>
      <c r="H267" t="s">
        <v>79</v>
      </c>
      <c r="I267" t="s">
        <v>1433</v>
      </c>
      <c r="J267" t="s">
        <v>165</v>
      </c>
      <c r="K267" t="s">
        <v>166</v>
      </c>
      <c r="L267" t="s">
        <v>1434</v>
      </c>
      <c r="M267">
        <v>173.54</v>
      </c>
      <c r="N267">
        <v>81</v>
      </c>
      <c r="O267" t="s">
        <v>313</v>
      </c>
      <c r="P267" t="s">
        <v>141</v>
      </c>
      <c r="Q267" t="s">
        <v>517</v>
      </c>
      <c r="R267" t="s">
        <v>44</v>
      </c>
      <c r="S267" t="s">
        <v>73</v>
      </c>
      <c r="T267" t="s">
        <v>239</v>
      </c>
      <c r="U267">
        <v>2072</v>
      </c>
      <c r="V267">
        <v>330</v>
      </c>
      <c r="W267">
        <v>20</v>
      </c>
      <c r="X267">
        <v>1515.71</v>
      </c>
      <c r="Y267">
        <v>50.61</v>
      </c>
      <c r="Z267">
        <v>1566.32</v>
      </c>
      <c r="AA267" t="s">
        <v>62</v>
      </c>
      <c r="AB267">
        <v>0</v>
      </c>
      <c r="AC267">
        <v>76.040000000000006</v>
      </c>
      <c r="AD267">
        <v>375</v>
      </c>
      <c r="AE267">
        <v>346</v>
      </c>
    </row>
    <row r="268" spans="1:31" x14ac:dyDescent="0.25">
      <c r="A268" t="s">
        <v>1435</v>
      </c>
      <c r="B268" t="s">
        <v>1436</v>
      </c>
      <c r="C268" s="1">
        <v>45005</v>
      </c>
      <c r="D268" s="1">
        <v>43991</v>
      </c>
      <c r="E268" t="s">
        <v>65</v>
      </c>
      <c r="F268" t="s">
        <v>91</v>
      </c>
      <c r="G268" t="s">
        <v>35</v>
      </c>
      <c r="H268" t="s">
        <v>114</v>
      </c>
      <c r="I268" t="s">
        <v>1437</v>
      </c>
      <c r="J268" t="s">
        <v>104</v>
      </c>
      <c r="K268" t="s">
        <v>554</v>
      </c>
      <c r="L268" t="s">
        <v>1438</v>
      </c>
      <c r="M268">
        <v>432.25</v>
      </c>
      <c r="N268">
        <v>47</v>
      </c>
      <c r="O268" t="s">
        <v>1439</v>
      </c>
      <c r="P268" t="s">
        <v>141</v>
      </c>
      <c r="Q268" t="s">
        <v>176</v>
      </c>
      <c r="R268" t="s">
        <v>86</v>
      </c>
      <c r="S268" t="s">
        <v>45</v>
      </c>
      <c r="T268" t="s">
        <v>308</v>
      </c>
      <c r="U268">
        <v>1849</v>
      </c>
      <c r="V268">
        <v>493</v>
      </c>
      <c r="W268">
        <v>7</v>
      </c>
      <c r="X268">
        <v>1361.42</v>
      </c>
      <c r="Y268">
        <v>222.7</v>
      </c>
      <c r="Z268">
        <v>1584.12</v>
      </c>
      <c r="AA268" t="s">
        <v>62</v>
      </c>
      <c r="AB268">
        <v>0</v>
      </c>
      <c r="AC268">
        <v>81.34</v>
      </c>
      <c r="AD268">
        <v>454</v>
      </c>
      <c r="AE268">
        <v>445</v>
      </c>
    </row>
    <row r="269" spans="1:31" x14ac:dyDescent="0.25">
      <c r="A269" t="s">
        <v>1440</v>
      </c>
      <c r="B269" t="s">
        <v>1441</v>
      </c>
      <c r="C269" s="1">
        <v>45213</v>
      </c>
      <c r="D269" s="1">
        <v>43897</v>
      </c>
      <c r="E269" t="s">
        <v>65</v>
      </c>
      <c r="F269" t="s">
        <v>91</v>
      </c>
      <c r="G269" t="s">
        <v>102</v>
      </c>
      <c r="H269" t="s">
        <v>221</v>
      </c>
      <c r="I269" t="s">
        <v>1442</v>
      </c>
      <c r="J269" t="s">
        <v>104</v>
      </c>
      <c r="K269" t="s">
        <v>554</v>
      </c>
      <c r="L269" t="s">
        <v>1443</v>
      </c>
      <c r="M269">
        <v>475.08</v>
      </c>
      <c r="N269">
        <v>63</v>
      </c>
      <c r="O269" t="s">
        <v>1444</v>
      </c>
      <c r="P269" t="s">
        <v>58</v>
      </c>
      <c r="Q269" t="s">
        <v>238</v>
      </c>
      <c r="R269" t="s">
        <v>152</v>
      </c>
      <c r="S269" t="s">
        <v>98</v>
      </c>
      <c r="T269" t="s">
        <v>177</v>
      </c>
      <c r="U269">
        <v>4734</v>
      </c>
      <c r="V269">
        <v>342</v>
      </c>
      <c r="W269">
        <v>7</v>
      </c>
      <c r="X269">
        <v>1054.43</v>
      </c>
      <c r="Y269">
        <v>72.52</v>
      </c>
      <c r="Z269">
        <v>1126.95</v>
      </c>
      <c r="AA269" t="s">
        <v>62</v>
      </c>
      <c r="AB269">
        <v>0</v>
      </c>
      <c r="AC269">
        <v>78.94</v>
      </c>
      <c r="AD269">
        <v>132</v>
      </c>
      <c r="AE269">
        <v>98</v>
      </c>
    </row>
    <row r="270" spans="1:31" x14ac:dyDescent="0.25">
      <c r="A270" t="s">
        <v>1445</v>
      </c>
      <c r="B270" t="s">
        <v>1446</v>
      </c>
      <c r="C270" s="1">
        <v>44304</v>
      </c>
      <c r="D270" s="1">
        <v>45480</v>
      </c>
      <c r="E270" t="s">
        <v>65</v>
      </c>
      <c r="F270" t="s">
        <v>34</v>
      </c>
      <c r="G270" t="s">
        <v>343</v>
      </c>
      <c r="H270" t="s">
        <v>53</v>
      </c>
      <c r="I270" t="s">
        <v>1447</v>
      </c>
      <c r="J270" t="s">
        <v>38</v>
      </c>
      <c r="K270" t="s">
        <v>263</v>
      </c>
      <c r="L270" t="s">
        <v>1448</v>
      </c>
      <c r="M270">
        <v>30.12</v>
      </c>
      <c r="N270">
        <v>32</v>
      </c>
      <c r="O270" t="s">
        <v>1449</v>
      </c>
      <c r="P270" t="s">
        <v>141</v>
      </c>
      <c r="Q270" t="s">
        <v>133</v>
      </c>
      <c r="R270" t="s">
        <v>60</v>
      </c>
      <c r="S270" t="s">
        <v>126</v>
      </c>
      <c r="T270" t="s">
        <v>812</v>
      </c>
      <c r="U270">
        <v>1408</v>
      </c>
      <c r="V270">
        <v>115</v>
      </c>
      <c r="W270">
        <v>18</v>
      </c>
      <c r="X270">
        <v>1216.07</v>
      </c>
      <c r="Y270">
        <v>463.02</v>
      </c>
      <c r="Z270">
        <v>1679.09</v>
      </c>
      <c r="AA270" t="s">
        <v>62</v>
      </c>
      <c r="AB270">
        <v>0</v>
      </c>
      <c r="AC270">
        <v>93.76</v>
      </c>
      <c r="AD270">
        <v>489</v>
      </c>
      <c r="AE270">
        <v>452</v>
      </c>
    </row>
    <row r="271" spans="1:31" x14ac:dyDescent="0.25">
      <c r="A271" t="s">
        <v>1450</v>
      </c>
      <c r="B271" t="s">
        <v>1451</v>
      </c>
      <c r="C271" s="1">
        <v>45430</v>
      </c>
      <c r="D271" s="1">
        <v>44259</v>
      </c>
      <c r="E271" t="s">
        <v>65</v>
      </c>
      <c r="F271" t="s">
        <v>51</v>
      </c>
      <c r="G271" t="s">
        <v>113</v>
      </c>
      <c r="H271" t="s">
        <v>147</v>
      </c>
      <c r="I271" t="s">
        <v>1452</v>
      </c>
      <c r="J271" t="s">
        <v>165</v>
      </c>
      <c r="K271" t="s">
        <v>166</v>
      </c>
      <c r="L271" t="s">
        <v>1453</v>
      </c>
      <c r="M271">
        <v>493.07</v>
      </c>
      <c r="N271">
        <v>81</v>
      </c>
      <c r="O271" t="s">
        <v>1454</v>
      </c>
      <c r="P271" t="s">
        <v>42</v>
      </c>
      <c r="Q271" t="s">
        <v>532</v>
      </c>
      <c r="R271" t="s">
        <v>86</v>
      </c>
      <c r="S271" t="s">
        <v>45</v>
      </c>
      <c r="T271" t="s">
        <v>46</v>
      </c>
      <c r="U271">
        <v>4156</v>
      </c>
      <c r="V271">
        <v>420</v>
      </c>
      <c r="W271">
        <v>4</v>
      </c>
      <c r="X271">
        <v>1147.3499999999999</v>
      </c>
      <c r="Y271">
        <v>423.92</v>
      </c>
      <c r="Z271">
        <v>1571.27</v>
      </c>
      <c r="AA271" t="s">
        <v>62</v>
      </c>
      <c r="AB271">
        <v>0</v>
      </c>
      <c r="AC271">
        <v>74.25</v>
      </c>
      <c r="AD271">
        <v>93</v>
      </c>
      <c r="AE271">
        <v>43</v>
      </c>
    </row>
    <row r="272" spans="1:31" x14ac:dyDescent="0.25">
      <c r="A272" t="s">
        <v>1455</v>
      </c>
      <c r="B272" t="s">
        <v>1456</v>
      </c>
      <c r="C272" s="1">
        <v>44061</v>
      </c>
      <c r="D272" s="1">
        <v>43849</v>
      </c>
      <c r="E272" t="s">
        <v>33</v>
      </c>
      <c r="F272" t="s">
        <v>77</v>
      </c>
      <c r="G272" t="s">
        <v>35</v>
      </c>
      <c r="H272" t="s">
        <v>53</v>
      </c>
      <c r="I272" t="s">
        <v>1457</v>
      </c>
      <c r="J272" t="s">
        <v>104</v>
      </c>
      <c r="K272" t="s">
        <v>554</v>
      </c>
      <c r="L272" t="s">
        <v>1458</v>
      </c>
      <c r="M272">
        <v>435.59</v>
      </c>
      <c r="N272">
        <v>52</v>
      </c>
      <c r="O272" t="s">
        <v>1459</v>
      </c>
      <c r="P272" t="s">
        <v>108</v>
      </c>
      <c r="Q272" t="s">
        <v>43</v>
      </c>
      <c r="R272" t="s">
        <v>152</v>
      </c>
      <c r="S272" t="s">
        <v>98</v>
      </c>
      <c r="T272" t="s">
        <v>110</v>
      </c>
      <c r="U272">
        <v>2643</v>
      </c>
      <c r="V272">
        <v>416</v>
      </c>
      <c r="W272">
        <v>19</v>
      </c>
      <c r="X272">
        <v>1403.83</v>
      </c>
      <c r="Y272">
        <v>261.3</v>
      </c>
      <c r="Z272">
        <v>1665.13</v>
      </c>
      <c r="AA272" t="s">
        <v>62</v>
      </c>
      <c r="AB272">
        <v>0</v>
      </c>
      <c r="AC272">
        <v>73.540000000000006</v>
      </c>
      <c r="AD272">
        <v>59</v>
      </c>
      <c r="AE272">
        <v>96</v>
      </c>
    </row>
    <row r="273" spans="1:31" x14ac:dyDescent="0.25">
      <c r="A273" t="s">
        <v>1460</v>
      </c>
      <c r="B273" t="s">
        <v>1461</v>
      </c>
      <c r="C273" s="1">
        <v>45303</v>
      </c>
      <c r="D273" s="1">
        <v>45473</v>
      </c>
      <c r="E273" t="s">
        <v>65</v>
      </c>
      <c r="F273" t="s">
        <v>146</v>
      </c>
      <c r="G273" t="s">
        <v>52</v>
      </c>
      <c r="H273" t="s">
        <v>36</v>
      </c>
      <c r="I273" t="s">
        <v>1462</v>
      </c>
      <c r="J273" t="s">
        <v>104</v>
      </c>
      <c r="K273" t="s">
        <v>229</v>
      </c>
      <c r="L273" t="s">
        <v>1463</v>
      </c>
      <c r="M273">
        <v>225.36</v>
      </c>
      <c r="N273">
        <v>25</v>
      </c>
      <c r="O273" t="s">
        <v>1464</v>
      </c>
      <c r="P273" t="s">
        <v>108</v>
      </c>
      <c r="Q273" t="s">
        <v>544</v>
      </c>
      <c r="R273" t="s">
        <v>44</v>
      </c>
      <c r="S273" t="s">
        <v>126</v>
      </c>
      <c r="T273" t="s">
        <v>916</v>
      </c>
      <c r="U273">
        <v>4502</v>
      </c>
      <c r="V273">
        <v>461</v>
      </c>
      <c r="W273">
        <v>6</v>
      </c>
      <c r="X273">
        <v>1424.26</v>
      </c>
      <c r="Y273">
        <v>460.25</v>
      </c>
      <c r="Z273">
        <v>1884.51</v>
      </c>
      <c r="AA273" t="s">
        <v>62</v>
      </c>
      <c r="AB273">
        <v>0</v>
      </c>
      <c r="AC273">
        <v>70.52</v>
      </c>
      <c r="AD273">
        <v>331</v>
      </c>
      <c r="AE273">
        <v>292</v>
      </c>
    </row>
    <row r="274" spans="1:31" x14ac:dyDescent="0.25">
      <c r="A274" t="s">
        <v>1465</v>
      </c>
      <c r="B274" t="s">
        <v>1047</v>
      </c>
      <c r="C274" s="1">
        <v>45595</v>
      </c>
      <c r="D274" s="1">
        <v>44650</v>
      </c>
      <c r="E274" t="s">
        <v>50</v>
      </c>
      <c r="F274" t="s">
        <v>77</v>
      </c>
      <c r="G274" t="s">
        <v>52</v>
      </c>
      <c r="H274" t="s">
        <v>114</v>
      </c>
      <c r="I274" t="s">
        <v>1466</v>
      </c>
      <c r="J274" t="s">
        <v>104</v>
      </c>
      <c r="K274" t="s">
        <v>105</v>
      </c>
      <c r="L274" t="s">
        <v>1467</v>
      </c>
      <c r="M274">
        <v>189.78</v>
      </c>
      <c r="N274">
        <v>7</v>
      </c>
      <c r="O274" t="s">
        <v>1439</v>
      </c>
      <c r="P274" t="s">
        <v>58</v>
      </c>
      <c r="Q274" t="s">
        <v>205</v>
      </c>
      <c r="R274" t="s">
        <v>152</v>
      </c>
      <c r="S274" t="s">
        <v>126</v>
      </c>
      <c r="T274" t="s">
        <v>371</v>
      </c>
      <c r="U274">
        <v>1955</v>
      </c>
      <c r="V274">
        <v>89</v>
      </c>
      <c r="W274">
        <v>20</v>
      </c>
      <c r="X274">
        <v>436.09</v>
      </c>
      <c r="Y274">
        <v>158.94999999999999</v>
      </c>
      <c r="Z274">
        <v>595.04</v>
      </c>
      <c r="AA274" t="s">
        <v>62</v>
      </c>
      <c r="AB274">
        <v>0</v>
      </c>
      <c r="AC274">
        <v>92.32</v>
      </c>
      <c r="AD274">
        <v>112</v>
      </c>
      <c r="AE274">
        <v>151</v>
      </c>
    </row>
    <row r="275" spans="1:31" x14ac:dyDescent="0.25">
      <c r="A275" t="s">
        <v>1468</v>
      </c>
      <c r="B275" t="s">
        <v>1469</v>
      </c>
      <c r="C275" s="1">
        <v>44525</v>
      </c>
      <c r="D275" s="1">
        <v>44537</v>
      </c>
      <c r="E275" t="s">
        <v>50</v>
      </c>
      <c r="F275" t="s">
        <v>51</v>
      </c>
      <c r="G275" t="s">
        <v>113</v>
      </c>
      <c r="H275" t="s">
        <v>147</v>
      </c>
      <c r="I275" t="s">
        <v>1470</v>
      </c>
      <c r="J275" t="s">
        <v>38</v>
      </c>
      <c r="K275" t="s">
        <v>94</v>
      </c>
      <c r="L275" t="s">
        <v>1471</v>
      </c>
      <c r="M275">
        <v>243.41</v>
      </c>
      <c r="N275">
        <v>29</v>
      </c>
      <c r="O275" t="s">
        <v>1472</v>
      </c>
      <c r="P275" t="s">
        <v>108</v>
      </c>
      <c r="Q275" t="s">
        <v>205</v>
      </c>
      <c r="R275" t="s">
        <v>44</v>
      </c>
      <c r="S275" t="s">
        <v>45</v>
      </c>
      <c r="T275" t="s">
        <v>61</v>
      </c>
      <c r="U275">
        <v>3216</v>
      </c>
      <c r="V275">
        <v>474</v>
      </c>
      <c r="W275">
        <v>15</v>
      </c>
      <c r="X275">
        <v>375.05</v>
      </c>
      <c r="Y275">
        <v>260.75</v>
      </c>
      <c r="Z275">
        <v>635.79999999999995</v>
      </c>
      <c r="AA275" t="s">
        <v>62</v>
      </c>
      <c r="AB275">
        <v>0</v>
      </c>
      <c r="AC275">
        <v>74.52</v>
      </c>
      <c r="AD275">
        <v>73</v>
      </c>
      <c r="AE275">
        <v>35</v>
      </c>
    </row>
    <row r="276" spans="1:31" x14ac:dyDescent="0.25">
      <c r="A276" t="s">
        <v>1473</v>
      </c>
      <c r="B276" t="s">
        <v>1474</v>
      </c>
      <c r="C276" s="1">
        <v>44830</v>
      </c>
      <c r="D276" s="1">
        <v>44221</v>
      </c>
      <c r="E276" t="s">
        <v>65</v>
      </c>
      <c r="F276" t="s">
        <v>51</v>
      </c>
      <c r="G276" t="s">
        <v>35</v>
      </c>
      <c r="H276" t="s">
        <v>163</v>
      </c>
      <c r="I276" t="s">
        <v>1475</v>
      </c>
      <c r="J276" t="s">
        <v>38</v>
      </c>
      <c r="K276" t="s">
        <v>94</v>
      </c>
      <c r="L276" t="s">
        <v>1476</v>
      </c>
      <c r="M276">
        <v>480.17</v>
      </c>
      <c r="N276">
        <v>10</v>
      </c>
      <c r="O276" t="s">
        <v>1477</v>
      </c>
      <c r="P276" t="s">
        <v>58</v>
      </c>
      <c r="Q276" t="s">
        <v>151</v>
      </c>
      <c r="R276" t="s">
        <v>86</v>
      </c>
      <c r="S276" t="s">
        <v>87</v>
      </c>
      <c r="T276" t="s">
        <v>321</v>
      </c>
      <c r="U276">
        <v>2878</v>
      </c>
      <c r="V276">
        <v>214</v>
      </c>
      <c r="W276">
        <v>13</v>
      </c>
      <c r="X276">
        <v>1121.93</v>
      </c>
      <c r="Y276">
        <v>499.11</v>
      </c>
      <c r="Z276">
        <v>1621.04</v>
      </c>
      <c r="AA276" t="s">
        <v>62</v>
      </c>
      <c r="AB276">
        <v>0</v>
      </c>
      <c r="AC276">
        <v>71.38</v>
      </c>
      <c r="AD276">
        <v>321</v>
      </c>
      <c r="AE276">
        <v>362</v>
      </c>
    </row>
    <row r="277" spans="1:31" x14ac:dyDescent="0.25">
      <c r="A277" t="s">
        <v>1478</v>
      </c>
      <c r="B277" t="s">
        <v>1479</v>
      </c>
      <c r="C277" s="1">
        <v>44506</v>
      </c>
      <c r="D277" s="1">
        <v>45605</v>
      </c>
      <c r="E277" t="s">
        <v>50</v>
      </c>
      <c r="F277" t="s">
        <v>34</v>
      </c>
      <c r="G277" t="s">
        <v>113</v>
      </c>
      <c r="H277" t="s">
        <v>79</v>
      </c>
      <c r="I277" t="s">
        <v>1480</v>
      </c>
      <c r="J277" t="s">
        <v>38</v>
      </c>
      <c r="K277" t="s">
        <v>263</v>
      </c>
      <c r="L277" t="s">
        <v>1481</v>
      </c>
      <c r="M277">
        <v>405.04</v>
      </c>
      <c r="N277">
        <v>93</v>
      </c>
      <c r="O277" t="s">
        <v>1412</v>
      </c>
      <c r="P277" t="s">
        <v>58</v>
      </c>
      <c r="Q277" t="s">
        <v>59</v>
      </c>
      <c r="R277" t="s">
        <v>60</v>
      </c>
      <c r="S277" t="s">
        <v>126</v>
      </c>
      <c r="T277" t="s">
        <v>1294</v>
      </c>
      <c r="U277">
        <v>4741</v>
      </c>
      <c r="V277">
        <v>231</v>
      </c>
      <c r="W277">
        <v>10</v>
      </c>
      <c r="X277">
        <v>1939.53</v>
      </c>
      <c r="Y277">
        <v>42.61</v>
      </c>
      <c r="Z277">
        <v>1982.14</v>
      </c>
      <c r="AA277" t="s">
        <v>62</v>
      </c>
      <c r="AB277">
        <v>0</v>
      </c>
      <c r="AC277">
        <v>75.05</v>
      </c>
      <c r="AD277">
        <v>449</v>
      </c>
      <c r="AE277">
        <v>483</v>
      </c>
    </row>
    <row r="278" spans="1:31" x14ac:dyDescent="0.25">
      <c r="A278" t="s">
        <v>1482</v>
      </c>
      <c r="B278" t="s">
        <v>1483</v>
      </c>
      <c r="C278" s="1">
        <v>45065</v>
      </c>
      <c r="D278" s="1">
        <v>44667</v>
      </c>
      <c r="E278" t="s">
        <v>33</v>
      </c>
      <c r="F278" t="s">
        <v>51</v>
      </c>
      <c r="G278" t="s">
        <v>78</v>
      </c>
      <c r="H278" t="s">
        <v>53</v>
      </c>
      <c r="I278" t="s">
        <v>1484</v>
      </c>
      <c r="J278" t="s">
        <v>38</v>
      </c>
      <c r="K278" t="s">
        <v>69</v>
      </c>
      <c r="L278" t="s">
        <v>1485</v>
      </c>
      <c r="M278">
        <v>325.02</v>
      </c>
      <c r="N278">
        <v>30</v>
      </c>
      <c r="O278" t="s">
        <v>1486</v>
      </c>
      <c r="P278" t="s">
        <v>42</v>
      </c>
      <c r="Q278" t="s">
        <v>377</v>
      </c>
      <c r="R278" t="s">
        <v>86</v>
      </c>
      <c r="S278" t="s">
        <v>126</v>
      </c>
      <c r="T278" t="s">
        <v>638</v>
      </c>
      <c r="U278">
        <v>2800</v>
      </c>
      <c r="V278">
        <v>248</v>
      </c>
      <c r="W278">
        <v>12</v>
      </c>
      <c r="X278">
        <v>527.46</v>
      </c>
      <c r="Y278">
        <v>339.63</v>
      </c>
      <c r="Z278">
        <v>867.09</v>
      </c>
      <c r="AA278" t="s">
        <v>62</v>
      </c>
      <c r="AB278">
        <v>0</v>
      </c>
      <c r="AC278">
        <v>73.89</v>
      </c>
      <c r="AD278">
        <v>418</v>
      </c>
      <c r="AE278">
        <v>423</v>
      </c>
    </row>
    <row r="279" spans="1:31" x14ac:dyDescent="0.25">
      <c r="A279" t="s">
        <v>1487</v>
      </c>
      <c r="B279" t="s">
        <v>1488</v>
      </c>
      <c r="C279" s="1">
        <v>45491</v>
      </c>
      <c r="D279" s="1">
        <v>45409</v>
      </c>
      <c r="E279" t="s">
        <v>50</v>
      </c>
      <c r="F279" t="s">
        <v>51</v>
      </c>
      <c r="G279" t="s">
        <v>52</v>
      </c>
      <c r="H279" t="s">
        <v>79</v>
      </c>
      <c r="I279" t="s">
        <v>1489</v>
      </c>
      <c r="J279" t="s">
        <v>38</v>
      </c>
      <c r="K279" t="s">
        <v>81</v>
      </c>
      <c r="L279" t="s">
        <v>1490</v>
      </c>
      <c r="M279">
        <v>211.95</v>
      </c>
      <c r="N279">
        <v>51</v>
      </c>
      <c r="O279" t="s">
        <v>1491</v>
      </c>
      <c r="P279" t="s">
        <v>58</v>
      </c>
      <c r="Q279" t="s">
        <v>909</v>
      </c>
      <c r="R279" t="s">
        <v>60</v>
      </c>
      <c r="S279" t="s">
        <v>73</v>
      </c>
      <c r="T279" t="s">
        <v>198</v>
      </c>
      <c r="U279">
        <v>4698</v>
      </c>
      <c r="V279">
        <v>377</v>
      </c>
      <c r="W279">
        <v>17</v>
      </c>
      <c r="X279">
        <v>383.6</v>
      </c>
      <c r="Y279">
        <v>307.68</v>
      </c>
      <c r="Z279">
        <v>691.28</v>
      </c>
      <c r="AA279" t="s">
        <v>62</v>
      </c>
      <c r="AB279">
        <v>0</v>
      </c>
      <c r="AC279">
        <v>82.64</v>
      </c>
      <c r="AD279">
        <v>464</v>
      </c>
      <c r="AE279">
        <v>419</v>
      </c>
    </row>
    <row r="280" spans="1:31" x14ac:dyDescent="0.25">
      <c r="A280" t="s">
        <v>1492</v>
      </c>
      <c r="B280" t="s">
        <v>1493</v>
      </c>
      <c r="C280" s="1">
        <v>45555</v>
      </c>
      <c r="D280" s="1">
        <v>44720</v>
      </c>
      <c r="E280" t="s">
        <v>65</v>
      </c>
      <c r="F280" t="s">
        <v>51</v>
      </c>
      <c r="G280" t="s">
        <v>113</v>
      </c>
      <c r="H280" t="s">
        <v>53</v>
      </c>
      <c r="I280" t="s">
        <v>1494</v>
      </c>
      <c r="J280" t="s">
        <v>38</v>
      </c>
      <c r="K280" t="s">
        <v>81</v>
      </c>
      <c r="L280" t="s">
        <v>1495</v>
      </c>
      <c r="M280">
        <v>211.08</v>
      </c>
      <c r="N280">
        <v>7</v>
      </c>
      <c r="O280" t="s">
        <v>1496</v>
      </c>
      <c r="P280" t="s">
        <v>108</v>
      </c>
      <c r="Q280" t="s">
        <v>389</v>
      </c>
      <c r="R280" t="s">
        <v>86</v>
      </c>
      <c r="S280" t="s">
        <v>87</v>
      </c>
      <c r="T280" t="s">
        <v>259</v>
      </c>
      <c r="U280">
        <v>4743</v>
      </c>
      <c r="V280">
        <v>53</v>
      </c>
      <c r="W280">
        <v>23</v>
      </c>
      <c r="X280">
        <v>1621.75</v>
      </c>
      <c r="Y280">
        <v>199.73</v>
      </c>
      <c r="Z280">
        <v>1821.48</v>
      </c>
      <c r="AA280" t="s">
        <v>62</v>
      </c>
      <c r="AB280">
        <v>0</v>
      </c>
      <c r="AC280">
        <v>91.3</v>
      </c>
      <c r="AD280">
        <v>123</v>
      </c>
      <c r="AE280">
        <v>90</v>
      </c>
    </row>
    <row r="281" spans="1:31" x14ac:dyDescent="0.25">
      <c r="A281" t="s">
        <v>1497</v>
      </c>
      <c r="B281" t="s">
        <v>1498</v>
      </c>
      <c r="C281" s="1">
        <v>44521</v>
      </c>
      <c r="D281" s="1">
        <v>45004</v>
      </c>
      <c r="E281" t="s">
        <v>65</v>
      </c>
      <c r="F281" t="s">
        <v>51</v>
      </c>
      <c r="G281" t="s">
        <v>343</v>
      </c>
      <c r="H281" t="s">
        <v>114</v>
      </c>
      <c r="I281" t="s">
        <v>1499</v>
      </c>
      <c r="J281" t="s">
        <v>165</v>
      </c>
      <c r="K281" t="s">
        <v>166</v>
      </c>
      <c r="L281" t="s">
        <v>1500</v>
      </c>
      <c r="M281">
        <v>450.76</v>
      </c>
      <c r="N281">
        <v>2</v>
      </c>
      <c r="O281" t="s">
        <v>1501</v>
      </c>
      <c r="P281" t="s">
        <v>141</v>
      </c>
      <c r="Q281" t="s">
        <v>232</v>
      </c>
      <c r="R281" t="s">
        <v>60</v>
      </c>
      <c r="S281" t="s">
        <v>87</v>
      </c>
      <c r="T281" t="s">
        <v>143</v>
      </c>
      <c r="U281">
        <v>747</v>
      </c>
      <c r="V281">
        <v>259</v>
      </c>
      <c r="W281">
        <v>20</v>
      </c>
      <c r="X281">
        <v>489.52</v>
      </c>
      <c r="Y281">
        <v>173.33</v>
      </c>
      <c r="Z281">
        <v>662.85</v>
      </c>
      <c r="AA281" t="s">
        <v>62</v>
      </c>
      <c r="AB281">
        <v>0</v>
      </c>
      <c r="AC281">
        <v>92.26</v>
      </c>
      <c r="AD281">
        <v>301</v>
      </c>
      <c r="AE281">
        <v>254</v>
      </c>
    </row>
    <row r="282" spans="1:31" x14ac:dyDescent="0.25">
      <c r="A282" t="s">
        <v>1502</v>
      </c>
      <c r="B282" t="s">
        <v>1503</v>
      </c>
      <c r="C282" s="1">
        <v>44384</v>
      </c>
      <c r="D282" s="1">
        <v>44422</v>
      </c>
      <c r="E282" t="s">
        <v>65</v>
      </c>
      <c r="F282" t="s">
        <v>146</v>
      </c>
      <c r="G282" t="s">
        <v>52</v>
      </c>
      <c r="H282" t="s">
        <v>114</v>
      </c>
      <c r="I282" t="s">
        <v>1504</v>
      </c>
      <c r="J282" t="s">
        <v>104</v>
      </c>
      <c r="K282" t="s">
        <v>105</v>
      </c>
      <c r="L282" t="s">
        <v>1505</v>
      </c>
      <c r="M282">
        <v>108.24</v>
      </c>
      <c r="N282">
        <v>33</v>
      </c>
      <c r="O282" t="s">
        <v>889</v>
      </c>
      <c r="P282" t="s">
        <v>58</v>
      </c>
      <c r="Q282" t="s">
        <v>133</v>
      </c>
      <c r="R282" t="s">
        <v>44</v>
      </c>
      <c r="S282" t="s">
        <v>73</v>
      </c>
      <c r="T282" t="s">
        <v>185</v>
      </c>
      <c r="U282">
        <v>307</v>
      </c>
      <c r="V282">
        <v>88</v>
      </c>
      <c r="W282">
        <v>5</v>
      </c>
      <c r="X282">
        <v>652.41</v>
      </c>
      <c r="Y282">
        <v>28.53</v>
      </c>
      <c r="Z282">
        <v>680.93999999999994</v>
      </c>
      <c r="AA282" t="s">
        <v>62</v>
      </c>
      <c r="AB282">
        <v>0</v>
      </c>
      <c r="AC282">
        <v>98.29</v>
      </c>
      <c r="AD282">
        <v>151</v>
      </c>
      <c r="AE282">
        <v>118</v>
      </c>
    </row>
    <row r="283" spans="1:31" x14ac:dyDescent="0.25">
      <c r="A283" t="s">
        <v>1506</v>
      </c>
      <c r="B283" t="s">
        <v>1507</v>
      </c>
      <c r="C283" s="1">
        <v>44907</v>
      </c>
      <c r="D283" s="1">
        <v>44743</v>
      </c>
      <c r="E283" t="s">
        <v>33</v>
      </c>
      <c r="F283" t="s">
        <v>34</v>
      </c>
      <c r="G283" t="s">
        <v>102</v>
      </c>
      <c r="H283" t="s">
        <v>79</v>
      </c>
      <c r="I283" t="s">
        <v>1508</v>
      </c>
      <c r="J283" t="s">
        <v>38</v>
      </c>
      <c r="K283" t="s">
        <v>338</v>
      </c>
      <c r="L283" t="s">
        <v>1509</v>
      </c>
      <c r="M283">
        <v>264.10000000000002</v>
      </c>
      <c r="N283">
        <v>39</v>
      </c>
      <c r="O283" t="s">
        <v>1510</v>
      </c>
      <c r="P283" t="s">
        <v>42</v>
      </c>
      <c r="Q283" t="s">
        <v>109</v>
      </c>
      <c r="R283" t="s">
        <v>60</v>
      </c>
      <c r="S283" t="s">
        <v>87</v>
      </c>
      <c r="T283" t="s">
        <v>638</v>
      </c>
      <c r="U283">
        <v>1838</v>
      </c>
      <c r="V283">
        <v>208</v>
      </c>
      <c r="W283">
        <v>25</v>
      </c>
      <c r="X283">
        <v>375.52</v>
      </c>
      <c r="Y283">
        <v>382.97</v>
      </c>
      <c r="Z283">
        <v>758.49</v>
      </c>
      <c r="AA283" t="s">
        <v>62</v>
      </c>
      <c r="AB283">
        <v>0</v>
      </c>
      <c r="AC283">
        <v>82.74</v>
      </c>
      <c r="AD283">
        <v>355</v>
      </c>
      <c r="AE283">
        <v>312</v>
      </c>
    </row>
    <row r="284" spans="1:31" x14ac:dyDescent="0.25">
      <c r="A284" t="s">
        <v>1511</v>
      </c>
      <c r="B284" t="s">
        <v>1512</v>
      </c>
      <c r="C284" s="1">
        <v>44232</v>
      </c>
      <c r="D284" s="1">
        <v>45064</v>
      </c>
      <c r="E284" t="s">
        <v>50</v>
      </c>
      <c r="F284" t="s">
        <v>51</v>
      </c>
      <c r="G284" t="s">
        <v>52</v>
      </c>
      <c r="H284" t="s">
        <v>53</v>
      </c>
      <c r="I284" t="s">
        <v>1307</v>
      </c>
      <c r="J284" t="s">
        <v>38</v>
      </c>
      <c r="K284" t="s">
        <v>94</v>
      </c>
      <c r="L284" t="s">
        <v>1308</v>
      </c>
      <c r="M284">
        <v>355.03</v>
      </c>
      <c r="N284">
        <v>53</v>
      </c>
      <c r="O284" t="s">
        <v>1513</v>
      </c>
      <c r="P284" t="s">
        <v>58</v>
      </c>
      <c r="Q284" t="s">
        <v>370</v>
      </c>
      <c r="R284" t="s">
        <v>86</v>
      </c>
      <c r="S284" t="s">
        <v>126</v>
      </c>
      <c r="T284" t="s">
        <v>246</v>
      </c>
      <c r="U284">
        <v>1985</v>
      </c>
      <c r="V284">
        <v>143</v>
      </c>
      <c r="W284">
        <v>27</v>
      </c>
      <c r="X284">
        <v>1764.97</v>
      </c>
      <c r="Y284">
        <v>295.01</v>
      </c>
      <c r="Z284">
        <v>2059.98</v>
      </c>
      <c r="AA284" t="s">
        <v>62</v>
      </c>
      <c r="AB284">
        <v>0</v>
      </c>
      <c r="AC284">
        <v>89.53</v>
      </c>
      <c r="AD284">
        <v>277</v>
      </c>
      <c r="AE284">
        <v>294</v>
      </c>
    </row>
    <row r="285" spans="1:31" x14ac:dyDescent="0.25">
      <c r="A285" t="s">
        <v>1514</v>
      </c>
      <c r="B285" t="s">
        <v>1515</v>
      </c>
      <c r="C285" s="1">
        <v>45209</v>
      </c>
      <c r="D285" s="1">
        <v>44935</v>
      </c>
      <c r="E285" t="s">
        <v>50</v>
      </c>
      <c r="F285" t="s">
        <v>146</v>
      </c>
      <c r="G285" t="s">
        <v>66</v>
      </c>
      <c r="H285" t="s">
        <v>79</v>
      </c>
      <c r="I285" t="s">
        <v>1516</v>
      </c>
      <c r="J285" t="s">
        <v>38</v>
      </c>
      <c r="K285" t="s">
        <v>55</v>
      </c>
      <c r="L285" t="s">
        <v>1517</v>
      </c>
      <c r="M285">
        <v>441.94</v>
      </c>
      <c r="N285">
        <v>76</v>
      </c>
      <c r="O285" t="s">
        <v>1518</v>
      </c>
      <c r="P285" t="s">
        <v>42</v>
      </c>
      <c r="Q285" t="s">
        <v>708</v>
      </c>
      <c r="R285" t="s">
        <v>44</v>
      </c>
      <c r="S285" t="s">
        <v>98</v>
      </c>
      <c r="T285" t="s">
        <v>177</v>
      </c>
      <c r="U285">
        <v>4650</v>
      </c>
      <c r="V285">
        <v>366</v>
      </c>
      <c r="W285">
        <v>18</v>
      </c>
      <c r="X285">
        <v>352.92</v>
      </c>
      <c r="Y285">
        <v>377.69</v>
      </c>
      <c r="Z285">
        <v>730.61</v>
      </c>
      <c r="AA285" t="s">
        <v>62</v>
      </c>
      <c r="AB285">
        <v>0</v>
      </c>
      <c r="AC285">
        <v>73.06</v>
      </c>
      <c r="AD285">
        <v>168</v>
      </c>
      <c r="AE285">
        <v>166</v>
      </c>
    </row>
    <row r="286" spans="1:31" x14ac:dyDescent="0.25">
      <c r="A286" t="s">
        <v>1519</v>
      </c>
      <c r="B286" t="s">
        <v>1520</v>
      </c>
      <c r="C286" s="1">
        <v>44225</v>
      </c>
      <c r="D286" s="1">
        <v>45495</v>
      </c>
      <c r="E286" t="s">
        <v>65</v>
      </c>
      <c r="F286" t="s">
        <v>34</v>
      </c>
      <c r="G286" t="s">
        <v>113</v>
      </c>
      <c r="H286" t="s">
        <v>114</v>
      </c>
      <c r="I286" t="s">
        <v>1521</v>
      </c>
      <c r="J286" t="s">
        <v>38</v>
      </c>
      <c r="K286" t="s">
        <v>55</v>
      </c>
      <c r="L286" t="s">
        <v>1522</v>
      </c>
      <c r="M286">
        <v>277.82</v>
      </c>
      <c r="N286">
        <v>10</v>
      </c>
      <c r="O286" t="s">
        <v>1523</v>
      </c>
      <c r="P286" t="s">
        <v>141</v>
      </c>
      <c r="Q286" t="s">
        <v>909</v>
      </c>
      <c r="R286" t="s">
        <v>44</v>
      </c>
      <c r="S286" t="s">
        <v>45</v>
      </c>
      <c r="T286" t="s">
        <v>314</v>
      </c>
      <c r="U286">
        <v>754</v>
      </c>
      <c r="V286">
        <v>472</v>
      </c>
      <c r="W286">
        <v>5</v>
      </c>
      <c r="X286">
        <v>171.92</v>
      </c>
      <c r="Y286">
        <v>214.1</v>
      </c>
      <c r="Z286">
        <v>386.02</v>
      </c>
      <c r="AA286" t="s">
        <v>62</v>
      </c>
      <c r="AB286">
        <v>0</v>
      </c>
      <c r="AC286">
        <v>92</v>
      </c>
      <c r="AD286">
        <v>70</v>
      </c>
      <c r="AE286">
        <v>67</v>
      </c>
    </row>
    <row r="287" spans="1:31" x14ac:dyDescent="0.25">
      <c r="A287" t="s">
        <v>1524</v>
      </c>
      <c r="B287" t="s">
        <v>1525</v>
      </c>
      <c r="C287" s="1">
        <v>44316</v>
      </c>
      <c r="D287" s="1">
        <v>43981</v>
      </c>
      <c r="E287" t="s">
        <v>50</v>
      </c>
      <c r="F287" t="s">
        <v>91</v>
      </c>
      <c r="G287" t="s">
        <v>78</v>
      </c>
      <c r="H287" t="s">
        <v>114</v>
      </c>
      <c r="I287" t="s">
        <v>1526</v>
      </c>
      <c r="J287" t="s">
        <v>38</v>
      </c>
      <c r="K287" t="s">
        <v>55</v>
      </c>
      <c r="L287" t="s">
        <v>1527</v>
      </c>
      <c r="M287">
        <v>204.53</v>
      </c>
      <c r="N287">
        <v>95</v>
      </c>
      <c r="O287" t="s">
        <v>1528</v>
      </c>
      <c r="P287" t="s">
        <v>141</v>
      </c>
      <c r="Q287" t="s">
        <v>232</v>
      </c>
      <c r="R287" t="s">
        <v>152</v>
      </c>
      <c r="S287" t="s">
        <v>87</v>
      </c>
      <c r="T287" t="s">
        <v>545</v>
      </c>
      <c r="U287">
        <v>4586</v>
      </c>
      <c r="V287">
        <v>84</v>
      </c>
      <c r="W287">
        <v>28</v>
      </c>
      <c r="X287">
        <v>506.68</v>
      </c>
      <c r="Y287">
        <v>455.44</v>
      </c>
      <c r="Z287">
        <v>962.12</v>
      </c>
      <c r="AA287" t="s">
        <v>62</v>
      </c>
      <c r="AB287">
        <v>0</v>
      </c>
      <c r="AC287">
        <v>84.7</v>
      </c>
      <c r="AD287">
        <v>163</v>
      </c>
      <c r="AE287">
        <v>169</v>
      </c>
    </row>
    <row r="288" spans="1:31" x14ac:dyDescent="0.25">
      <c r="A288" t="s">
        <v>1529</v>
      </c>
      <c r="B288" t="s">
        <v>1530</v>
      </c>
      <c r="C288" s="1">
        <v>44850</v>
      </c>
      <c r="D288" s="1">
        <v>43860</v>
      </c>
      <c r="E288" t="s">
        <v>65</v>
      </c>
      <c r="F288" t="s">
        <v>77</v>
      </c>
      <c r="G288" t="s">
        <v>102</v>
      </c>
      <c r="H288" t="s">
        <v>221</v>
      </c>
      <c r="I288" t="s">
        <v>1531</v>
      </c>
      <c r="J288" t="s">
        <v>38</v>
      </c>
      <c r="K288" t="s">
        <v>55</v>
      </c>
      <c r="L288" t="s">
        <v>1532</v>
      </c>
      <c r="M288">
        <v>5.26</v>
      </c>
      <c r="N288">
        <v>37</v>
      </c>
      <c r="O288" t="s">
        <v>1533</v>
      </c>
      <c r="P288" t="s">
        <v>141</v>
      </c>
      <c r="Q288" t="s">
        <v>708</v>
      </c>
      <c r="R288" t="s">
        <v>60</v>
      </c>
      <c r="S288" t="s">
        <v>45</v>
      </c>
      <c r="T288" t="s">
        <v>259</v>
      </c>
      <c r="U288">
        <v>4449</v>
      </c>
      <c r="V288">
        <v>78</v>
      </c>
      <c r="W288">
        <v>11</v>
      </c>
      <c r="X288">
        <v>1410.36</v>
      </c>
      <c r="Y288">
        <v>319.13</v>
      </c>
      <c r="Z288">
        <v>1729.49</v>
      </c>
      <c r="AA288" t="s">
        <v>62</v>
      </c>
      <c r="AB288">
        <v>0</v>
      </c>
      <c r="AC288">
        <v>91.6</v>
      </c>
      <c r="AD288">
        <v>331</v>
      </c>
      <c r="AE288">
        <v>298</v>
      </c>
    </row>
    <row r="289" spans="1:31" x14ac:dyDescent="0.25">
      <c r="A289" t="s">
        <v>1534</v>
      </c>
      <c r="B289" t="s">
        <v>1535</v>
      </c>
      <c r="C289" s="1">
        <v>43895</v>
      </c>
      <c r="D289" s="1">
        <v>44339</v>
      </c>
      <c r="E289" t="s">
        <v>65</v>
      </c>
      <c r="F289" t="s">
        <v>34</v>
      </c>
      <c r="G289" t="s">
        <v>102</v>
      </c>
      <c r="H289" t="s">
        <v>163</v>
      </c>
      <c r="I289" t="s">
        <v>1536</v>
      </c>
      <c r="J289" t="s">
        <v>38</v>
      </c>
      <c r="K289" t="s">
        <v>55</v>
      </c>
      <c r="L289" t="s">
        <v>1537</v>
      </c>
      <c r="M289">
        <v>90.94</v>
      </c>
      <c r="N289">
        <v>66</v>
      </c>
      <c r="O289" t="s">
        <v>1538</v>
      </c>
      <c r="P289" t="s">
        <v>141</v>
      </c>
      <c r="Q289" t="s">
        <v>464</v>
      </c>
      <c r="R289" t="s">
        <v>60</v>
      </c>
      <c r="S289" t="s">
        <v>126</v>
      </c>
      <c r="T289" t="s">
        <v>419</v>
      </c>
      <c r="U289">
        <v>2293</v>
      </c>
      <c r="V289">
        <v>254</v>
      </c>
      <c r="W289">
        <v>16</v>
      </c>
      <c r="X289">
        <v>1546.22</v>
      </c>
      <c r="Y289">
        <v>104.3</v>
      </c>
      <c r="Z289">
        <v>1650.52</v>
      </c>
      <c r="AA289" t="s">
        <v>62</v>
      </c>
      <c r="AB289">
        <v>0</v>
      </c>
      <c r="AC289">
        <v>77.78</v>
      </c>
      <c r="AD289">
        <v>333</v>
      </c>
      <c r="AE289">
        <v>335</v>
      </c>
    </row>
    <row r="290" spans="1:31" x14ac:dyDescent="0.25">
      <c r="A290" t="s">
        <v>1539</v>
      </c>
      <c r="B290" t="s">
        <v>1540</v>
      </c>
      <c r="C290" s="1">
        <v>43856</v>
      </c>
      <c r="D290" s="1">
        <v>45264</v>
      </c>
      <c r="E290" t="s">
        <v>33</v>
      </c>
      <c r="F290" t="s">
        <v>146</v>
      </c>
      <c r="G290" t="s">
        <v>52</v>
      </c>
      <c r="H290" t="s">
        <v>79</v>
      </c>
      <c r="I290" t="s">
        <v>1541</v>
      </c>
      <c r="J290" t="s">
        <v>165</v>
      </c>
      <c r="K290" t="s">
        <v>202</v>
      </c>
      <c r="L290" t="s">
        <v>1542</v>
      </c>
      <c r="M290">
        <v>365.09</v>
      </c>
      <c r="N290">
        <v>53</v>
      </c>
      <c r="O290" t="s">
        <v>1543</v>
      </c>
      <c r="P290" t="s">
        <v>42</v>
      </c>
      <c r="Q290" t="s">
        <v>353</v>
      </c>
      <c r="R290" t="s">
        <v>60</v>
      </c>
      <c r="S290" t="s">
        <v>98</v>
      </c>
      <c r="T290" t="s">
        <v>638</v>
      </c>
      <c r="U290">
        <v>285</v>
      </c>
      <c r="V290">
        <v>402</v>
      </c>
      <c r="W290">
        <v>19</v>
      </c>
      <c r="X290">
        <v>53.83</v>
      </c>
      <c r="Y290">
        <v>291.73</v>
      </c>
      <c r="Z290">
        <v>345.56</v>
      </c>
      <c r="AA290" t="s">
        <v>62</v>
      </c>
      <c r="AB290">
        <v>0</v>
      </c>
      <c r="AC290">
        <v>77.08</v>
      </c>
      <c r="AD290">
        <v>267</v>
      </c>
      <c r="AE290">
        <v>224</v>
      </c>
    </row>
    <row r="291" spans="1:31" x14ac:dyDescent="0.25">
      <c r="A291" t="s">
        <v>1544</v>
      </c>
      <c r="B291" t="s">
        <v>1545</v>
      </c>
      <c r="C291" s="1">
        <v>45330</v>
      </c>
      <c r="D291" s="1">
        <v>44833</v>
      </c>
      <c r="E291" t="s">
        <v>65</v>
      </c>
      <c r="F291" t="s">
        <v>51</v>
      </c>
      <c r="G291" t="s">
        <v>92</v>
      </c>
      <c r="H291" t="s">
        <v>36</v>
      </c>
      <c r="I291" t="s">
        <v>1546</v>
      </c>
      <c r="J291" t="s">
        <v>38</v>
      </c>
      <c r="K291" t="s">
        <v>55</v>
      </c>
      <c r="L291" t="s">
        <v>1547</v>
      </c>
      <c r="M291">
        <v>21.97</v>
      </c>
      <c r="N291">
        <v>57</v>
      </c>
      <c r="O291" t="s">
        <v>1548</v>
      </c>
      <c r="P291" t="s">
        <v>84</v>
      </c>
      <c r="Q291" t="s">
        <v>686</v>
      </c>
      <c r="R291" t="s">
        <v>60</v>
      </c>
      <c r="S291" t="s">
        <v>98</v>
      </c>
      <c r="T291" t="s">
        <v>1038</v>
      </c>
      <c r="U291">
        <v>2866</v>
      </c>
      <c r="V291">
        <v>162</v>
      </c>
      <c r="W291">
        <v>27</v>
      </c>
      <c r="X291">
        <v>1151.29</v>
      </c>
      <c r="Y291">
        <v>93.95</v>
      </c>
      <c r="Z291">
        <v>1245.24</v>
      </c>
      <c r="AA291" t="s">
        <v>62</v>
      </c>
      <c r="AB291">
        <v>0</v>
      </c>
      <c r="AC291">
        <v>96.48</v>
      </c>
      <c r="AD291">
        <v>59</v>
      </c>
      <c r="AE291">
        <v>23</v>
      </c>
    </row>
    <row r="292" spans="1:31" x14ac:dyDescent="0.25">
      <c r="A292" t="s">
        <v>1549</v>
      </c>
      <c r="B292" t="s">
        <v>1550</v>
      </c>
      <c r="C292" s="1">
        <v>44794</v>
      </c>
      <c r="D292" s="1">
        <v>45480</v>
      </c>
      <c r="E292" t="s">
        <v>65</v>
      </c>
      <c r="F292" t="s">
        <v>77</v>
      </c>
      <c r="G292" t="s">
        <v>92</v>
      </c>
      <c r="H292" t="s">
        <v>36</v>
      </c>
      <c r="I292" t="s">
        <v>1551</v>
      </c>
      <c r="J292" t="s">
        <v>38</v>
      </c>
      <c r="K292" t="s">
        <v>55</v>
      </c>
      <c r="L292" t="s">
        <v>1552</v>
      </c>
      <c r="M292">
        <v>110.03</v>
      </c>
      <c r="N292">
        <v>65</v>
      </c>
      <c r="O292" t="s">
        <v>1420</v>
      </c>
      <c r="P292" t="s">
        <v>108</v>
      </c>
      <c r="Q292" t="s">
        <v>232</v>
      </c>
      <c r="R292" t="s">
        <v>86</v>
      </c>
      <c r="S292" t="s">
        <v>87</v>
      </c>
      <c r="T292" t="s">
        <v>74</v>
      </c>
      <c r="U292">
        <v>83</v>
      </c>
      <c r="V292">
        <v>333</v>
      </c>
      <c r="W292">
        <v>4</v>
      </c>
      <c r="X292">
        <v>140.91999999999999</v>
      </c>
      <c r="Y292">
        <v>89.97</v>
      </c>
      <c r="Z292">
        <v>230.89</v>
      </c>
      <c r="AA292" t="s">
        <v>62</v>
      </c>
      <c r="AB292">
        <v>0</v>
      </c>
      <c r="AC292">
        <v>94.85</v>
      </c>
      <c r="AD292">
        <v>249</v>
      </c>
      <c r="AE292">
        <v>251</v>
      </c>
    </row>
    <row r="293" spans="1:31" x14ac:dyDescent="0.25">
      <c r="A293" t="s">
        <v>1553</v>
      </c>
      <c r="B293" t="s">
        <v>1554</v>
      </c>
      <c r="C293" s="1">
        <v>44571</v>
      </c>
      <c r="D293" s="1">
        <v>45202</v>
      </c>
      <c r="E293" t="s">
        <v>50</v>
      </c>
      <c r="F293" t="s">
        <v>91</v>
      </c>
      <c r="G293" t="s">
        <v>52</v>
      </c>
      <c r="H293" t="s">
        <v>67</v>
      </c>
      <c r="I293" t="s">
        <v>1484</v>
      </c>
      <c r="J293" t="s">
        <v>38</v>
      </c>
      <c r="K293" t="s">
        <v>69</v>
      </c>
      <c r="L293" t="s">
        <v>1485</v>
      </c>
      <c r="M293">
        <v>101.92</v>
      </c>
      <c r="N293">
        <v>7</v>
      </c>
      <c r="O293" t="s">
        <v>1555</v>
      </c>
      <c r="P293" t="s">
        <v>42</v>
      </c>
      <c r="Q293" t="s">
        <v>118</v>
      </c>
      <c r="R293" t="s">
        <v>44</v>
      </c>
      <c r="S293" t="s">
        <v>45</v>
      </c>
      <c r="T293" t="s">
        <v>119</v>
      </c>
      <c r="U293">
        <v>2030</v>
      </c>
      <c r="V293">
        <v>487</v>
      </c>
      <c r="W293">
        <v>11</v>
      </c>
      <c r="X293">
        <v>1122.43</v>
      </c>
      <c r="Y293">
        <v>216.32</v>
      </c>
      <c r="Z293">
        <v>1338.75</v>
      </c>
      <c r="AA293" t="s">
        <v>62</v>
      </c>
      <c r="AB293">
        <v>0</v>
      </c>
      <c r="AC293">
        <v>71.97</v>
      </c>
      <c r="AD293">
        <v>260</v>
      </c>
      <c r="AE293">
        <v>239</v>
      </c>
    </row>
    <row r="294" spans="1:31" x14ac:dyDescent="0.25">
      <c r="A294" t="s">
        <v>1556</v>
      </c>
      <c r="B294" t="s">
        <v>640</v>
      </c>
      <c r="C294" s="1">
        <v>44087</v>
      </c>
      <c r="D294" s="1">
        <v>44970</v>
      </c>
      <c r="E294" t="s">
        <v>65</v>
      </c>
      <c r="F294" t="s">
        <v>91</v>
      </c>
      <c r="G294" t="s">
        <v>52</v>
      </c>
      <c r="H294" t="s">
        <v>36</v>
      </c>
      <c r="I294" t="s">
        <v>1557</v>
      </c>
      <c r="J294" t="s">
        <v>38</v>
      </c>
      <c r="K294" t="s">
        <v>81</v>
      </c>
      <c r="L294" t="s">
        <v>1558</v>
      </c>
      <c r="M294">
        <v>33.07</v>
      </c>
      <c r="N294">
        <v>65</v>
      </c>
      <c r="O294" t="s">
        <v>1559</v>
      </c>
      <c r="P294" t="s">
        <v>108</v>
      </c>
      <c r="Q294" t="s">
        <v>613</v>
      </c>
      <c r="R294" t="s">
        <v>44</v>
      </c>
      <c r="S294" t="s">
        <v>45</v>
      </c>
      <c r="T294" t="s">
        <v>437</v>
      </c>
      <c r="U294">
        <v>608</v>
      </c>
      <c r="V294">
        <v>168</v>
      </c>
      <c r="W294">
        <v>12</v>
      </c>
      <c r="X294">
        <v>73.69</v>
      </c>
      <c r="Y294">
        <v>273.7</v>
      </c>
      <c r="Z294">
        <v>347.39</v>
      </c>
      <c r="AA294" t="s">
        <v>62</v>
      </c>
      <c r="AB294">
        <v>0</v>
      </c>
      <c r="AC294">
        <v>87.06</v>
      </c>
      <c r="AD294">
        <v>427</v>
      </c>
      <c r="AE294">
        <v>472</v>
      </c>
    </row>
    <row r="295" spans="1:31" x14ac:dyDescent="0.25">
      <c r="A295" t="s">
        <v>1560</v>
      </c>
      <c r="B295" t="s">
        <v>1561</v>
      </c>
      <c r="C295" s="1">
        <v>45392</v>
      </c>
      <c r="D295" s="1">
        <v>44999</v>
      </c>
      <c r="E295" t="s">
        <v>50</v>
      </c>
      <c r="F295" t="s">
        <v>51</v>
      </c>
      <c r="G295" t="s">
        <v>102</v>
      </c>
      <c r="H295" t="s">
        <v>79</v>
      </c>
      <c r="I295" t="s">
        <v>1562</v>
      </c>
      <c r="J295" t="s">
        <v>104</v>
      </c>
      <c r="K295" t="s">
        <v>181</v>
      </c>
      <c r="L295" t="s">
        <v>1563</v>
      </c>
      <c r="M295">
        <v>144.46</v>
      </c>
      <c r="N295">
        <v>56</v>
      </c>
      <c r="O295" t="s">
        <v>1564</v>
      </c>
      <c r="P295" t="s">
        <v>58</v>
      </c>
      <c r="Q295" t="s">
        <v>238</v>
      </c>
      <c r="R295" t="s">
        <v>60</v>
      </c>
      <c r="S295" t="s">
        <v>98</v>
      </c>
      <c r="T295" t="s">
        <v>437</v>
      </c>
      <c r="U295">
        <v>1851</v>
      </c>
      <c r="V295">
        <v>172</v>
      </c>
      <c r="W295">
        <v>1</v>
      </c>
      <c r="X295">
        <v>1762.62</v>
      </c>
      <c r="Y295">
        <v>303.47000000000003</v>
      </c>
      <c r="Z295">
        <v>2066.09</v>
      </c>
      <c r="AA295" t="s">
        <v>62</v>
      </c>
      <c r="AB295">
        <v>0</v>
      </c>
      <c r="AC295">
        <v>84.33</v>
      </c>
      <c r="AD295">
        <v>378</v>
      </c>
      <c r="AE295">
        <v>328</v>
      </c>
    </row>
    <row r="296" spans="1:31" x14ac:dyDescent="0.25">
      <c r="A296" t="s">
        <v>1565</v>
      </c>
      <c r="B296" t="s">
        <v>1566</v>
      </c>
      <c r="C296" s="1">
        <v>45344</v>
      </c>
      <c r="D296" s="1">
        <v>45443</v>
      </c>
      <c r="E296" t="s">
        <v>65</v>
      </c>
      <c r="F296" t="s">
        <v>77</v>
      </c>
      <c r="G296" t="s">
        <v>343</v>
      </c>
      <c r="H296" t="s">
        <v>114</v>
      </c>
      <c r="I296" t="s">
        <v>1567</v>
      </c>
      <c r="J296" t="s">
        <v>38</v>
      </c>
      <c r="K296" t="s">
        <v>338</v>
      </c>
      <c r="L296" t="s">
        <v>1568</v>
      </c>
      <c r="M296">
        <v>396.52</v>
      </c>
      <c r="N296">
        <v>35</v>
      </c>
      <c r="O296" t="s">
        <v>1569</v>
      </c>
      <c r="P296" t="s">
        <v>84</v>
      </c>
      <c r="Q296" t="s">
        <v>159</v>
      </c>
      <c r="R296" t="s">
        <v>60</v>
      </c>
      <c r="S296" t="s">
        <v>73</v>
      </c>
      <c r="T296" t="s">
        <v>127</v>
      </c>
      <c r="U296">
        <v>1721</v>
      </c>
      <c r="V296">
        <v>73</v>
      </c>
      <c r="W296">
        <v>8</v>
      </c>
      <c r="X296">
        <v>1945.35</v>
      </c>
      <c r="Y296">
        <v>348.3</v>
      </c>
      <c r="Z296">
        <v>2293.65</v>
      </c>
      <c r="AA296" t="s">
        <v>62</v>
      </c>
      <c r="AB296">
        <v>0</v>
      </c>
      <c r="AC296">
        <v>71.03</v>
      </c>
      <c r="AD296">
        <v>369</v>
      </c>
      <c r="AE296">
        <v>403</v>
      </c>
    </row>
    <row r="297" spans="1:31" x14ac:dyDescent="0.25">
      <c r="A297" t="s">
        <v>1570</v>
      </c>
      <c r="B297" t="s">
        <v>1571</v>
      </c>
      <c r="C297" s="1">
        <v>44109</v>
      </c>
      <c r="D297" s="1">
        <v>43893</v>
      </c>
      <c r="E297" t="s">
        <v>50</v>
      </c>
      <c r="F297" t="s">
        <v>91</v>
      </c>
      <c r="G297" t="s">
        <v>113</v>
      </c>
      <c r="H297" t="s">
        <v>147</v>
      </c>
      <c r="I297" t="s">
        <v>1572</v>
      </c>
      <c r="J297" t="s">
        <v>38</v>
      </c>
      <c r="K297" t="s">
        <v>39</v>
      </c>
      <c r="L297" t="s">
        <v>1573</v>
      </c>
      <c r="M297">
        <v>138.62</v>
      </c>
      <c r="N297">
        <v>47</v>
      </c>
      <c r="O297" t="s">
        <v>1574</v>
      </c>
      <c r="P297" t="s">
        <v>84</v>
      </c>
      <c r="Q297" t="s">
        <v>85</v>
      </c>
      <c r="R297" t="s">
        <v>152</v>
      </c>
      <c r="S297" t="s">
        <v>87</v>
      </c>
      <c r="T297" t="s">
        <v>284</v>
      </c>
      <c r="U297">
        <v>992</v>
      </c>
      <c r="V297">
        <v>349</v>
      </c>
      <c r="W297">
        <v>16</v>
      </c>
      <c r="X297">
        <v>904.79</v>
      </c>
      <c r="Y297">
        <v>473.67</v>
      </c>
      <c r="Z297">
        <v>1378.46</v>
      </c>
      <c r="AA297" t="s">
        <v>62</v>
      </c>
      <c r="AB297">
        <v>0</v>
      </c>
      <c r="AC297">
        <v>88.19</v>
      </c>
      <c r="AD297">
        <v>405</v>
      </c>
      <c r="AE297">
        <v>360</v>
      </c>
    </row>
    <row r="298" spans="1:31" x14ac:dyDescent="0.25">
      <c r="A298" t="s">
        <v>1575</v>
      </c>
      <c r="B298" t="s">
        <v>1576</v>
      </c>
      <c r="C298" s="1">
        <v>44044</v>
      </c>
      <c r="D298" s="1">
        <v>45479</v>
      </c>
      <c r="E298" t="s">
        <v>50</v>
      </c>
      <c r="F298" t="s">
        <v>146</v>
      </c>
      <c r="G298" t="s">
        <v>52</v>
      </c>
      <c r="H298" t="s">
        <v>53</v>
      </c>
      <c r="I298" t="s">
        <v>1577</v>
      </c>
      <c r="J298" t="s">
        <v>38</v>
      </c>
      <c r="K298" t="s">
        <v>39</v>
      </c>
      <c r="L298" t="s">
        <v>1578</v>
      </c>
      <c r="M298">
        <v>305.33</v>
      </c>
      <c r="N298">
        <v>12</v>
      </c>
      <c r="O298" t="s">
        <v>1579</v>
      </c>
      <c r="P298" t="s">
        <v>42</v>
      </c>
      <c r="Q298" t="s">
        <v>151</v>
      </c>
      <c r="R298" t="s">
        <v>152</v>
      </c>
      <c r="S298" t="s">
        <v>87</v>
      </c>
      <c r="T298" t="s">
        <v>675</v>
      </c>
      <c r="U298">
        <v>3362</v>
      </c>
      <c r="V298">
        <v>430</v>
      </c>
      <c r="W298">
        <v>21</v>
      </c>
      <c r="X298">
        <v>405.48</v>
      </c>
      <c r="Y298">
        <v>206.84</v>
      </c>
      <c r="Z298">
        <v>612.32000000000005</v>
      </c>
      <c r="AA298" t="s">
        <v>62</v>
      </c>
      <c r="AB298">
        <v>0</v>
      </c>
      <c r="AC298">
        <v>85.83</v>
      </c>
      <c r="AD298">
        <v>111</v>
      </c>
      <c r="AE298">
        <v>115</v>
      </c>
    </row>
    <row r="299" spans="1:31" x14ac:dyDescent="0.25">
      <c r="A299" t="s">
        <v>1580</v>
      </c>
      <c r="B299" t="s">
        <v>1581</v>
      </c>
      <c r="C299" s="1">
        <v>45066</v>
      </c>
      <c r="D299" s="1">
        <v>44766</v>
      </c>
      <c r="E299" t="s">
        <v>65</v>
      </c>
      <c r="F299" t="s">
        <v>146</v>
      </c>
      <c r="G299" t="s">
        <v>78</v>
      </c>
      <c r="H299" t="s">
        <v>79</v>
      </c>
      <c r="I299" t="s">
        <v>1582</v>
      </c>
      <c r="J299" t="s">
        <v>38</v>
      </c>
      <c r="K299" t="s">
        <v>39</v>
      </c>
      <c r="L299" t="s">
        <v>1583</v>
      </c>
      <c r="M299">
        <v>238.75</v>
      </c>
      <c r="N299">
        <v>56</v>
      </c>
      <c r="O299" t="s">
        <v>1584</v>
      </c>
      <c r="P299" t="s">
        <v>141</v>
      </c>
      <c r="Q299" t="s">
        <v>370</v>
      </c>
      <c r="R299" t="s">
        <v>60</v>
      </c>
      <c r="S299" t="s">
        <v>73</v>
      </c>
      <c r="T299" t="s">
        <v>170</v>
      </c>
      <c r="U299">
        <v>4978</v>
      </c>
      <c r="V299">
        <v>253</v>
      </c>
      <c r="W299">
        <v>15</v>
      </c>
      <c r="X299">
        <v>1984.19</v>
      </c>
      <c r="Y299">
        <v>49.04</v>
      </c>
      <c r="Z299">
        <v>2033.23</v>
      </c>
      <c r="AA299" t="s">
        <v>62</v>
      </c>
      <c r="AB299">
        <v>0</v>
      </c>
      <c r="AC299">
        <v>91.56</v>
      </c>
      <c r="AD299">
        <v>164</v>
      </c>
      <c r="AE299">
        <v>176</v>
      </c>
    </row>
    <row r="300" spans="1:31" x14ac:dyDescent="0.25">
      <c r="A300" t="s">
        <v>1585</v>
      </c>
      <c r="B300" t="s">
        <v>1586</v>
      </c>
      <c r="C300" s="1">
        <v>45123</v>
      </c>
      <c r="D300" s="1">
        <v>44500</v>
      </c>
      <c r="E300" t="s">
        <v>65</v>
      </c>
      <c r="F300" t="s">
        <v>77</v>
      </c>
      <c r="G300" t="s">
        <v>35</v>
      </c>
      <c r="H300" t="s">
        <v>221</v>
      </c>
      <c r="I300" t="s">
        <v>1587</v>
      </c>
      <c r="J300" t="s">
        <v>165</v>
      </c>
      <c r="K300" t="s">
        <v>166</v>
      </c>
      <c r="L300" t="s">
        <v>1588</v>
      </c>
      <c r="M300">
        <v>309.58</v>
      </c>
      <c r="N300">
        <v>9</v>
      </c>
      <c r="O300" t="s">
        <v>1589</v>
      </c>
      <c r="P300" t="s">
        <v>108</v>
      </c>
      <c r="Q300" t="s">
        <v>408</v>
      </c>
      <c r="R300" t="s">
        <v>60</v>
      </c>
      <c r="S300" t="s">
        <v>45</v>
      </c>
      <c r="T300" t="s">
        <v>1004</v>
      </c>
      <c r="U300">
        <v>4543</v>
      </c>
      <c r="V300">
        <v>482</v>
      </c>
      <c r="W300">
        <v>16</v>
      </c>
      <c r="X300">
        <v>269</v>
      </c>
      <c r="Y300">
        <v>55.68</v>
      </c>
      <c r="Z300">
        <v>324.68</v>
      </c>
      <c r="AA300" t="s">
        <v>62</v>
      </c>
      <c r="AB300">
        <v>0</v>
      </c>
      <c r="AC300">
        <v>92.82</v>
      </c>
      <c r="AD300">
        <v>365</v>
      </c>
      <c r="AE300">
        <v>391</v>
      </c>
    </row>
    <row r="301" spans="1:31" x14ac:dyDescent="0.25">
      <c r="A301" t="s">
        <v>1590</v>
      </c>
      <c r="B301" t="s">
        <v>1591</v>
      </c>
      <c r="C301" s="1">
        <v>45084</v>
      </c>
      <c r="D301" s="1">
        <v>44764</v>
      </c>
      <c r="E301" t="s">
        <v>65</v>
      </c>
      <c r="F301" t="s">
        <v>51</v>
      </c>
      <c r="G301" t="s">
        <v>102</v>
      </c>
      <c r="H301" t="s">
        <v>36</v>
      </c>
      <c r="I301" t="s">
        <v>1592</v>
      </c>
      <c r="J301" t="s">
        <v>38</v>
      </c>
      <c r="K301" t="s">
        <v>263</v>
      </c>
      <c r="L301" t="s">
        <v>271</v>
      </c>
      <c r="M301">
        <v>363.21</v>
      </c>
      <c r="N301">
        <v>34</v>
      </c>
      <c r="O301" t="s">
        <v>1593</v>
      </c>
      <c r="P301" t="s">
        <v>108</v>
      </c>
      <c r="Q301" t="s">
        <v>142</v>
      </c>
      <c r="R301" t="s">
        <v>44</v>
      </c>
      <c r="S301" t="s">
        <v>126</v>
      </c>
      <c r="T301" t="s">
        <v>302</v>
      </c>
      <c r="U301">
        <v>2032</v>
      </c>
      <c r="V301">
        <v>95</v>
      </c>
      <c r="W301">
        <v>25</v>
      </c>
      <c r="X301">
        <v>1697.48</v>
      </c>
      <c r="Y301">
        <v>289.43</v>
      </c>
      <c r="Z301">
        <v>1986.91</v>
      </c>
      <c r="AA301" t="s">
        <v>62</v>
      </c>
      <c r="AB301">
        <v>0</v>
      </c>
      <c r="AC301">
        <v>78.680000000000007</v>
      </c>
      <c r="AD301">
        <v>381</v>
      </c>
      <c r="AE301">
        <v>399</v>
      </c>
    </row>
    <row r="302" spans="1:31" x14ac:dyDescent="0.25">
      <c r="A302" t="s">
        <v>1594</v>
      </c>
      <c r="B302" t="s">
        <v>1595</v>
      </c>
      <c r="C302" s="1">
        <v>43882</v>
      </c>
      <c r="D302" s="1">
        <v>44940</v>
      </c>
      <c r="E302" t="s">
        <v>65</v>
      </c>
      <c r="F302" t="s">
        <v>91</v>
      </c>
      <c r="G302" t="s">
        <v>92</v>
      </c>
      <c r="H302" t="s">
        <v>67</v>
      </c>
      <c r="I302" t="s">
        <v>741</v>
      </c>
      <c r="J302" t="s">
        <v>165</v>
      </c>
      <c r="K302" t="s">
        <v>202</v>
      </c>
      <c r="L302" t="s">
        <v>742</v>
      </c>
      <c r="M302">
        <v>345.87</v>
      </c>
      <c r="N302">
        <v>62</v>
      </c>
      <c r="O302" t="s">
        <v>1596</v>
      </c>
      <c r="P302" t="s">
        <v>58</v>
      </c>
      <c r="Q302" t="s">
        <v>370</v>
      </c>
      <c r="R302" t="s">
        <v>152</v>
      </c>
      <c r="S302" t="s">
        <v>73</v>
      </c>
      <c r="T302" t="s">
        <v>267</v>
      </c>
      <c r="U302">
        <v>3903</v>
      </c>
      <c r="V302">
        <v>482</v>
      </c>
      <c r="W302">
        <v>26</v>
      </c>
      <c r="X302">
        <v>404.86</v>
      </c>
      <c r="Y302">
        <v>196.95</v>
      </c>
      <c r="Z302">
        <v>601.80999999999995</v>
      </c>
      <c r="AA302" t="s">
        <v>62</v>
      </c>
      <c r="AB302">
        <v>0</v>
      </c>
      <c r="AC302">
        <v>80.16</v>
      </c>
      <c r="AD302">
        <v>415</v>
      </c>
      <c r="AE302">
        <v>425</v>
      </c>
    </row>
    <row r="303" spans="1:31" x14ac:dyDescent="0.25">
      <c r="A303" t="s">
        <v>1597</v>
      </c>
      <c r="B303" t="s">
        <v>1598</v>
      </c>
      <c r="C303" s="1">
        <v>45003</v>
      </c>
      <c r="D303" s="1">
        <v>44206</v>
      </c>
      <c r="E303" t="s">
        <v>33</v>
      </c>
      <c r="F303" t="s">
        <v>34</v>
      </c>
      <c r="G303" t="s">
        <v>35</v>
      </c>
      <c r="H303" t="s">
        <v>147</v>
      </c>
      <c r="I303" t="s">
        <v>784</v>
      </c>
      <c r="J303" t="s">
        <v>165</v>
      </c>
      <c r="K303" t="s">
        <v>202</v>
      </c>
      <c r="L303" t="s">
        <v>785</v>
      </c>
      <c r="M303">
        <v>177.83</v>
      </c>
      <c r="N303">
        <v>50</v>
      </c>
      <c r="O303" t="s">
        <v>1599</v>
      </c>
      <c r="P303" t="s">
        <v>141</v>
      </c>
      <c r="Q303" t="s">
        <v>613</v>
      </c>
      <c r="R303" t="s">
        <v>152</v>
      </c>
      <c r="S303" t="s">
        <v>45</v>
      </c>
      <c r="T303" t="s">
        <v>1004</v>
      </c>
      <c r="U303">
        <v>4429</v>
      </c>
      <c r="V303">
        <v>117</v>
      </c>
      <c r="W303">
        <v>26</v>
      </c>
      <c r="X303">
        <v>334.83</v>
      </c>
      <c r="Y303">
        <v>80.260000000000005</v>
      </c>
      <c r="Z303">
        <v>415.09</v>
      </c>
      <c r="AA303" t="s">
        <v>62</v>
      </c>
      <c r="AB303">
        <v>0</v>
      </c>
      <c r="AC303">
        <v>87.83</v>
      </c>
      <c r="AD303">
        <v>65</v>
      </c>
      <c r="AE303">
        <v>31</v>
      </c>
    </row>
    <row r="304" spans="1:31" x14ac:dyDescent="0.25">
      <c r="A304" t="s">
        <v>1600</v>
      </c>
      <c r="B304" t="s">
        <v>1601</v>
      </c>
      <c r="C304" s="1">
        <v>44862</v>
      </c>
      <c r="D304" s="1">
        <v>45649</v>
      </c>
      <c r="E304" t="s">
        <v>65</v>
      </c>
      <c r="F304" t="s">
        <v>91</v>
      </c>
      <c r="G304" t="s">
        <v>52</v>
      </c>
      <c r="H304" t="s">
        <v>221</v>
      </c>
      <c r="I304" t="s">
        <v>1602</v>
      </c>
      <c r="J304" t="s">
        <v>104</v>
      </c>
      <c r="K304" t="s">
        <v>181</v>
      </c>
      <c r="L304" t="s">
        <v>1603</v>
      </c>
      <c r="M304">
        <v>184.33</v>
      </c>
      <c r="N304">
        <v>82</v>
      </c>
      <c r="O304" t="s">
        <v>1599</v>
      </c>
      <c r="P304" t="s">
        <v>84</v>
      </c>
      <c r="Q304" t="s">
        <v>151</v>
      </c>
      <c r="R304" t="s">
        <v>60</v>
      </c>
      <c r="S304" t="s">
        <v>98</v>
      </c>
      <c r="T304" t="s">
        <v>922</v>
      </c>
      <c r="U304">
        <v>3932</v>
      </c>
      <c r="V304">
        <v>319</v>
      </c>
      <c r="W304">
        <v>9</v>
      </c>
      <c r="X304">
        <v>1592.65</v>
      </c>
      <c r="Y304">
        <v>161.07</v>
      </c>
      <c r="Z304">
        <v>1753.72</v>
      </c>
      <c r="AA304" t="s">
        <v>62</v>
      </c>
      <c r="AB304">
        <v>0</v>
      </c>
      <c r="AC304">
        <v>77.31</v>
      </c>
      <c r="AD304">
        <v>123</v>
      </c>
      <c r="AE304">
        <v>142</v>
      </c>
    </row>
    <row r="305" spans="1:31" x14ac:dyDescent="0.25">
      <c r="A305" t="s">
        <v>1604</v>
      </c>
      <c r="B305" t="s">
        <v>1605</v>
      </c>
      <c r="C305" s="1">
        <v>45335</v>
      </c>
      <c r="D305" s="1">
        <v>44931</v>
      </c>
      <c r="E305" t="s">
        <v>65</v>
      </c>
      <c r="F305" t="s">
        <v>91</v>
      </c>
      <c r="G305" t="s">
        <v>66</v>
      </c>
      <c r="H305" t="s">
        <v>36</v>
      </c>
      <c r="I305" t="s">
        <v>1606</v>
      </c>
      <c r="J305" t="s">
        <v>38</v>
      </c>
      <c r="K305" t="s">
        <v>94</v>
      </c>
      <c r="L305" t="s">
        <v>1607</v>
      </c>
      <c r="M305">
        <v>340.66</v>
      </c>
      <c r="N305">
        <v>84</v>
      </c>
      <c r="O305" t="s">
        <v>1608</v>
      </c>
      <c r="P305" t="s">
        <v>42</v>
      </c>
      <c r="Q305" t="s">
        <v>295</v>
      </c>
      <c r="R305" t="s">
        <v>152</v>
      </c>
      <c r="S305" t="s">
        <v>87</v>
      </c>
      <c r="T305" t="s">
        <v>638</v>
      </c>
      <c r="U305">
        <v>3647</v>
      </c>
      <c r="V305">
        <v>454</v>
      </c>
      <c r="W305">
        <v>19</v>
      </c>
      <c r="X305">
        <v>50.33</v>
      </c>
      <c r="Y305">
        <v>82.03</v>
      </c>
      <c r="Z305">
        <v>132.36000000000001</v>
      </c>
      <c r="AA305" t="s">
        <v>47</v>
      </c>
      <c r="AB305">
        <v>4</v>
      </c>
      <c r="AC305">
        <v>95.52</v>
      </c>
      <c r="AD305">
        <v>399</v>
      </c>
      <c r="AE305">
        <v>368</v>
      </c>
    </row>
    <row r="306" spans="1:31" x14ac:dyDescent="0.25">
      <c r="A306" t="s">
        <v>1609</v>
      </c>
      <c r="B306" t="s">
        <v>1610</v>
      </c>
      <c r="C306" s="1">
        <v>45614</v>
      </c>
      <c r="D306" s="1">
        <v>44153</v>
      </c>
      <c r="E306" t="s">
        <v>65</v>
      </c>
      <c r="F306" t="s">
        <v>77</v>
      </c>
      <c r="G306" t="s">
        <v>66</v>
      </c>
      <c r="H306" t="s">
        <v>36</v>
      </c>
      <c r="I306" t="s">
        <v>1611</v>
      </c>
      <c r="J306" t="s">
        <v>38</v>
      </c>
      <c r="K306" t="s">
        <v>55</v>
      </c>
      <c r="L306" t="s">
        <v>1612</v>
      </c>
      <c r="M306">
        <v>433.4</v>
      </c>
      <c r="N306">
        <v>76</v>
      </c>
      <c r="O306" t="s">
        <v>1613</v>
      </c>
      <c r="P306" t="s">
        <v>58</v>
      </c>
      <c r="Q306" t="s">
        <v>353</v>
      </c>
      <c r="R306" t="s">
        <v>86</v>
      </c>
      <c r="S306" t="s">
        <v>73</v>
      </c>
      <c r="T306" t="s">
        <v>153</v>
      </c>
      <c r="U306">
        <v>2468</v>
      </c>
      <c r="V306">
        <v>131</v>
      </c>
      <c r="W306">
        <v>6</v>
      </c>
      <c r="X306">
        <v>1819.76</v>
      </c>
      <c r="Y306">
        <v>145.19</v>
      </c>
      <c r="Z306">
        <v>1964.95</v>
      </c>
      <c r="AA306" t="s">
        <v>47</v>
      </c>
      <c r="AB306">
        <v>10</v>
      </c>
      <c r="AC306">
        <v>75.8</v>
      </c>
      <c r="AD306">
        <v>407</v>
      </c>
      <c r="AE306">
        <v>402</v>
      </c>
    </row>
    <row r="307" spans="1:31" x14ac:dyDescent="0.25">
      <c r="A307" t="s">
        <v>1614</v>
      </c>
      <c r="B307" t="s">
        <v>1615</v>
      </c>
      <c r="C307" s="1">
        <v>45093</v>
      </c>
      <c r="D307" s="1">
        <v>44937</v>
      </c>
      <c r="E307" t="s">
        <v>33</v>
      </c>
      <c r="F307" t="s">
        <v>77</v>
      </c>
      <c r="G307" t="s">
        <v>113</v>
      </c>
      <c r="H307" t="s">
        <v>36</v>
      </c>
      <c r="I307" t="s">
        <v>1616</v>
      </c>
      <c r="J307" t="s">
        <v>38</v>
      </c>
      <c r="K307" t="s">
        <v>69</v>
      </c>
      <c r="L307" t="s">
        <v>1617</v>
      </c>
      <c r="M307">
        <v>375.69</v>
      </c>
      <c r="N307">
        <v>41</v>
      </c>
      <c r="O307" t="s">
        <v>1618</v>
      </c>
      <c r="P307" t="s">
        <v>141</v>
      </c>
      <c r="Q307" t="s">
        <v>532</v>
      </c>
      <c r="R307" t="s">
        <v>152</v>
      </c>
      <c r="S307" t="s">
        <v>87</v>
      </c>
      <c r="T307" t="s">
        <v>378</v>
      </c>
      <c r="U307">
        <v>129</v>
      </c>
      <c r="V307">
        <v>128</v>
      </c>
      <c r="W307">
        <v>9</v>
      </c>
      <c r="X307">
        <v>1754.62</v>
      </c>
      <c r="Y307">
        <v>144.32</v>
      </c>
      <c r="Z307">
        <v>1898.94</v>
      </c>
      <c r="AA307" t="s">
        <v>62</v>
      </c>
      <c r="AB307">
        <v>0</v>
      </c>
      <c r="AC307">
        <v>72.11</v>
      </c>
      <c r="AD307">
        <v>232</v>
      </c>
      <c r="AE307">
        <v>188</v>
      </c>
    </row>
    <row r="308" spans="1:31" x14ac:dyDescent="0.25">
      <c r="A308" t="s">
        <v>1619</v>
      </c>
      <c r="B308" t="s">
        <v>1620</v>
      </c>
      <c r="C308" s="1">
        <v>44848</v>
      </c>
      <c r="D308" s="1">
        <v>44440</v>
      </c>
      <c r="E308" t="s">
        <v>50</v>
      </c>
      <c r="F308" t="s">
        <v>91</v>
      </c>
      <c r="G308" t="s">
        <v>35</v>
      </c>
      <c r="H308" t="s">
        <v>147</v>
      </c>
      <c r="I308" t="s">
        <v>1188</v>
      </c>
      <c r="J308" t="s">
        <v>38</v>
      </c>
      <c r="K308" t="s">
        <v>39</v>
      </c>
      <c r="L308" t="s">
        <v>1189</v>
      </c>
      <c r="M308">
        <v>82.76</v>
      </c>
      <c r="N308">
        <v>77</v>
      </c>
      <c r="O308" t="s">
        <v>1062</v>
      </c>
      <c r="P308" t="s">
        <v>108</v>
      </c>
      <c r="Q308" t="s">
        <v>532</v>
      </c>
      <c r="R308" t="s">
        <v>86</v>
      </c>
      <c r="S308" t="s">
        <v>87</v>
      </c>
      <c r="T308" t="s">
        <v>170</v>
      </c>
      <c r="U308">
        <v>1851</v>
      </c>
      <c r="V308">
        <v>112</v>
      </c>
      <c r="W308">
        <v>28</v>
      </c>
      <c r="X308">
        <v>1596.99</v>
      </c>
      <c r="Y308">
        <v>176.93</v>
      </c>
      <c r="Z308">
        <v>1773.92</v>
      </c>
      <c r="AA308" t="s">
        <v>47</v>
      </c>
      <c r="AB308">
        <v>14</v>
      </c>
      <c r="AC308">
        <v>83.36</v>
      </c>
      <c r="AD308">
        <v>158</v>
      </c>
      <c r="AE308">
        <v>130</v>
      </c>
    </row>
    <row r="309" spans="1:31" x14ac:dyDescent="0.25">
      <c r="A309" t="s">
        <v>1621</v>
      </c>
      <c r="B309" t="s">
        <v>1622</v>
      </c>
      <c r="C309" s="1">
        <v>45502</v>
      </c>
      <c r="D309" s="1">
        <v>45636</v>
      </c>
      <c r="E309" t="s">
        <v>65</v>
      </c>
      <c r="F309" t="s">
        <v>51</v>
      </c>
      <c r="G309" t="s">
        <v>35</v>
      </c>
      <c r="H309" t="s">
        <v>114</v>
      </c>
      <c r="I309" t="s">
        <v>1623</v>
      </c>
      <c r="J309" t="s">
        <v>38</v>
      </c>
      <c r="K309" t="s">
        <v>39</v>
      </c>
      <c r="L309" t="s">
        <v>1624</v>
      </c>
      <c r="M309">
        <v>81.53</v>
      </c>
      <c r="N309">
        <v>50</v>
      </c>
      <c r="O309" t="s">
        <v>1625</v>
      </c>
      <c r="P309" t="s">
        <v>42</v>
      </c>
      <c r="Q309" t="s">
        <v>133</v>
      </c>
      <c r="R309" t="s">
        <v>86</v>
      </c>
      <c r="S309" t="s">
        <v>45</v>
      </c>
      <c r="T309" t="s">
        <v>278</v>
      </c>
      <c r="U309">
        <v>4826</v>
      </c>
      <c r="V309">
        <v>189</v>
      </c>
      <c r="W309">
        <v>10</v>
      </c>
      <c r="X309">
        <v>967.82</v>
      </c>
      <c r="Y309">
        <v>329.7</v>
      </c>
      <c r="Z309">
        <v>1297.52</v>
      </c>
      <c r="AA309" t="s">
        <v>62</v>
      </c>
      <c r="AB309">
        <v>0</v>
      </c>
      <c r="AC309">
        <v>83.75</v>
      </c>
      <c r="AD309">
        <v>448</v>
      </c>
      <c r="AE309">
        <v>465</v>
      </c>
    </row>
    <row r="310" spans="1:31" x14ac:dyDescent="0.25">
      <c r="A310" t="s">
        <v>1626</v>
      </c>
      <c r="B310" t="s">
        <v>1627</v>
      </c>
      <c r="C310" s="1">
        <v>45220</v>
      </c>
      <c r="D310" s="1">
        <v>44674</v>
      </c>
      <c r="E310" t="s">
        <v>65</v>
      </c>
      <c r="F310" t="s">
        <v>34</v>
      </c>
      <c r="G310" t="s">
        <v>35</v>
      </c>
      <c r="H310" t="s">
        <v>36</v>
      </c>
      <c r="I310" t="s">
        <v>1628</v>
      </c>
      <c r="J310" t="s">
        <v>38</v>
      </c>
      <c r="K310" t="s">
        <v>81</v>
      </c>
      <c r="L310" t="s">
        <v>1629</v>
      </c>
      <c r="M310">
        <v>337.23</v>
      </c>
      <c r="N310">
        <v>32</v>
      </c>
      <c r="O310" t="s">
        <v>1630</v>
      </c>
      <c r="P310" t="s">
        <v>108</v>
      </c>
      <c r="Q310" t="s">
        <v>346</v>
      </c>
      <c r="R310" t="s">
        <v>152</v>
      </c>
      <c r="S310" t="s">
        <v>126</v>
      </c>
      <c r="T310" t="s">
        <v>371</v>
      </c>
      <c r="U310">
        <v>3801</v>
      </c>
      <c r="V310">
        <v>464</v>
      </c>
      <c r="W310">
        <v>17</v>
      </c>
      <c r="X310">
        <v>1538.88</v>
      </c>
      <c r="Y310">
        <v>440.06</v>
      </c>
      <c r="Z310">
        <v>1978.94</v>
      </c>
      <c r="AA310" t="s">
        <v>62</v>
      </c>
      <c r="AB310">
        <v>0</v>
      </c>
      <c r="AC310">
        <v>99.82</v>
      </c>
      <c r="AD310">
        <v>433</v>
      </c>
      <c r="AE310">
        <v>471</v>
      </c>
    </row>
    <row r="311" spans="1:31" x14ac:dyDescent="0.25">
      <c r="A311" t="s">
        <v>1631</v>
      </c>
      <c r="B311" t="s">
        <v>1632</v>
      </c>
      <c r="C311" s="1">
        <v>44111</v>
      </c>
      <c r="D311" s="1">
        <v>45460</v>
      </c>
      <c r="E311" t="s">
        <v>50</v>
      </c>
      <c r="F311" t="s">
        <v>51</v>
      </c>
      <c r="G311" t="s">
        <v>92</v>
      </c>
      <c r="H311" t="s">
        <v>114</v>
      </c>
      <c r="I311" t="s">
        <v>1633</v>
      </c>
      <c r="J311" t="s">
        <v>165</v>
      </c>
      <c r="K311" t="s">
        <v>202</v>
      </c>
      <c r="L311" t="s">
        <v>1634</v>
      </c>
      <c r="M311">
        <v>162.47</v>
      </c>
      <c r="N311">
        <v>12</v>
      </c>
      <c r="O311" t="s">
        <v>1635</v>
      </c>
      <c r="P311" t="s">
        <v>84</v>
      </c>
      <c r="Q311" t="s">
        <v>295</v>
      </c>
      <c r="R311" t="s">
        <v>152</v>
      </c>
      <c r="S311" t="s">
        <v>73</v>
      </c>
      <c r="T311" t="s">
        <v>644</v>
      </c>
      <c r="U311">
        <v>69</v>
      </c>
      <c r="V311">
        <v>339</v>
      </c>
      <c r="W311">
        <v>7</v>
      </c>
      <c r="X311">
        <v>232.22</v>
      </c>
      <c r="Y311">
        <v>187.88</v>
      </c>
      <c r="Z311">
        <v>420.1</v>
      </c>
      <c r="AA311" t="s">
        <v>62</v>
      </c>
      <c r="AB311">
        <v>0</v>
      </c>
      <c r="AC311">
        <v>92.21</v>
      </c>
      <c r="AD311">
        <v>481</v>
      </c>
      <c r="AE311">
        <v>433</v>
      </c>
    </row>
    <row r="312" spans="1:31" x14ac:dyDescent="0.25">
      <c r="A312" t="s">
        <v>1636</v>
      </c>
      <c r="B312" t="s">
        <v>1637</v>
      </c>
      <c r="C312" s="1">
        <v>45397</v>
      </c>
      <c r="D312" s="1">
        <v>44273</v>
      </c>
      <c r="E312" t="s">
        <v>65</v>
      </c>
      <c r="F312" t="s">
        <v>91</v>
      </c>
      <c r="G312" t="s">
        <v>52</v>
      </c>
      <c r="H312" t="s">
        <v>163</v>
      </c>
      <c r="I312" t="s">
        <v>1638</v>
      </c>
      <c r="J312" t="s">
        <v>38</v>
      </c>
      <c r="K312" t="s">
        <v>94</v>
      </c>
      <c r="L312" t="s">
        <v>1639</v>
      </c>
      <c r="M312">
        <v>381.67</v>
      </c>
      <c r="N312">
        <v>87</v>
      </c>
      <c r="O312" t="s">
        <v>1640</v>
      </c>
      <c r="P312" t="s">
        <v>141</v>
      </c>
      <c r="Q312" t="s">
        <v>85</v>
      </c>
      <c r="R312" t="s">
        <v>44</v>
      </c>
      <c r="S312" t="s">
        <v>87</v>
      </c>
      <c r="T312" t="s">
        <v>426</v>
      </c>
      <c r="U312">
        <v>3637</v>
      </c>
      <c r="V312">
        <v>387</v>
      </c>
      <c r="W312">
        <v>2</v>
      </c>
      <c r="X312">
        <v>1327.73</v>
      </c>
      <c r="Y312">
        <v>57.99</v>
      </c>
      <c r="Z312">
        <v>1385.72</v>
      </c>
      <c r="AA312" t="s">
        <v>62</v>
      </c>
      <c r="AB312">
        <v>0</v>
      </c>
      <c r="AC312">
        <v>92.12</v>
      </c>
      <c r="AD312">
        <v>190</v>
      </c>
      <c r="AE312">
        <v>225</v>
      </c>
    </row>
    <row r="313" spans="1:31" x14ac:dyDescent="0.25">
      <c r="A313" t="s">
        <v>1641</v>
      </c>
      <c r="B313" t="s">
        <v>1642</v>
      </c>
      <c r="C313" s="1">
        <v>44227</v>
      </c>
      <c r="D313" s="1">
        <v>45478</v>
      </c>
      <c r="E313" t="s">
        <v>65</v>
      </c>
      <c r="F313" t="s">
        <v>34</v>
      </c>
      <c r="G313" t="s">
        <v>113</v>
      </c>
      <c r="H313" t="s">
        <v>114</v>
      </c>
      <c r="I313" t="s">
        <v>1643</v>
      </c>
      <c r="J313" t="s">
        <v>38</v>
      </c>
      <c r="K313" t="s">
        <v>94</v>
      </c>
      <c r="L313" t="s">
        <v>1644</v>
      </c>
      <c r="M313">
        <v>34.590000000000003</v>
      </c>
      <c r="N313">
        <v>83</v>
      </c>
      <c r="O313" t="s">
        <v>1645</v>
      </c>
      <c r="P313" t="s">
        <v>58</v>
      </c>
      <c r="Q313" t="s">
        <v>464</v>
      </c>
      <c r="R313" t="s">
        <v>86</v>
      </c>
      <c r="S313" t="s">
        <v>73</v>
      </c>
      <c r="T313" t="s">
        <v>533</v>
      </c>
      <c r="U313">
        <v>4274</v>
      </c>
      <c r="V313">
        <v>386</v>
      </c>
      <c r="W313">
        <v>22</v>
      </c>
      <c r="X313">
        <v>105.9</v>
      </c>
      <c r="Y313">
        <v>114.25</v>
      </c>
      <c r="Z313">
        <v>220.15</v>
      </c>
      <c r="AA313" t="s">
        <v>62</v>
      </c>
      <c r="AB313">
        <v>0</v>
      </c>
      <c r="AC313">
        <v>77.599999999999994</v>
      </c>
      <c r="AD313">
        <v>120</v>
      </c>
      <c r="AE313">
        <v>139</v>
      </c>
    </row>
    <row r="314" spans="1:31" x14ac:dyDescent="0.25">
      <c r="A314" t="s">
        <v>1646</v>
      </c>
      <c r="B314" t="s">
        <v>1647</v>
      </c>
      <c r="C314" s="1">
        <v>45650</v>
      </c>
      <c r="D314" s="1">
        <v>45333</v>
      </c>
      <c r="E314" t="s">
        <v>50</v>
      </c>
      <c r="F314" t="s">
        <v>34</v>
      </c>
      <c r="G314" t="s">
        <v>113</v>
      </c>
      <c r="H314" t="s">
        <v>114</v>
      </c>
      <c r="I314" t="s">
        <v>1312</v>
      </c>
      <c r="J314" t="s">
        <v>38</v>
      </c>
      <c r="K314" t="s">
        <v>94</v>
      </c>
      <c r="L314" t="s">
        <v>1313</v>
      </c>
      <c r="M314">
        <v>474.38</v>
      </c>
      <c r="N314">
        <v>62</v>
      </c>
      <c r="O314" t="s">
        <v>985</v>
      </c>
      <c r="P314" t="s">
        <v>141</v>
      </c>
      <c r="Q314" t="s">
        <v>142</v>
      </c>
      <c r="R314" t="s">
        <v>60</v>
      </c>
      <c r="S314" t="s">
        <v>98</v>
      </c>
      <c r="T314" t="s">
        <v>246</v>
      </c>
      <c r="U314">
        <v>4372</v>
      </c>
      <c r="V314">
        <v>308</v>
      </c>
      <c r="W314">
        <v>22</v>
      </c>
      <c r="X314">
        <v>1808.28</v>
      </c>
      <c r="Y314">
        <v>385.12</v>
      </c>
      <c r="Z314">
        <v>2193.4</v>
      </c>
      <c r="AA314" t="s">
        <v>62</v>
      </c>
      <c r="AB314">
        <v>0</v>
      </c>
      <c r="AC314">
        <v>97.24</v>
      </c>
      <c r="AD314">
        <v>74</v>
      </c>
      <c r="AE314">
        <v>113</v>
      </c>
    </row>
    <row r="315" spans="1:31" x14ac:dyDescent="0.25">
      <c r="A315" t="s">
        <v>1648</v>
      </c>
      <c r="B315" t="s">
        <v>1649</v>
      </c>
      <c r="C315" s="1">
        <v>44371</v>
      </c>
      <c r="D315" s="1">
        <v>44268</v>
      </c>
      <c r="E315" t="s">
        <v>50</v>
      </c>
      <c r="F315" t="s">
        <v>146</v>
      </c>
      <c r="G315" t="s">
        <v>343</v>
      </c>
      <c r="H315" t="s">
        <v>79</v>
      </c>
      <c r="I315" t="s">
        <v>1650</v>
      </c>
      <c r="J315" t="s">
        <v>38</v>
      </c>
      <c r="K315" t="s">
        <v>94</v>
      </c>
      <c r="L315" t="s">
        <v>1651</v>
      </c>
      <c r="M315">
        <v>81.760000000000005</v>
      </c>
      <c r="N315">
        <v>60</v>
      </c>
      <c r="O315" t="s">
        <v>1652</v>
      </c>
      <c r="P315" t="s">
        <v>141</v>
      </c>
      <c r="Q315" t="s">
        <v>370</v>
      </c>
      <c r="R315" t="s">
        <v>60</v>
      </c>
      <c r="S315" t="s">
        <v>98</v>
      </c>
      <c r="T315" t="s">
        <v>1168</v>
      </c>
      <c r="U315">
        <v>3495</v>
      </c>
      <c r="V315">
        <v>125</v>
      </c>
      <c r="W315">
        <v>22</v>
      </c>
      <c r="X315">
        <v>169.91</v>
      </c>
      <c r="Y315">
        <v>235.23</v>
      </c>
      <c r="Z315">
        <v>405.14</v>
      </c>
      <c r="AA315" t="s">
        <v>62</v>
      </c>
      <c r="AB315">
        <v>0</v>
      </c>
      <c r="AC315">
        <v>84.05</v>
      </c>
      <c r="AD315">
        <v>109</v>
      </c>
      <c r="AE315">
        <v>84</v>
      </c>
    </row>
    <row r="316" spans="1:31" x14ac:dyDescent="0.25">
      <c r="A316" t="s">
        <v>1653</v>
      </c>
      <c r="B316" t="s">
        <v>1654</v>
      </c>
      <c r="C316" s="1">
        <v>45300</v>
      </c>
      <c r="D316" s="1">
        <v>45153</v>
      </c>
      <c r="E316" t="s">
        <v>50</v>
      </c>
      <c r="F316" t="s">
        <v>34</v>
      </c>
      <c r="G316" t="s">
        <v>66</v>
      </c>
      <c r="H316" t="s">
        <v>163</v>
      </c>
      <c r="I316" t="s">
        <v>1655</v>
      </c>
      <c r="J316" t="s">
        <v>38</v>
      </c>
      <c r="K316" t="s">
        <v>55</v>
      </c>
      <c r="L316" t="s">
        <v>1656</v>
      </c>
      <c r="M316">
        <v>115.69</v>
      </c>
      <c r="N316">
        <v>69</v>
      </c>
      <c r="O316" t="s">
        <v>1657</v>
      </c>
      <c r="P316" t="s">
        <v>58</v>
      </c>
      <c r="Q316" t="s">
        <v>97</v>
      </c>
      <c r="R316" t="s">
        <v>44</v>
      </c>
      <c r="S316" t="s">
        <v>73</v>
      </c>
      <c r="T316" t="s">
        <v>284</v>
      </c>
      <c r="U316">
        <v>2791</v>
      </c>
      <c r="V316">
        <v>174</v>
      </c>
      <c r="W316">
        <v>16</v>
      </c>
      <c r="X316">
        <v>245.36</v>
      </c>
      <c r="Y316">
        <v>367.06</v>
      </c>
      <c r="Z316">
        <v>612.42000000000007</v>
      </c>
      <c r="AA316" t="s">
        <v>62</v>
      </c>
      <c r="AB316">
        <v>0</v>
      </c>
      <c r="AC316">
        <v>77.78</v>
      </c>
      <c r="AD316">
        <v>423</v>
      </c>
      <c r="AE316">
        <v>383</v>
      </c>
    </row>
    <row r="317" spans="1:31" x14ac:dyDescent="0.25">
      <c r="A317" t="s">
        <v>1658</v>
      </c>
      <c r="B317" t="s">
        <v>1659</v>
      </c>
      <c r="C317" s="1">
        <v>43892</v>
      </c>
      <c r="D317" s="1">
        <v>45587</v>
      </c>
      <c r="E317" t="s">
        <v>65</v>
      </c>
      <c r="F317" t="s">
        <v>51</v>
      </c>
      <c r="G317" t="s">
        <v>52</v>
      </c>
      <c r="H317" t="s">
        <v>221</v>
      </c>
      <c r="I317" t="s">
        <v>1660</v>
      </c>
      <c r="J317" t="s">
        <v>38</v>
      </c>
      <c r="K317" t="s">
        <v>55</v>
      </c>
      <c r="L317" t="s">
        <v>1661</v>
      </c>
      <c r="M317">
        <v>260.05</v>
      </c>
      <c r="N317">
        <v>59</v>
      </c>
      <c r="O317" t="s">
        <v>1094</v>
      </c>
      <c r="P317" t="s">
        <v>141</v>
      </c>
      <c r="Q317" t="s">
        <v>370</v>
      </c>
      <c r="R317" t="s">
        <v>44</v>
      </c>
      <c r="S317" t="s">
        <v>87</v>
      </c>
      <c r="T317" t="s">
        <v>99</v>
      </c>
      <c r="U317">
        <v>1081</v>
      </c>
      <c r="V317">
        <v>327</v>
      </c>
      <c r="W317">
        <v>27</v>
      </c>
      <c r="X317">
        <v>1818.91</v>
      </c>
      <c r="Y317">
        <v>372.44</v>
      </c>
      <c r="Z317">
        <v>2191.35</v>
      </c>
      <c r="AA317" t="s">
        <v>62</v>
      </c>
      <c r="AB317">
        <v>0</v>
      </c>
      <c r="AC317">
        <v>79.650000000000006</v>
      </c>
      <c r="AD317">
        <v>291</v>
      </c>
      <c r="AE317">
        <v>260</v>
      </c>
    </row>
    <row r="318" spans="1:31" x14ac:dyDescent="0.25">
      <c r="A318" t="s">
        <v>1662</v>
      </c>
      <c r="B318" t="s">
        <v>1663</v>
      </c>
      <c r="C318" s="1">
        <v>43949</v>
      </c>
      <c r="D318" s="1">
        <v>45231</v>
      </c>
      <c r="E318" t="s">
        <v>50</v>
      </c>
      <c r="F318" t="s">
        <v>51</v>
      </c>
      <c r="G318" t="s">
        <v>78</v>
      </c>
      <c r="H318" t="s">
        <v>163</v>
      </c>
      <c r="I318" t="s">
        <v>1207</v>
      </c>
      <c r="J318" t="s">
        <v>38</v>
      </c>
      <c r="K318" t="s">
        <v>39</v>
      </c>
      <c r="L318" t="s">
        <v>1208</v>
      </c>
      <c r="M318">
        <v>18.329999999999998</v>
      </c>
      <c r="N318">
        <v>13</v>
      </c>
      <c r="O318" t="s">
        <v>1664</v>
      </c>
      <c r="P318" t="s">
        <v>84</v>
      </c>
      <c r="Q318" t="s">
        <v>238</v>
      </c>
      <c r="R318" t="s">
        <v>60</v>
      </c>
      <c r="S318" t="s">
        <v>87</v>
      </c>
      <c r="T318" t="s">
        <v>563</v>
      </c>
      <c r="U318">
        <v>1012</v>
      </c>
      <c r="V318">
        <v>357</v>
      </c>
      <c r="W318">
        <v>28</v>
      </c>
      <c r="X318">
        <v>1759.5</v>
      </c>
      <c r="Y318">
        <v>153.87</v>
      </c>
      <c r="Z318">
        <v>1913.37</v>
      </c>
      <c r="AA318" t="s">
        <v>62</v>
      </c>
      <c r="AB318">
        <v>0</v>
      </c>
      <c r="AC318">
        <v>83.64</v>
      </c>
      <c r="AD318">
        <v>244</v>
      </c>
      <c r="AE318">
        <v>236</v>
      </c>
    </row>
    <row r="319" spans="1:31" x14ac:dyDescent="0.25">
      <c r="A319" t="s">
        <v>1665</v>
      </c>
      <c r="B319" t="s">
        <v>992</v>
      </c>
      <c r="C319" s="1">
        <v>44066</v>
      </c>
      <c r="D319" s="1">
        <v>44742</v>
      </c>
      <c r="E319" t="s">
        <v>65</v>
      </c>
      <c r="F319" t="s">
        <v>146</v>
      </c>
      <c r="G319" t="s">
        <v>35</v>
      </c>
      <c r="H319" t="s">
        <v>114</v>
      </c>
      <c r="I319" t="s">
        <v>1666</v>
      </c>
      <c r="J319" t="s">
        <v>38</v>
      </c>
      <c r="K319" t="s">
        <v>39</v>
      </c>
      <c r="L319" t="s">
        <v>1667</v>
      </c>
      <c r="M319">
        <v>161.59</v>
      </c>
      <c r="N319">
        <v>49</v>
      </c>
      <c r="O319" t="s">
        <v>1668</v>
      </c>
      <c r="P319" t="s">
        <v>84</v>
      </c>
      <c r="Q319" t="s">
        <v>980</v>
      </c>
      <c r="R319" t="s">
        <v>60</v>
      </c>
      <c r="S319" t="s">
        <v>98</v>
      </c>
      <c r="T319" t="s">
        <v>533</v>
      </c>
      <c r="U319">
        <v>1119</v>
      </c>
      <c r="V319">
        <v>430</v>
      </c>
      <c r="W319">
        <v>22</v>
      </c>
      <c r="X319">
        <v>390.29</v>
      </c>
      <c r="Y319">
        <v>21.3</v>
      </c>
      <c r="Z319">
        <v>411.59</v>
      </c>
      <c r="AA319" t="s">
        <v>62</v>
      </c>
      <c r="AB319">
        <v>0</v>
      </c>
      <c r="AC319">
        <v>96.28</v>
      </c>
      <c r="AD319">
        <v>266</v>
      </c>
      <c r="AE319">
        <v>226</v>
      </c>
    </row>
    <row r="320" spans="1:31" x14ac:dyDescent="0.25">
      <c r="A320" t="s">
        <v>1669</v>
      </c>
      <c r="B320" t="s">
        <v>1670</v>
      </c>
      <c r="C320" s="1">
        <v>45005</v>
      </c>
      <c r="D320" s="1">
        <v>44140</v>
      </c>
      <c r="E320" t="s">
        <v>65</v>
      </c>
      <c r="F320" t="s">
        <v>34</v>
      </c>
      <c r="G320" t="s">
        <v>66</v>
      </c>
      <c r="H320" t="s">
        <v>163</v>
      </c>
      <c r="I320" t="s">
        <v>581</v>
      </c>
      <c r="J320" t="s">
        <v>38</v>
      </c>
      <c r="K320" t="s">
        <v>81</v>
      </c>
      <c r="L320" t="s">
        <v>582</v>
      </c>
      <c r="M320">
        <v>434.8</v>
      </c>
      <c r="N320">
        <v>98</v>
      </c>
      <c r="O320" t="s">
        <v>995</v>
      </c>
      <c r="P320" t="s">
        <v>108</v>
      </c>
      <c r="Q320" t="s">
        <v>59</v>
      </c>
      <c r="R320" t="s">
        <v>60</v>
      </c>
      <c r="S320" t="s">
        <v>126</v>
      </c>
      <c r="T320" t="s">
        <v>160</v>
      </c>
      <c r="U320">
        <v>3115</v>
      </c>
      <c r="V320">
        <v>321</v>
      </c>
      <c r="W320">
        <v>27</v>
      </c>
      <c r="X320">
        <v>1285.57</v>
      </c>
      <c r="Y320">
        <v>395.25</v>
      </c>
      <c r="Z320">
        <v>1680.82</v>
      </c>
      <c r="AA320" t="s">
        <v>62</v>
      </c>
      <c r="AB320">
        <v>0</v>
      </c>
      <c r="AC320">
        <v>83.3</v>
      </c>
      <c r="AD320">
        <v>441</v>
      </c>
      <c r="AE320">
        <v>468</v>
      </c>
    </row>
    <row r="321" spans="1:31" x14ac:dyDescent="0.25">
      <c r="A321" t="s">
        <v>1671</v>
      </c>
      <c r="B321" t="s">
        <v>1672</v>
      </c>
      <c r="C321" s="1">
        <v>44116</v>
      </c>
      <c r="D321" s="1">
        <v>44278</v>
      </c>
      <c r="E321" t="s">
        <v>65</v>
      </c>
      <c r="F321" t="s">
        <v>146</v>
      </c>
      <c r="G321" t="s">
        <v>78</v>
      </c>
      <c r="H321" t="s">
        <v>114</v>
      </c>
      <c r="I321" t="s">
        <v>1673</v>
      </c>
      <c r="J321" t="s">
        <v>38</v>
      </c>
      <c r="K321" t="s">
        <v>81</v>
      </c>
      <c r="L321" t="s">
        <v>1674</v>
      </c>
      <c r="M321">
        <v>148.68</v>
      </c>
      <c r="N321">
        <v>12</v>
      </c>
      <c r="O321" t="s">
        <v>1675</v>
      </c>
      <c r="P321" t="s">
        <v>108</v>
      </c>
      <c r="Q321" t="s">
        <v>327</v>
      </c>
      <c r="R321" t="s">
        <v>60</v>
      </c>
      <c r="S321" t="s">
        <v>73</v>
      </c>
      <c r="T321" t="s">
        <v>160</v>
      </c>
      <c r="U321">
        <v>2949</v>
      </c>
      <c r="V321">
        <v>360</v>
      </c>
      <c r="W321">
        <v>16</v>
      </c>
      <c r="X321">
        <v>847.71</v>
      </c>
      <c r="Y321">
        <v>457.99</v>
      </c>
      <c r="Z321">
        <v>1305.7</v>
      </c>
      <c r="AA321" t="s">
        <v>62</v>
      </c>
      <c r="AB321">
        <v>0</v>
      </c>
      <c r="AC321">
        <v>81.19</v>
      </c>
      <c r="AD321">
        <v>81</v>
      </c>
      <c r="AE321">
        <v>74</v>
      </c>
    </row>
    <row r="322" spans="1:31" x14ac:dyDescent="0.25">
      <c r="A322" t="s">
        <v>1676</v>
      </c>
      <c r="B322" t="s">
        <v>1677</v>
      </c>
      <c r="C322" s="1">
        <v>45553</v>
      </c>
      <c r="D322" s="1">
        <v>44899</v>
      </c>
      <c r="E322" t="s">
        <v>50</v>
      </c>
      <c r="F322" t="s">
        <v>34</v>
      </c>
      <c r="G322" t="s">
        <v>343</v>
      </c>
      <c r="H322" t="s">
        <v>36</v>
      </c>
      <c r="I322" t="s">
        <v>1678</v>
      </c>
      <c r="J322" t="s">
        <v>38</v>
      </c>
      <c r="K322" t="s">
        <v>81</v>
      </c>
      <c r="L322" t="s">
        <v>1679</v>
      </c>
      <c r="M322">
        <v>444.98</v>
      </c>
      <c r="N322">
        <v>31</v>
      </c>
      <c r="O322" t="s">
        <v>1680</v>
      </c>
      <c r="P322" t="s">
        <v>42</v>
      </c>
      <c r="Q322" t="s">
        <v>320</v>
      </c>
      <c r="R322" t="s">
        <v>44</v>
      </c>
      <c r="S322" t="s">
        <v>45</v>
      </c>
      <c r="T322" t="s">
        <v>170</v>
      </c>
      <c r="U322">
        <v>1050</v>
      </c>
      <c r="V322">
        <v>259</v>
      </c>
      <c r="W322">
        <v>18</v>
      </c>
      <c r="X322">
        <v>1375.21</v>
      </c>
      <c r="Y322">
        <v>166.39</v>
      </c>
      <c r="Z322">
        <v>1541.6</v>
      </c>
      <c r="AA322" t="s">
        <v>62</v>
      </c>
      <c r="AB322">
        <v>0</v>
      </c>
      <c r="AC322">
        <v>89.92</v>
      </c>
      <c r="AD322">
        <v>378</v>
      </c>
      <c r="AE322">
        <v>370</v>
      </c>
    </row>
    <row r="323" spans="1:31" x14ac:dyDescent="0.25">
      <c r="A323" t="s">
        <v>1681</v>
      </c>
      <c r="B323" t="s">
        <v>1682</v>
      </c>
      <c r="C323" s="1">
        <v>44892</v>
      </c>
      <c r="D323" s="1">
        <v>45004</v>
      </c>
      <c r="E323" t="s">
        <v>65</v>
      </c>
      <c r="F323" t="s">
        <v>77</v>
      </c>
      <c r="G323" t="s">
        <v>52</v>
      </c>
      <c r="H323" t="s">
        <v>53</v>
      </c>
      <c r="I323" t="s">
        <v>1683</v>
      </c>
      <c r="J323" t="s">
        <v>38</v>
      </c>
      <c r="K323" t="s">
        <v>735</v>
      </c>
      <c r="L323" t="s">
        <v>1684</v>
      </c>
      <c r="M323">
        <v>67.19</v>
      </c>
      <c r="N323">
        <v>33</v>
      </c>
      <c r="O323" t="s">
        <v>1685</v>
      </c>
      <c r="P323" t="s">
        <v>42</v>
      </c>
      <c r="Q323" t="s">
        <v>97</v>
      </c>
      <c r="R323" t="s">
        <v>60</v>
      </c>
      <c r="S323" t="s">
        <v>126</v>
      </c>
      <c r="T323" t="s">
        <v>563</v>
      </c>
      <c r="U323">
        <v>2248</v>
      </c>
      <c r="V323">
        <v>74</v>
      </c>
      <c r="W323">
        <v>17</v>
      </c>
      <c r="X323">
        <v>1632.49</v>
      </c>
      <c r="Y323">
        <v>184.66</v>
      </c>
      <c r="Z323">
        <v>1817.15</v>
      </c>
      <c r="AA323" t="s">
        <v>62</v>
      </c>
      <c r="AB323">
        <v>0</v>
      </c>
      <c r="AC323">
        <v>91.71</v>
      </c>
      <c r="AD323">
        <v>172</v>
      </c>
      <c r="AE323">
        <v>197</v>
      </c>
    </row>
    <row r="324" spans="1:31" x14ac:dyDescent="0.25">
      <c r="A324" t="s">
        <v>1686</v>
      </c>
      <c r="B324" t="s">
        <v>1687</v>
      </c>
      <c r="C324" s="1">
        <v>43879</v>
      </c>
      <c r="D324" s="1">
        <v>44157</v>
      </c>
      <c r="E324" t="s">
        <v>50</v>
      </c>
      <c r="F324" t="s">
        <v>34</v>
      </c>
      <c r="G324" t="s">
        <v>52</v>
      </c>
      <c r="H324" t="s">
        <v>114</v>
      </c>
      <c r="I324" t="s">
        <v>647</v>
      </c>
      <c r="J324" t="s">
        <v>165</v>
      </c>
      <c r="K324" t="s">
        <v>166</v>
      </c>
      <c r="L324" t="s">
        <v>648</v>
      </c>
      <c r="M324">
        <v>368.08</v>
      </c>
      <c r="N324">
        <v>26</v>
      </c>
      <c r="O324" t="s">
        <v>340</v>
      </c>
      <c r="P324" t="s">
        <v>42</v>
      </c>
      <c r="Q324" t="s">
        <v>191</v>
      </c>
      <c r="R324" t="s">
        <v>60</v>
      </c>
      <c r="S324" t="s">
        <v>126</v>
      </c>
      <c r="T324" t="s">
        <v>321</v>
      </c>
      <c r="U324">
        <v>990</v>
      </c>
      <c r="V324">
        <v>223</v>
      </c>
      <c r="W324">
        <v>1</v>
      </c>
      <c r="X324">
        <v>602.34</v>
      </c>
      <c r="Y324">
        <v>68.13</v>
      </c>
      <c r="Z324">
        <v>670.47</v>
      </c>
      <c r="AA324" t="s">
        <v>62</v>
      </c>
      <c r="AB324">
        <v>0</v>
      </c>
      <c r="AC324">
        <v>77.27</v>
      </c>
      <c r="AD324">
        <v>114</v>
      </c>
      <c r="AE324">
        <v>115</v>
      </c>
    </row>
    <row r="325" spans="1:31" x14ac:dyDescent="0.25">
      <c r="A325" t="s">
        <v>1688</v>
      </c>
      <c r="B325" t="s">
        <v>1689</v>
      </c>
      <c r="C325" s="1">
        <v>44779</v>
      </c>
      <c r="D325" s="1">
        <v>45455</v>
      </c>
      <c r="E325" t="s">
        <v>65</v>
      </c>
      <c r="F325" t="s">
        <v>51</v>
      </c>
      <c r="G325" t="s">
        <v>66</v>
      </c>
      <c r="H325" t="s">
        <v>36</v>
      </c>
      <c r="I325" t="s">
        <v>1690</v>
      </c>
      <c r="J325" t="s">
        <v>104</v>
      </c>
      <c r="K325" t="s">
        <v>181</v>
      </c>
      <c r="L325" t="s">
        <v>1691</v>
      </c>
      <c r="M325">
        <v>74.599999999999994</v>
      </c>
      <c r="N325">
        <v>48</v>
      </c>
      <c r="O325" t="s">
        <v>1692</v>
      </c>
      <c r="P325" t="s">
        <v>141</v>
      </c>
      <c r="Q325" t="s">
        <v>295</v>
      </c>
      <c r="R325" t="s">
        <v>44</v>
      </c>
      <c r="S325" t="s">
        <v>73</v>
      </c>
      <c r="T325" t="s">
        <v>371</v>
      </c>
      <c r="U325">
        <v>3024</v>
      </c>
      <c r="V325">
        <v>353</v>
      </c>
      <c r="W325">
        <v>26</v>
      </c>
      <c r="X325">
        <v>571.69000000000005</v>
      </c>
      <c r="Y325">
        <v>10.44</v>
      </c>
      <c r="Z325">
        <v>582.13000000000011</v>
      </c>
      <c r="AA325" t="s">
        <v>62</v>
      </c>
      <c r="AB325">
        <v>0</v>
      </c>
      <c r="AC325">
        <v>71.540000000000006</v>
      </c>
      <c r="AD325">
        <v>477</v>
      </c>
      <c r="AE325">
        <v>437</v>
      </c>
    </row>
    <row r="326" spans="1:31" x14ac:dyDescent="0.25">
      <c r="A326" t="s">
        <v>1693</v>
      </c>
      <c r="B326" t="s">
        <v>1694</v>
      </c>
      <c r="C326" s="1">
        <v>45025</v>
      </c>
      <c r="D326" s="1">
        <v>44180</v>
      </c>
      <c r="E326" t="s">
        <v>65</v>
      </c>
      <c r="F326" t="s">
        <v>77</v>
      </c>
      <c r="G326" t="s">
        <v>66</v>
      </c>
      <c r="H326" t="s">
        <v>147</v>
      </c>
      <c r="I326" t="s">
        <v>1695</v>
      </c>
      <c r="J326" t="s">
        <v>104</v>
      </c>
      <c r="K326" t="s">
        <v>181</v>
      </c>
      <c r="L326" t="s">
        <v>1696</v>
      </c>
      <c r="M326">
        <v>488.27</v>
      </c>
      <c r="N326">
        <v>31</v>
      </c>
      <c r="O326" t="s">
        <v>1697</v>
      </c>
      <c r="P326" t="s">
        <v>58</v>
      </c>
      <c r="Q326" t="s">
        <v>151</v>
      </c>
      <c r="R326" t="s">
        <v>44</v>
      </c>
      <c r="S326" t="s">
        <v>45</v>
      </c>
      <c r="T326" t="s">
        <v>910</v>
      </c>
      <c r="U326">
        <v>1605</v>
      </c>
      <c r="V326">
        <v>229</v>
      </c>
      <c r="W326">
        <v>10</v>
      </c>
      <c r="X326">
        <v>1398.28</v>
      </c>
      <c r="Y326">
        <v>12.55</v>
      </c>
      <c r="Z326">
        <v>1410.83</v>
      </c>
      <c r="AA326" t="s">
        <v>62</v>
      </c>
      <c r="AB326">
        <v>0</v>
      </c>
      <c r="AC326">
        <v>92.16</v>
      </c>
      <c r="AD326">
        <v>396</v>
      </c>
      <c r="AE326">
        <v>394</v>
      </c>
    </row>
    <row r="327" spans="1:31" x14ac:dyDescent="0.25">
      <c r="A327" t="s">
        <v>1698</v>
      </c>
      <c r="B327" t="s">
        <v>1699</v>
      </c>
      <c r="C327" s="1">
        <v>43885</v>
      </c>
      <c r="D327" s="1">
        <v>44122</v>
      </c>
      <c r="E327" t="s">
        <v>65</v>
      </c>
      <c r="F327" t="s">
        <v>51</v>
      </c>
      <c r="G327" t="s">
        <v>52</v>
      </c>
      <c r="H327" t="s">
        <v>53</v>
      </c>
      <c r="I327" t="s">
        <v>1700</v>
      </c>
      <c r="J327" t="s">
        <v>104</v>
      </c>
      <c r="K327" t="s">
        <v>554</v>
      </c>
      <c r="L327" t="s">
        <v>1701</v>
      </c>
      <c r="M327">
        <v>412.38</v>
      </c>
      <c r="N327">
        <v>71</v>
      </c>
      <c r="O327" t="s">
        <v>1265</v>
      </c>
      <c r="P327" t="s">
        <v>58</v>
      </c>
      <c r="Q327" t="s">
        <v>97</v>
      </c>
      <c r="R327" t="s">
        <v>44</v>
      </c>
      <c r="S327" t="s">
        <v>126</v>
      </c>
      <c r="T327" t="s">
        <v>278</v>
      </c>
      <c r="U327">
        <v>4511</v>
      </c>
      <c r="V327">
        <v>54</v>
      </c>
      <c r="W327">
        <v>20</v>
      </c>
      <c r="X327">
        <v>1633.48</v>
      </c>
      <c r="Y327">
        <v>53.47</v>
      </c>
      <c r="Z327">
        <v>1686.95</v>
      </c>
      <c r="AA327" t="s">
        <v>62</v>
      </c>
      <c r="AB327">
        <v>0</v>
      </c>
      <c r="AC327">
        <v>83.12</v>
      </c>
      <c r="AD327">
        <v>411</v>
      </c>
      <c r="AE327">
        <v>445</v>
      </c>
    </row>
    <row r="328" spans="1:31" x14ac:dyDescent="0.25">
      <c r="A328" t="s">
        <v>1702</v>
      </c>
      <c r="B328" t="s">
        <v>1703</v>
      </c>
      <c r="C328" s="1">
        <v>45633</v>
      </c>
      <c r="D328" s="1">
        <v>44915</v>
      </c>
      <c r="E328" t="s">
        <v>33</v>
      </c>
      <c r="F328" t="s">
        <v>51</v>
      </c>
      <c r="G328" t="s">
        <v>113</v>
      </c>
      <c r="H328" t="s">
        <v>67</v>
      </c>
      <c r="I328" t="s">
        <v>1704</v>
      </c>
      <c r="J328" t="s">
        <v>104</v>
      </c>
      <c r="K328" t="s">
        <v>554</v>
      </c>
      <c r="L328" t="s">
        <v>1705</v>
      </c>
      <c r="M328">
        <v>288.37</v>
      </c>
      <c r="N328">
        <v>82</v>
      </c>
      <c r="O328" t="s">
        <v>289</v>
      </c>
      <c r="P328" t="s">
        <v>108</v>
      </c>
      <c r="Q328" t="s">
        <v>109</v>
      </c>
      <c r="R328" t="s">
        <v>60</v>
      </c>
      <c r="S328" t="s">
        <v>45</v>
      </c>
      <c r="T328" t="s">
        <v>267</v>
      </c>
      <c r="U328">
        <v>3927</v>
      </c>
      <c r="V328">
        <v>377</v>
      </c>
      <c r="W328">
        <v>27</v>
      </c>
      <c r="X328">
        <v>109.87</v>
      </c>
      <c r="Y328">
        <v>424.9</v>
      </c>
      <c r="Z328">
        <v>534.77</v>
      </c>
      <c r="AA328" t="s">
        <v>62</v>
      </c>
      <c r="AB328">
        <v>0</v>
      </c>
      <c r="AC328">
        <v>78.31</v>
      </c>
      <c r="AD328">
        <v>426</v>
      </c>
      <c r="AE328">
        <v>399</v>
      </c>
    </row>
    <row r="329" spans="1:31" x14ac:dyDescent="0.25">
      <c r="A329" t="s">
        <v>1706</v>
      </c>
      <c r="B329" t="s">
        <v>1707</v>
      </c>
      <c r="C329" s="1">
        <v>44428</v>
      </c>
      <c r="D329" s="1">
        <v>43976</v>
      </c>
      <c r="E329" t="s">
        <v>33</v>
      </c>
      <c r="F329" t="s">
        <v>77</v>
      </c>
      <c r="G329" t="s">
        <v>35</v>
      </c>
      <c r="H329" t="s">
        <v>163</v>
      </c>
      <c r="I329" t="s">
        <v>1708</v>
      </c>
      <c r="J329" t="s">
        <v>38</v>
      </c>
      <c r="K329" t="s">
        <v>94</v>
      </c>
      <c r="L329" t="s">
        <v>1709</v>
      </c>
      <c r="M329">
        <v>85.45</v>
      </c>
      <c r="N329">
        <v>27</v>
      </c>
      <c r="O329" t="s">
        <v>1710</v>
      </c>
      <c r="P329" t="s">
        <v>42</v>
      </c>
      <c r="Q329" t="s">
        <v>142</v>
      </c>
      <c r="R329" t="s">
        <v>60</v>
      </c>
      <c r="S329" t="s">
        <v>87</v>
      </c>
      <c r="T329" t="s">
        <v>371</v>
      </c>
      <c r="U329">
        <v>1917</v>
      </c>
      <c r="V329">
        <v>355</v>
      </c>
      <c r="W329">
        <v>7</v>
      </c>
      <c r="X329">
        <v>167.97</v>
      </c>
      <c r="Y329">
        <v>319.38</v>
      </c>
      <c r="Z329">
        <v>487.35</v>
      </c>
      <c r="AA329" t="s">
        <v>62</v>
      </c>
      <c r="AB329">
        <v>0</v>
      </c>
      <c r="AC329">
        <v>97.17</v>
      </c>
      <c r="AD329">
        <v>166</v>
      </c>
      <c r="AE329">
        <v>165</v>
      </c>
    </row>
    <row r="330" spans="1:31" x14ac:dyDescent="0.25">
      <c r="A330" t="s">
        <v>1711</v>
      </c>
      <c r="B330" t="s">
        <v>1712</v>
      </c>
      <c r="C330" s="1">
        <v>45220</v>
      </c>
      <c r="D330" s="1">
        <v>43891</v>
      </c>
      <c r="E330" t="s">
        <v>50</v>
      </c>
      <c r="F330" t="s">
        <v>77</v>
      </c>
      <c r="G330" t="s">
        <v>78</v>
      </c>
      <c r="H330" t="s">
        <v>36</v>
      </c>
      <c r="I330" t="s">
        <v>1713</v>
      </c>
      <c r="J330" t="s">
        <v>38</v>
      </c>
      <c r="K330" t="s">
        <v>55</v>
      </c>
      <c r="L330" t="s">
        <v>1714</v>
      </c>
      <c r="M330">
        <v>201.32</v>
      </c>
      <c r="N330">
        <v>13</v>
      </c>
      <c r="O330" t="s">
        <v>915</v>
      </c>
      <c r="P330" t="s">
        <v>84</v>
      </c>
      <c r="Q330" t="s">
        <v>327</v>
      </c>
      <c r="R330" t="s">
        <v>44</v>
      </c>
      <c r="S330" t="s">
        <v>126</v>
      </c>
      <c r="T330" t="s">
        <v>563</v>
      </c>
      <c r="U330">
        <v>71</v>
      </c>
      <c r="V330">
        <v>400</v>
      </c>
      <c r="W330">
        <v>24</v>
      </c>
      <c r="X330">
        <v>140.58000000000001</v>
      </c>
      <c r="Y330">
        <v>113.57</v>
      </c>
      <c r="Z330">
        <v>254.15</v>
      </c>
      <c r="AA330" t="s">
        <v>62</v>
      </c>
      <c r="AB330">
        <v>0</v>
      </c>
      <c r="AC330">
        <v>82.27</v>
      </c>
      <c r="AD330">
        <v>255</v>
      </c>
      <c r="AE330">
        <v>208</v>
      </c>
    </row>
    <row r="331" spans="1:31" x14ac:dyDescent="0.25">
      <c r="A331" t="s">
        <v>1715</v>
      </c>
      <c r="B331" t="s">
        <v>1716</v>
      </c>
      <c r="C331" s="1">
        <v>43900</v>
      </c>
      <c r="D331" s="1">
        <v>45118</v>
      </c>
      <c r="E331" t="s">
        <v>50</v>
      </c>
      <c r="F331" t="s">
        <v>91</v>
      </c>
      <c r="G331" t="s">
        <v>92</v>
      </c>
      <c r="H331" t="s">
        <v>36</v>
      </c>
      <c r="I331" t="s">
        <v>1717</v>
      </c>
      <c r="J331" t="s">
        <v>38</v>
      </c>
      <c r="K331" t="s">
        <v>55</v>
      </c>
      <c r="L331" t="s">
        <v>1718</v>
      </c>
      <c r="M331">
        <v>114.67</v>
      </c>
      <c r="N331">
        <v>92</v>
      </c>
      <c r="O331" t="s">
        <v>1719</v>
      </c>
      <c r="P331" t="s">
        <v>141</v>
      </c>
      <c r="Q331" t="s">
        <v>85</v>
      </c>
      <c r="R331" t="s">
        <v>86</v>
      </c>
      <c r="S331" t="s">
        <v>126</v>
      </c>
      <c r="T331" t="s">
        <v>563</v>
      </c>
      <c r="U331">
        <v>864</v>
      </c>
      <c r="V331">
        <v>419</v>
      </c>
      <c r="W331">
        <v>4</v>
      </c>
      <c r="X331">
        <v>1669.6</v>
      </c>
      <c r="Y331">
        <v>397.87</v>
      </c>
      <c r="Z331">
        <v>2067.4699999999998</v>
      </c>
      <c r="AA331" t="s">
        <v>62</v>
      </c>
      <c r="AB331">
        <v>0</v>
      </c>
      <c r="AC331">
        <v>78.87</v>
      </c>
      <c r="AD331">
        <v>456</v>
      </c>
      <c r="AE331">
        <v>471</v>
      </c>
    </row>
    <row r="332" spans="1:31" x14ac:dyDescent="0.25">
      <c r="A332" t="s">
        <v>1720</v>
      </c>
      <c r="B332" t="s">
        <v>1721</v>
      </c>
      <c r="C332" s="1">
        <v>44505</v>
      </c>
      <c r="D332" s="1">
        <v>44323</v>
      </c>
      <c r="E332" t="s">
        <v>50</v>
      </c>
      <c r="F332" t="s">
        <v>91</v>
      </c>
      <c r="G332" t="s">
        <v>113</v>
      </c>
      <c r="H332" t="s">
        <v>79</v>
      </c>
      <c r="I332" t="s">
        <v>1722</v>
      </c>
      <c r="J332" t="s">
        <v>38</v>
      </c>
      <c r="K332" t="s">
        <v>39</v>
      </c>
      <c r="L332" t="s">
        <v>1723</v>
      </c>
      <c r="M332">
        <v>20.45</v>
      </c>
      <c r="N332">
        <v>5</v>
      </c>
      <c r="O332" t="s">
        <v>1724</v>
      </c>
      <c r="P332" t="s">
        <v>58</v>
      </c>
      <c r="Q332" t="s">
        <v>191</v>
      </c>
      <c r="R332" t="s">
        <v>86</v>
      </c>
      <c r="S332" t="s">
        <v>73</v>
      </c>
      <c r="T332" t="s">
        <v>267</v>
      </c>
      <c r="U332">
        <v>1259</v>
      </c>
      <c r="V332">
        <v>275</v>
      </c>
      <c r="W332">
        <v>5</v>
      </c>
      <c r="X332">
        <v>1881.61</v>
      </c>
      <c r="Y332">
        <v>334.16</v>
      </c>
      <c r="Z332">
        <v>2215.77</v>
      </c>
      <c r="AA332" t="s">
        <v>62</v>
      </c>
      <c r="AB332">
        <v>0</v>
      </c>
      <c r="AC332">
        <v>74.05</v>
      </c>
      <c r="AD332">
        <v>289</v>
      </c>
      <c r="AE332">
        <v>273</v>
      </c>
    </row>
    <row r="333" spans="1:31" x14ac:dyDescent="0.25">
      <c r="A333" t="s">
        <v>1725</v>
      </c>
      <c r="B333" t="s">
        <v>1726</v>
      </c>
      <c r="C333" s="1">
        <v>44866</v>
      </c>
      <c r="D333" s="1">
        <v>45077</v>
      </c>
      <c r="E333" t="s">
        <v>65</v>
      </c>
      <c r="F333" t="s">
        <v>91</v>
      </c>
      <c r="G333" t="s">
        <v>102</v>
      </c>
      <c r="H333" t="s">
        <v>67</v>
      </c>
      <c r="I333" t="s">
        <v>1727</v>
      </c>
      <c r="J333" t="s">
        <v>38</v>
      </c>
      <c r="K333" t="s">
        <v>39</v>
      </c>
      <c r="L333" t="s">
        <v>1728</v>
      </c>
      <c r="M333">
        <v>443.34</v>
      </c>
      <c r="N333">
        <v>20</v>
      </c>
      <c r="O333" t="s">
        <v>1564</v>
      </c>
      <c r="P333" t="s">
        <v>84</v>
      </c>
      <c r="Q333" t="s">
        <v>377</v>
      </c>
      <c r="R333" t="s">
        <v>44</v>
      </c>
      <c r="S333" t="s">
        <v>126</v>
      </c>
      <c r="T333" t="s">
        <v>910</v>
      </c>
      <c r="U333">
        <v>3253</v>
      </c>
      <c r="V333">
        <v>205</v>
      </c>
      <c r="W333">
        <v>23</v>
      </c>
      <c r="X333">
        <v>319.27</v>
      </c>
      <c r="Y333">
        <v>264.20999999999998</v>
      </c>
      <c r="Z333">
        <v>583.48</v>
      </c>
      <c r="AA333" t="s">
        <v>62</v>
      </c>
      <c r="AB333">
        <v>0</v>
      </c>
      <c r="AC333">
        <v>89.79</v>
      </c>
      <c r="AD333">
        <v>372</v>
      </c>
      <c r="AE333">
        <v>346</v>
      </c>
    </row>
    <row r="334" spans="1:31" x14ac:dyDescent="0.25">
      <c r="A334" t="s">
        <v>1729</v>
      </c>
      <c r="B334" t="s">
        <v>1730</v>
      </c>
      <c r="C334" s="1">
        <v>44090</v>
      </c>
      <c r="D334" s="1">
        <v>44433</v>
      </c>
      <c r="E334" t="s">
        <v>50</v>
      </c>
      <c r="F334" t="s">
        <v>91</v>
      </c>
      <c r="G334" t="s">
        <v>343</v>
      </c>
      <c r="H334" t="s">
        <v>114</v>
      </c>
      <c r="I334" t="s">
        <v>1731</v>
      </c>
      <c r="J334" t="s">
        <v>38</v>
      </c>
      <c r="K334" t="s">
        <v>735</v>
      </c>
      <c r="L334" t="s">
        <v>1732</v>
      </c>
      <c r="M334">
        <v>265.19</v>
      </c>
      <c r="N334">
        <v>43</v>
      </c>
      <c r="O334" t="s">
        <v>1733</v>
      </c>
      <c r="P334" t="s">
        <v>141</v>
      </c>
      <c r="Q334" t="s">
        <v>238</v>
      </c>
      <c r="R334" t="s">
        <v>60</v>
      </c>
      <c r="S334" t="s">
        <v>126</v>
      </c>
      <c r="T334" t="s">
        <v>922</v>
      </c>
      <c r="U334">
        <v>1614</v>
      </c>
      <c r="V334">
        <v>161</v>
      </c>
      <c r="W334">
        <v>24</v>
      </c>
      <c r="X334">
        <v>320.54000000000002</v>
      </c>
      <c r="Y334">
        <v>495.57</v>
      </c>
      <c r="Z334">
        <v>816.11</v>
      </c>
      <c r="AA334" t="s">
        <v>62</v>
      </c>
      <c r="AB334">
        <v>0</v>
      </c>
      <c r="AC334">
        <v>82.78</v>
      </c>
      <c r="AD334">
        <v>207</v>
      </c>
      <c r="AE334">
        <v>179</v>
      </c>
    </row>
    <row r="335" spans="1:31" x14ac:dyDescent="0.25">
      <c r="A335" t="s">
        <v>1734</v>
      </c>
      <c r="B335" t="s">
        <v>1735</v>
      </c>
      <c r="C335" s="1">
        <v>44876</v>
      </c>
      <c r="D335" s="1">
        <v>44082</v>
      </c>
      <c r="E335" t="s">
        <v>65</v>
      </c>
      <c r="F335" t="s">
        <v>77</v>
      </c>
      <c r="G335" t="s">
        <v>66</v>
      </c>
      <c r="H335" t="s">
        <v>67</v>
      </c>
      <c r="I335" t="s">
        <v>1736</v>
      </c>
      <c r="J335" t="s">
        <v>165</v>
      </c>
      <c r="K335" t="s">
        <v>202</v>
      </c>
      <c r="L335" t="s">
        <v>1737</v>
      </c>
      <c r="M335">
        <v>367.36</v>
      </c>
      <c r="N335">
        <v>50</v>
      </c>
      <c r="O335" t="s">
        <v>789</v>
      </c>
      <c r="P335" t="s">
        <v>84</v>
      </c>
      <c r="Q335" t="s">
        <v>909</v>
      </c>
      <c r="R335" t="s">
        <v>86</v>
      </c>
      <c r="S335" t="s">
        <v>126</v>
      </c>
      <c r="T335" t="s">
        <v>225</v>
      </c>
      <c r="U335">
        <v>3373</v>
      </c>
      <c r="V335">
        <v>107</v>
      </c>
      <c r="W335">
        <v>21</v>
      </c>
      <c r="X335">
        <v>1142.1099999999999</v>
      </c>
      <c r="Y335">
        <v>326.73</v>
      </c>
      <c r="Z335">
        <v>1468.84</v>
      </c>
      <c r="AA335" t="s">
        <v>62</v>
      </c>
      <c r="AB335">
        <v>0</v>
      </c>
      <c r="AC335">
        <v>79.959999999999994</v>
      </c>
      <c r="AD335">
        <v>476</v>
      </c>
      <c r="AE335">
        <v>436</v>
      </c>
    </row>
    <row r="336" spans="1:31" x14ac:dyDescent="0.25">
      <c r="A336" t="s">
        <v>1738</v>
      </c>
      <c r="B336" t="s">
        <v>1739</v>
      </c>
      <c r="C336" s="1">
        <v>43874</v>
      </c>
      <c r="D336" s="1">
        <v>44778</v>
      </c>
      <c r="E336" t="s">
        <v>65</v>
      </c>
      <c r="F336" t="s">
        <v>146</v>
      </c>
      <c r="G336" t="s">
        <v>78</v>
      </c>
      <c r="H336" t="s">
        <v>147</v>
      </c>
      <c r="I336" t="s">
        <v>1740</v>
      </c>
      <c r="J336" t="s">
        <v>165</v>
      </c>
      <c r="K336" t="s">
        <v>202</v>
      </c>
      <c r="L336" t="s">
        <v>1741</v>
      </c>
      <c r="M336">
        <v>62.8</v>
      </c>
      <c r="N336">
        <v>75</v>
      </c>
      <c r="O336" t="s">
        <v>1630</v>
      </c>
      <c r="P336" t="s">
        <v>141</v>
      </c>
      <c r="Q336" t="s">
        <v>613</v>
      </c>
      <c r="R336" t="s">
        <v>60</v>
      </c>
      <c r="S336" t="s">
        <v>45</v>
      </c>
      <c r="T336" t="s">
        <v>347</v>
      </c>
      <c r="U336">
        <v>2668</v>
      </c>
      <c r="V336">
        <v>481</v>
      </c>
      <c r="W336">
        <v>9</v>
      </c>
      <c r="X336">
        <v>80.31</v>
      </c>
      <c r="Y336">
        <v>125.24</v>
      </c>
      <c r="Z336">
        <v>205.55</v>
      </c>
      <c r="AA336" t="s">
        <v>62</v>
      </c>
      <c r="AB336">
        <v>0</v>
      </c>
      <c r="AC336">
        <v>99.17</v>
      </c>
      <c r="AD336">
        <v>408</v>
      </c>
      <c r="AE336">
        <v>406</v>
      </c>
    </row>
    <row r="337" spans="1:31" x14ac:dyDescent="0.25">
      <c r="A337" t="s">
        <v>1742</v>
      </c>
      <c r="B337" t="s">
        <v>1743</v>
      </c>
      <c r="C337" s="1">
        <v>45560</v>
      </c>
      <c r="D337" s="1">
        <v>44805</v>
      </c>
      <c r="E337" t="s">
        <v>65</v>
      </c>
      <c r="F337" t="s">
        <v>34</v>
      </c>
      <c r="G337" t="s">
        <v>35</v>
      </c>
      <c r="H337" t="s">
        <v>53</v>
      </c>
      <c r="I337" t="s">
        <v>1744</v>
      </c>
      <c r="J337" t="s">
        <v>165</v>
      </c>
      <c r="K337" t="s">
        <v>202</v>
      </c>
      <c r="L337" t="s">
        <v>1745</v>
      </c>
      <c r="M337">
        <v>121.68</v>
      </c>
      <c r="N337">
        <v>59</v>
      </c>
      <c r="O337" t="s">
        <v>1746</v>
      </c>
      <c r="P337" t="s">
        <v>58</v>
      </c>
      <c r="Q337" t="s">
        <v>109</v>
      </c>
      <c r="R337" t="s">
        <v>86</v>
      </c>
      <c r="S337" t="s">
        <v>73</v>
      </c>
      <c r="T337" t="s">
        <v>644</v>
      </c>
      <c r="U337">
        <v>2504</v>
      </c>
      <c r="V337">
        <v>97</v>
      </c>
      <c r="W337">
        <v>5</v>
      </c>
      <c r="X337">
        <v>141.19999999999999</v>
      </c>
      <c r="Y337">
        <v>171.69</v>
      </c>
      <c r="Z337">
        <v>312.89</v>
      </c>
      <c r="AA337" t="s">
        <v>47</v>
      </c>
      <c r="AB337">
        <v>5</v>
      </c>
      <c r="AC337">
        <v>88.32</v>
      </c>
      <c r="AD337">
        <v>418</v>
      </c>
      <c r="AE337">
        <v>421</v>
      </c>
    </row>
    <row r="338" spans="1:31" x14ac:dyDescent="0.25">
      <c r="A338" t="s">
        <v>1747</v>
      </c>
      <c r="B338" t="s">
        <v>1748</v>
      </c>
      <c r="C338" s="1">
        <v>44076</v>
      </c>
      <c r="D338" s="1">
        <v>44567</v>
      </c>
      <c r="E338" t="s">
        <v>65</v>
      </c>
      <c r="F338" t="s">
        <v>91</v>
      </c>
      <c r="G338" t="s">
        <v>66</v>
      </c>
      <c r="H338" t="s">
        <v>114</v>
      </c>
      <c r="I338" t="s">
        <v>1749</v>
      </c>
      <c r="J338" t="s">
        <v>104</v>
      </c>
      <c r="K338" t="s">
        <v>181</v>
      </c>
      <c r="L338" t="s">
        <v>1750</v>
      </c>
      <c r="M338">
        <v>462.78</v>
      </c>
      <c r="N338">
        <v>59</v>
      </c>
      <c r="O338" t="s">
        <v>1751</v>
      </c>
      <c r="P338" t="s">
        <v>84</v>
      </c>
      <c r="Q338" t="s">
        <v>320</v>
      </c>
      <c r="R338" t="s">
        <v>60</v>
      </c>
      <c r="S338" t="s">
        <v>73</v>
      </c>
      <c r="T338" t="s">
        <v>170</v>
      </c>
      <c r="U338">
        <v>4228</v>
      </c>
      <c r="V338">
        <v>401</v>
      </c>
      <c r="W338">
        <v>17</v>
      </c>
      <c r="X338">
        <v>777.06</v>
      </c>
      <c r="Y338">
        <v>330.13</v>
      </c>
      <c r="Z338">
        <v>1107.19</v>
      </c>
      <c r="AA338" t="s">
        <v>62</v>
      </c>
      <c r="AB338">
        <v>0</v>
      </c>
      <c r="AC338">
        <v>87.28</v>
      </c>
      <c r="AD338">
        <v>214</v>
      </c>
      <c r="AE338">
        <v>193</v>
      </c>
    </row>
    <row r="339" spans="1:31" x14ac:dyDescent="0.25">
      <c r="A339" t="s">
        <v>1752</v>
      </c>
      <c r="B339" t="s">
        <v>1753</v>
      </c>
      <c r="C339" s="1">
        <v>44798</v>
      </c>
      <c r="D339" s="1">
        <v>45433</v>
      </c>
      <c r="E339" t="s">
        <v>65</v>
      </c>
      <c r="F339" t="s">
        <v>146</v>
      </c>
      <c r="G339" t="s">
        <v>343</v>
      </c>
      <c r="H339" t="s">
        <v>221</v>
      </c>
      <c r="I339" t="s">
        <v>1754</v>
      </c>
      <c r="J339" t="s">
        <v>38</v>
      </c>
      <c r="K339" t="s">
        <v>39</v>
      </c>
      <c r="L339" t="s">
        <v>1755</v>
      </c>
      <c r="M339">
        <v>63.77</v>
      </c>
      <c r="N339">
        <v>20</v>
      </c>
      <c r="O339" t="s">
        <v>1756</v>
      </c>
      <c r="P339" t="s">
        <v>108</v>
      </c>
      <c r="Q339" t="s">
        <v>708</v>
      </c>
      <c r="R339" t="s">
        <v>86</v>
      </c>
      <c r="S339" t="s">
        <v>73</v>
      </c>
      <c r="T339" t="s">
        <v>1004</v>
      </c>
      <c r="U339">
        <v>3926</v>
      </c>
      <c r="V339">
        <v>84</v>
      </c>
      <c r="W339">
        <v>10</v>
      </c>
      <c r="X339">
        <v>1378.05</v>
      </c>
      <c r="Y339">
        <v>33.08</v>
      </c>
      <c r="Z339">
        <v>1411.13</v>
      </c>
      <c r="AA339" t="s">
        <v>62</v>
      </c>
      <c r="AB339">
        <v>0</v>
      </c>
      <c r="AC339">
        <v>88.5</v>
      </c>
      <c r="AD339">
        <v>206</v>
      </c>
      <c r="AE339">
        <v>246</v>
      </c>
    </row>
    <row r="340" spans="1:31" x14ac:dyDescent="0.25">
      <c r="A340" t="s">
        <v>1757</v>
      </c>
      <c r="B340" t="s">
        <v>1758</v>
      </c>
      <c r="C340" s="1">
        <v>44814</v>
      </c>
      <c r="D340" s="1">
        <v>44912</v>
      </c>
      <c r="E340" t="s">
        <v>65</v>
      </c>
      <c r="F340" t="s">
        <v>34</v>
      </c>
      <c r="G340" t="s">
        <v>102</v>
      </c>
      <c r="H340" t="s">
        <v>163</v>
      </c>
      <c r="I340" t="s">
        <v>1759</v>
      </c>
      <c r="J340" t="s">
        <v>38</v>
      </c>
      <c r="K340" t="s">
        <v>39</v>
      </c>
      <c r="L340" t="s">
        <v>1760</v>
      </c>
      <c r="M340">
        <v>144.91999999999999</v>
      </c>
      <c r="N340">
        <v>97</v>
      </c>
      <c r="O340" t="s">
        <v>1761</v>
      </c>
      <c r="P340" t="s">
        <v>108</v>
      </c>
      <c r="Q340" t="s">
        <v>232</v>
      </c>
      <c r="R340" t="s">
        <v>152</v>
      </c>
      <c r="S340" t="s">
        <v>126</v>
      </c>
      <c r="T340" t="s">
        <v>378</v>
      </c>
      <c r="U340">
        <v>2514</v>
      </c>
      <c r="V340">
        <v>280</v>
      </c>
      <c r="W340">
        <v>25</v>
      </c>
      <c r="X340">
        <v>157.4</v>
      </c>
      <c r="Y340">
        <v>22.03</v>
      </c>
      <c r="Z340">
        <v>179.43</v>
      </c>
      <c r="AA340" t="s">
        <v>62</v>
      </c>
      <c r="AB340">
        <v>0</v>
      </c>
      <c r="AC340">
        <v>73.319999999999993</v>
      </c>
      <c r="AD340">
        <v>484</v>
      </c>
      <c r="AE340">
        <v>530</v>
      </c>
    </row>
    <row r="341" spans="1:31" x14ac:dyDescent="0.25">
      <c r="A341" t="s">
        <v>1762</v>
      </c>
      <c r="B341" t="s">
        <v>1763</v>
      </c>
      <c r="C341" s="1">
        <v>43849</v>
      </c>
      <c r="D341" s="1">
        <v>43930</v>
      </c>
      <c r="E341" t="s">
        <v>65</v>
      </c>
      <c r="F341" t="s">
        <v>77</v>
      </c>
      <c r="G341" t="s">
        <v>78</v>
      </c>
      <c r="H341" t="s">
        <v>36</v>
      </c>
      <c r="I341" t="s">
        <v>1452</v>
      </c>
      <c r="J341" t="s">
        <v>165</v>
      </c>
      <c r="K341" t="s">
        <v>166</v>
      </c>
      <c r="L341" t="s">
        <v>1453</v>
      </c>
      <c r="M341">
        <v>400.03</v>
      </c>
      <c r="N341">
        <v>10</v>
      </c>
      <c r="O341" t="s">
        <v>1574</v>
      </c>
      <c r="P341" t="s">
        <v>108</v>
      </c>
      <c r="Q341" t="s">
        <v>238</v>
      </c>
      <c r="R341" t="s">
        <v>60</v>
      </c>
      <c r="S341" t="s">
        <v>126</v>
      </c>
      <c r="T341" t="s">
        <v>308</v>
      </c>
      <c r="U341">
        <v>4892</v>
      </c>
      <c r="V341">
        <v>246</v>
      </c>
      <c r="W341">
        <v>26</v>
      </c>
      <c r="X341">
        <v>530.94000000000005</v>
      </c>
      <c r="Y341">
        <v>290.38</v>
      </c>
      <c r="Z341">
        <v>821.32</v>
      </c>
      <c r="AA341" t="s">
        <v>62</v>
      </c>
      <c r="AB341">
        <v>0</v>
      </c>
      <c r="AC341">
        <v>99.65</v>
      </c>
      <c r="AD341">
        <v>284</v>
      </c>
      <c r="AE341">
        <v>254</v>
      </c>
    </row>
    <row r="342" spans="1:31" x14ac:dyDescent="0.25">
      <c r="A342" t="s">
        <v>1764</v>
      </c>
      <c r="B342" t="s">
        <v>1765</v>
      </c>
      <c r="C342" s="1">
        <v>44052</v>
      </c>
      <c r="D342" s="1">
        <v>45497</v>
      </c>
      <c r="E342" t="s">
        <v>65</v>
      </c>
      <c r="F342" t="s">
        <v>91</v>
      </c>
      <c r="G342" t="s">
        <v>102</v>
      </c>
      <c r="H342" t="s">
        <v>36</v>
      </c>
      <c r="I342" t="s">
        <v>1766</v>
      </c>
      <c r="J342" t="s">
        <v>165</v>
      </c>
      <c r="K342" t="s">
        <v>166</v>
      </c>
      <c r="L342" t="s">
        <v>1767</v>
      </c>
      <c r="M342">
        <v>316.11</v>
      </c>
      <c r="N342">
        <v>33</v>
      </c>
      <c r="O342" t="s">
        <v>1599</v>
      </c>
      <c r="P342" t="s">
        <v>141</v>
      </c>
      <c r="Q342" t="s">
        <v>176</v>
      </c>
      <c r="R342" t="s">
        <v>152</v>
      </c>
      <c r="S342" t="s">
        <v>98</v>
      </c>
      <c r="T342" t="s">
        <v>321</v>
      </c>
      <c r="U342">
        <v>132</v>
      </c>
      <c r="V342">
        <v>165</v>
      </c>
      <c r="W342">
        <v>4</v>
      </c>
      <c r="X342">
        <v>198.14</v>
      </c>
      <c r="Y342">
        <v>321.39</v>
      </c>
      <c r="Z342">
        <v>519.53</v>
      </c>
      <c r="AA342" t="s">
        <v>62</v>
      </c>
      <c r="AB342">
        <v>0</v>
      </c>
      <c r="AC342">
        <v>89.11</v>
      </c>
      <c r="AD342">
        <v>58</v>
      </c>
      <c r="AE342">
        <v>68</v>
      </c>
    </row>
    <row r="343" spans="1:31" x14ac:dyDescent="0.25">
      <c r="A343" t="s">
        <v>1768</v>
      </c>
      <c r="B343" t="s">
        <v>1769</v>
      </c>
      <c r="C343" s="1">
        <v>45348</v>
      </c>
      <c r="D343" s="1">
        <v>45302</v>
      </c>
      <c r="E343" t="s">
        <v>65</v>
      </c>
      <c r="F343" t="s">
        <v>51</v>
      </c>
      <c r="G343" t="s">
        <v>343</v>
      </c>
      <c r="H343" t="s">
        <v>147</v>
      </c>
      <c r="I343" t="s">
        <v>1770</v>
      </c>
      <c r="J343" t="s">
        <v>104</v>
      </c>
      <c r="K343" t="s">
        <v>554</v>
      </c>
      <c r="L343" t="s">
        <v>1771</v>
      </c>
      <c r="M343">
        <v>191.27</v>
      </c>
      <c r="N343">
        <v>67</v>
      </c>
      <c r="O343" t="s">
        <v>1772</v>
      </c>
      <c r="P343" t="s">
        <v>141</v>
      </c>
      <c r="Q343" t="s">
        <v>562</v>
      </c>
      <c r="R343" t="s">
        <v>152</v>
      </c>
      <c r="S343" t="s">
        <v>126</v>
      </c>
      <c r="T343" t="s">
        <v>153</v>
      </c>
      <c r="U343">
        <v>3972</v>
      </c>
      <c r="V343">
        <v>317</v>
      </c>
      <c r="W343">
        <v>14</v>
      </c>
      <c r="X343">
        <v>1525.9</v>
      </c>
      <c r="Y343">
        <v>465.54</v>
      </c>
      <c r="Z343">
        <v>1991.44</v>
      </c>
      <c r="AA343" t="s">
        <v>62</v>
      </c>
      <c r="AB343">
        <v>0</v>
      </c>
      <c r="AC343">
        <v>70.47</v>
      </c>
      <c r="AD343">
        <v>70</v>
      </c>
      <c r="AE343">
        <v>43</v>
      </c>
    </row>
    <row r="344" spans="1:31" x14ac:dyDescent="0.25">
      <c r="A344" t="s">
        <v>1773</v>
      </c>
      <c r="B344" t="s">
        <v>1774</v>
      </c>
      <c r="C344" s="1">
        <v>44471</v>
      </c>
      <c r="D344" s="1">
        <v>45604</v>
      </c>
      <c r="E344" t="s">
        <v>50</v>
      </c>
      <c r="F344" t="s">
        <v>51</v>
      </c>
      <c r="G344" t="s">
        <v>113</v>
      </c>
      <c r="H344" t="s">
        <v>53</v>
      </c>
      <c r="I344" t="s">
        <v>1775</v>
      </c>
      <c r="J344" t="s">
        <v>104</v>
      </c>
      <c r="K344" t="s">
        <v>554</v>
      </c>
      <c r="L344" t="s">
        <v>1776</v>
      </c>
      <c r="M344">
        <v>186.61</v>
      </c>
      <c r="N344">
        <v>75</v>
      </c>
      <c r="O344" t="s">
        <v>1777</v>
      </c>
      <c r="P344" t="s">
        <v>108</v>
      </c>
      <c r="Q344" t="s">
        <v>464</v>
      </c>
      <c r="R344" t="s">
        <v>86</v>
      </c>
      <c r="S344" t="s">
        <v>126</v>
      </c>
      <c r="T344" t="s">
        <v>278</v>
      </c>
      <c r="U344">
        <v>808</v>
      </c>
      <c r="V344">
        <v>460</v>
      </c>
      <c r="W344">
        <v>12</v>
      </c>
      <c r="X344">
        <v>79.27</v>
      </c>
      <c r="Y344">
        <v>128.79</v>
      </c>
      <c r="Z344">
        <v>208.06</v>
      </c>
      <c r="AA344" t="s">
        <v>62</v>
      </c>
      <c r="AB344">
        <v>0</v>
      </c>
      <c r="AC344">
        <v>74.25</v>
      </c>
      <c r="AD344">
        <v>358</v>
      </c>
      <c r="AE344">
        <v>363</v>
      </c>
    </row>
    <row r="345" spans="1:31" x14ac:dyDescent="0.25">
      <c r="A345" t="s">
        <v>1778</v>
      </c>
      <c r="B345" t="s">
        <v>1779</v>
      </c>
      <c r="C345" s="1">
        <v>44479</v>
      </c>
      <c r="D345" s="1">
        <v>45176</v>
      </c>
      <c r="E345" t="s">
        <v>50</v>
      </c>
      <c r="F345" t="s">
        <v>51</v>
      </c>
      <c r="G345" t="s">
        <v>102</v>
      </c>
      <c r="H345" t="s">
        <v>147</v>
      </c>
      <c r="I345" t="s">
        <v>1780</v>
      </c>
      <c r="J345" t="s">
        <v>104</v>
      </c>
      <c r="K345" t="s">
        <v>554</v>
      </c>
      <c r="L345" t="s">
        <v>1781</v>
      </c>
      <c r="M345">
        <v>309.44</v>
      </c>
      <c r="N345">
        <v>81</v>
      </c>
      <c r="O345" t="s">
        <v>1782</v>
      </c>
      <c r="P345" t="s">
        <v>141</v>
      </c>
      <c r="Q345" t="s">
        <v>245</v>
      </c>
      <c r="R345" t="s">
        <v>152</v>
      </c>
      <c r="S345" t="s">
        <v>73</v>
      </c>
      <c r="T345" t="s">
        <v>675</v>
      </c>
      <c r="U345">
        <v>1093</v>
      </c>
      <c r="V345">
        <v>364</v>
      </c>
      <c r="W345">
        <v>17</v>
      </c>
      <c r="X345">
        <v>1412.55</v>
      </c>
      <c r="Y345">
        <v>61.49</v>
      </c>
      <c r="Z345">
        <v>1474.04</v>
      </c>
      <c r="AA345" t="s">
        <v>62</v>
      </c>
      <c r="AB345">
        <v>0</v>
      </c>
      <c r="AC345">
        <v>81.3</v>
      </c>
      <c r="AD345">
        <v>106</v>
      </c>
      <c r="AE345">
        <v>122</v>
      </c>
    </row>
    <row r="346" spans="1:31" x14ac:dyDescent="0.25">
      <c r="A346" t="s">
        <v>1783</v>
      </c>
      <c r="B346" t="s">
        <v>982</v>
      </c>
      <c r="C346" s="1">
        <v>43995</v>
      </c>
      <c r="D346" s="1">
        <v>45099</v>
      </c>
      <c r="E346" t="s">
        <v>50</v>
      </c>
      <c r="F346" t="s">
        <v>91</v>
      </c>
      <c r="G346" t="s">
        <v>102</v>
      </c>
      <c r="H346" t="s">
        <v>114</v>
      </c>
      <c r="I346" t="s">
        <v>1784</v>
      </c>
      <c r="J346" t="s">
        <v>38</v>
      </c>
      <c r="K346" t="s">
        <v>138</v>
      </c>
      <c r="L346" t="s">
        <v>1785</v>
      </c>
      <c r="M346">
        <v>205.63</v>
      </c>
      <c r="N346">
        <v>42</v>
      </c>
      <c r="O346" t="s">
        <v>1786</v>
      </c>
      <c r="P346" t="s">
        <v>42</v>
      </c>
      <c r="Q346" t="s">
        <v>118</v>
      </c>
      <c r="R346" t="s">
        <v>44</v>
      </c>
      <c r="S346" t="s">
        <v>87</v>
      </c>
      <c r="T346" t="s">
        <v>296</v>
      </c>
      <c r="U346">
        <v>4722</v>
      </c>
      <c r="V346">
        <v>277</v>
      </c>
      <c r="W346">
        <v>1</v>
      </c>
      <c r="X346">
        <v>513.46</v>
      </c>
      <c r="Y346">
        <v>112.75</v>
      </c>
      <c r="Z346">
        <v>626.21</v>
      </c>
      <c r="AA346" t="s">
        <v>62</v>
      </c>
      <c r="AB346">
        <v>0</v>
      </c>
      <c r="AC346">
        <v>72.45</v>
      </c>
      <c r="AD346">
        <v>381</v>
      </c>
      <c r="AE346">
        <v>333</v>
      </c>
    </row>
    <row r="347" spans="1:31" x14ac:dyDescent="0.25">
      <c r="A347" t="s">
        <v>1787</v>
      </c>
      <c r="B347" t="s">
        <v>1788</v>
      </c>
      <c r="C347" s="1">
        <v>44767</v>
      </c>
      <c r="D347" s="1">
        <v>44744</v>
      </c>
      <c r="E347" t="s">
        <v>65</v>
      </c>
      <c r="F347" t="s">
        <v>34</v>
      </c>
      <c r="G347" t="s">
        <v>113</v>
      </c>
      <c r="H347" t="s">
        <v>36</v>
      </c>
      <c r="I347" t="s">
        <v>137</v>
      </c>
      <c r="J347" t="s">
        <v>38</v>
      </c>
      <c r="K347" t="s">
        <v>138</v>
      </c>
      <c r="L347" t="s">
        <v>139</v>
      </c>
      <c r="M347">
        <v>278.58999999999997</v>
      </c>
      <c r="N347">
        <v>50</v>
      </c>
      <c r="O347" t="s">
        <v>1789</v>
      </c>
      <c r="P347" t="s">
        <v>108</v>
      </c>
      <c r="Q347" t="s">
        <v>425</v>
      </c>
      <c r="R347" t="s">
        <v>44</v>
      </c>
      <c r="S347" t="s">
        <v>98</v>
      </c>
      <c r="T347" t="s">
        <v>910</v>
      </c>
      <c r="U347">
        <v>2455</v>
      </c>
      <c r="V347">
        <v>416</v>
      </c>
      <c r="W347">
        <v>5</v>
      </c>
      <c r="X347">
        <v>1072.46</v>
      </c>
      <c r="Y347">
        <v>499.12</v>
      </c>
      <c r="Z347">
        <v>1571.58</v>
      </c>
      <c r="AA347" t="s">
        <v>62</v>
      </c>
      <c r="AB347">
        <v>0</v>
      </c>
      <c r="AC347">
        <v>86.57</v>
      </c>
      <c r="AD347">
        <v>301</v>
      </c>
      <c r="AE347">
        <v>329</v>
      </c>
    </row>
    <row r="348" spans="1:31" x14ac:dyDescent="0.25">
      <c r="A348" t="s">
        <v>1790</v>
      </c>
      <c r="B348" t="s">
        <v>1791</v>
      </c>
      <c r="C348" s="1">
        <v>45658</v>
      </c>
      <c r="D348" s="1">
        <v>45388</v>
      </c>
      <c r="E348" t="s">
        <v>65</v>
      </c>
      <c r="F348" t="s">
        <v>77</v>
      </c>
      <c r="G348" t="s">
        <v>343</v>
      </c>
      <c r="H348" t="s">
        <v>53</v>
      </c>
      <c r="I348" t="s">
        <v>1792</v>
      </c>
      <c r="J348" t="s">
        <v>38</v>
      </c>
      <c r="K348" t="s">
        <v>39</v>
      </c>
      <c r="L348" t="s">
        <v>1793</v>
      </c>
      <c r="M348">
        <v>223.18</v>
      </c>
      <c r="N348">
        <v>68</v>
      </c>
      <c r="O348" t="s">
        <v>1794</v>
      </c>
      <c r="P348" t="s">
        <v>108</v>
      </c>
      <c r="Q348" t="s">
        <v>389</v>
      </c>
      <c r="R348" t="s">
        <v>152</v>
      </c>
      <c r="S348" t="s">
        <v>126</v>
      </c>
      <c r="T348" t="s">
        <v>334</v>
      </c>
      <c r="U348">
        <v>1473</v>
      </c>
      <c r="V348">
        <v>179</v>
      </c>
      <c r="W348">
        <v>15</v>
      </c>
      <c r="X348">
        <v>1734.08</v>
      </c>
      <c r="Y348">
        <v>284.95</v>
      </c>
      <c r="Z348">
        <v>2019.03</v>
      </c>
      <c r="AA348" t="s">
        <v>62</v>
      </c>
      <c r="AB348">
        <v>0</v>
      </c>
      <c r="AC348">
        <v>71.88</v>
      </c>
      <c r="AD348">
        <v>460</v>
      </c>
      <c r="AE348">
        <v>419</v>
      </c>
    </row>
    <row r="349" spans="1:31" x14ac:dyDescent="0.25">
      <c r="A349" t="s">
        <v>1795</v>
      </c>
      <c r="B349" t="s">
        <v>1796</v>
      </c>
      <c r="C349" s="1">
        <v>44652</v>
      </c>
      <c r="D349" s="1">
        <v>44208</v>
      </c>
      <c r="E349" t="s">
        <v>50</v>
      </c>
      <c r="F349" t="s">
        <v>77</v>
      </c>
      <c r="G349" t="s">
        <v>113</v>
      </c>
      <c r="H349" t="s">
        <v>147</v>
      </c>
      <c r="I349" t="s">
        <v>1797</v>
      </c>
      <c r="J349" t="s">
        <v>165</v>
      </c>
      <c r="K349" t="s">
        <v>202</v>
      </c>
      <c r="L349" t="s">
        <v>1798</v>
      </c>
      <c r="M349">
        <v>86.81</v>
      </c>
      <c r="N349">
        <v>19</v>
      </c>
      <c r="O349" t="s">
        <v>1799</v>
      </c>
      <c r="P349" t="s">
        <v>108</v>
      </c>
      <c r="Q349" t="s">
        <v>464</v>
      </c>
      <c r="R349" t="s">
        <v>152</v>
      </c>
      <c r="S349" t="s">
        <v>73</v>
      </c>
      <c r="T349" t="s">
        <v>922</v>
      </c>
      <c r="U349">
        <v>2914</v>
      </c>
      <c r="V349">
        <v>113</v>
      </c>
      <c r="W349">
        <v>12</v>
      </c>
      <c r="X349">
        <v>1427.11</v>
      </c>
      <c r="Y349">
        <v>362.56</v>
      </c>
      <c r="Z349">
        <v>1789.67</v>
      </c>
      <c r="AA349" t="s">
        <v>47</v>
      </c>
      <c r="AB349">
        <v>4</v>
      </c>
      <c r="AC349">
        <v>80.069999999999993</v>
      </c>
      <c r="AD349">
        <v>451</v>
      </c>
      <c r="AE349">
        <v>439</v>
      </c>
    </row>
    <row r="350" spans="1:31" x14ac:dyDescent="0.25">
      <c r="A350" t="s">
        <v>1800</v>
      </c>
      <c r="B350" t="s">
        <v>1801</v>
      </c>
      <c r="C350" s="1">
        <v>45464</v>
      </c>
      <c r="D350" s="1">
        <v>43994</v>
      </c>
      <c r="E350" t="s">
        <v>65</v>
      </c>
      <c r="F350" t="s">
        <v>34</v>
      </c>
      <c r="G350" t="s">
        <v>343</v>
      </c>
      <c r="H350" t="s">
        <v>163</v>
      </c>
      <c r="I350" t="s">
        <v>1802</v>
      </c>
      <c r="J350" t="s">
        <v>38</v>
      </c>
      <c r="K350" t="s">
        <v>55</v>
      </c>
      <c r="L350" t="s">
        <v>1803</v>
      </c>
      <c r="M350">
        <v>498.44</v>
      </c>
      <c r="N350">
        <v>74</v>
      </c>
      <c r="O350" t="s">
        <v>597</v>
      </c>
      <c r="P350" t="s">
        <v>108</v>
      </c>
      <c r="Q350" t="s">
        <v>458</v>
      </c>
      <c r="R350" t="s">
        <v>60</v>
      </c>
      <c r="S350" t="s">
        <v>126</v>
      </c>
      <c r="T350" t="s">
        <v>206</v>
      </c>
      <c r="U350">
        <v>4767</v>
      </c>
      <c r="V350">
        <v>359</v>
      </c>
      <c r="W350">
        <v>16</v>
      </c>
      <c r="X350">
        <v>1248.83</v>
      </c>
      <c r="Y350">
        <v>468.69</v>
      </c>
      <c r="Z350">
        <v>1717.52</v>
      </c>
      <c r="AA350" t="s">
        <v>62</v>
      </c>
      <c r="AB350">
        <v>0</v>
      </c>
      <c r="AC350">
        <v>84.74</v>
      </c>
      <c r="AD350">
        <v>387</v>
      </c>
      <c r="AE350">
        <v>436</v>
      </c>
    </row>
    <row r="351" spans="1:31" x14ac:dyDescent="0.25">
      <c r="A351" t="s">
        <v>1804</v>
      </c>
      <c r="B351" t="s">
        <v>1805</v>
      </c>
      <c r="C351" s="1">
        <v>45594</v>
      </c>
      <c r="D351" s="1">
        <v>44528</v>
      </c>
      <c r="E351" t="s">
        <v>65</v>
      </c>
      <c r="F351" t="s">
        <v>146</v>
      </c>
      <c r="G351" t="s">
        <v>78</v>
      </c>
      <c r="H351" t="s">
        <v>147</v>
      </c>
      <c r="I351" t="s">
        <v>1806</v>
      </c>
      <c r="J351" t="s">
        <v>38</v>
      </c>
      <c r="K351" t="s">
        <v>138</v>
      </c>
      <c r="L351" t="s">
        <v>1807</v>
      </c>
      <c r="M351">
        <v>371.52</v>
      </c>
      <c r="N351">
        <v>55</v>
      </c>
      <c r="O351" t="s">
        <v>431</v>
      </c>
      <c r="P351" t="s">
        <v>58</v>
      </c>
      <c r="Q351" t="s">
        <v>43</v>
      </c>
      <c r="R351" t="s">
        <v>86</v>
      </c>
      <c r="S351" t="s">
        <v>87</v>
      </c>
      <c r="T351" t="s">
        <v>74</v>
      </c>
      <c r="U351">
        <v>2923</v>
      </c>
      <c r="V351">
        <v>126</v>
      </c>
      <c r="W351">
        <v>1</v>
      </c>
      <c r="X351">
        <v>1166.24</v>
      </c>
      <c r="Y351">
        <v>105.64</v>
      </c>
      <c r="Z351">
        <v>1271.8800000000001</v>
      </c>
      <c r="AA351" t="s">
        <v>62</v>
      </c>
      <c r="AB351">
        <v>0</v>
      </c>
      <c r="AC351">
        <v>98.16</v>
      </c>
      <c r="AD351">
        <v>98</v>
      </c>
      <c r="AE351">
        <v>118</v>
      </c>
    </row>
    <row r="352" spans="1:31" x14ac:dyDescent="0.25">
      <c r="A352" t="s">
        <v>1808</v>
      </c>
      <c r="B352" t="s">
        <v>1809</v>
      </c>
      <c r="C352" s="1">
        <v>44459</v>
      </c>
      <c r="D352" s="1">
        <v>45257</v>
      </c>
      <c r="E352" t="s">
        <v>65</v>
      </c>
      <c r="F352" t="s">
        <v>146</v>
      </c>
      <c r="G352" t="s">
        <v>343</v>
      </c>
      <c r="H352" t="s">
        <v>114</v>
      </c>
      <c r="I352" t="s">
        <v>1810</v>
      </c>
      <c r="J352" t="s">
        <v>38</v>
      </c>
      <c r="K352" t="s">
        <v>39</v>
      </c>
      <c r="L352" t="s">
        <v>1811</v>
      </c>
      <c r="M352">
        <v>104.87</v>
      </c>
      <c r="N352">
        <v>70</v>
      </c>
      <c r="O352" t="s">
        <v>516</v>
      </c>
      <c r="P352" t="s">
        <v>108</v>
      </c>
      <c r="Q352" t="s">
        <v>1244</v>
      </c>
      <c r="R352" t="s">
        <v>86</v>
      </c>
      <c r="S352" t="s">
        <v>45</v>
      </c>
      <c r="T352" t="s">
        <v>185</v>
      </c>
      <c r="U352">
        <v>183</v>
      </c>
      <c r="V352">
        <v>469</v>
      </c>
      <c r="W352">
        <v>3</v>
      </c>
      <c r="X352">
        <v>1379.4</v>
      </c>
      <c r="Y352">
        <v>54.44</v>
      </c>
      <c r="Z352">
        <v>1433.84</v>
      </c>
      <c r="AA352" t="s">
        <v>62</v>
      </c>
      <c r="AB352">
        <v>0</v>
      </c>
      <c r="AC352">
        <v>81.92</v>
      </c>
      <c r="AD352">
        <v>411</v>
      </c>
      <c r="AE352">
        <v>429</v>
      </c>
    </row>
    <row r="353" spans="1:31" x14ac:dyDescent="0.25">
      <c r="A353" t="s">
        <v>1812</v>
      </c>
      <c r="B353" t="s">
        <v>1813</v>
      </c>
      <c r="C353" s="1">
        <v>43902</v>
      </c>
      <c r="D353" s="1">
        <v>44990</v>
      </c>
      <c r="E353" t="s">
        <v>65</v>
      </c>
      <c r="F353" t="s">
        <v>77</v>
      </c>
      <c r="G353" t="s">
        <v>343</v>
      </c>
      <c r="H353" t="s">
        <v>114</v>
      </c>
      <c r="I353" t="s">
        <v>1814</v>
      </c>
      <c r="J353" t="s">
        <v>38</v>
      </c>
      <c r="K353" t="s">
        <v>81</v>
      </c>
      <c r="L353" t="s">
        <v>1815</v>
      </c>
      <c r="M353">
        <v>191.2</v>
      </c>
      <c r="N353">
        <v>3</v>
      </c>
      <c r="O353" t="s">
        <v>1816</v>
      </c>
      <c r="P353" t="s">
        <v>58</v>
      </c>
      <c r="Q353" t="s">
        <v>184</v>
      </c>
      <c r="R353" t="s">
        <v>60</v>
      </c>
      <c r="S353" t="s">
        <v>98</v>
      </c>
      <c r="T353" t="s">
        <v>545</v>
      </c>
      <c r="U353">
        <v>146</v>
      </c>
      <c r="V353">
        <v>494</v>
      </c>
      <c r="W353">
        <v>11</v>
      </c>
      <c r="X353">
        <v>1530.76</v>
      </c>
      <c r="Y353">
        <v>381.05</v>
      </c>
      <c r="Z353">
        <v>1911.81</v>
      </c>
      <c r="AA353" t="s">
        <v>62</v>
      </c>
      <c r="AB353">
        <v>0</v>
      </c>
      <c r="AC353">
        <v>86.62</v>
      </c>
      <c r="AD353">
        <v>137</v>
      </c>
      <c r="AE353">
        <v>186</v>
      </c>
    </row>
    <row r="354" spans="1:31" x14ac:dyDescent="0.25">
      <c r="A354" t="s">
        <v>1817</v>
      </c>
      <c r="B354" t="s">
        <v>1818</v>
      </c>
      <c r="C354" s="1">
        <v>44459</v>
      </c>
      <c r="D354" s="1">
        <v>45433</v>
      </c>
      <c r="E354" t="s">
        <v>65</v>
      </c>
      <c r="F354" t="s">
        <v>51</v>
      </c>
      <c r="G354" t="s">
        <v>92</v>
      </c>
      <c r="H354" t="s">
        <v>79</v>
      </c>
      <c r="I354" t="s">
        <v>1819</v>
      </c>
      <c r="J354" t="s">
        <v>165</v>
      </c>
      <c r="K354" t="s">
        <v>202</v>
      </c>
      <c r="L354" t="s">
        <v>1820</v>
      </c>
      <c r="M354">
        <v>402.36</v>
      </c>
      <c r="N354">
        <v>7</v>
      </c>
      <c r="O354" t="s">
        <v>1821</v>
      </c>
      <c r="P354" t="s">
        <v>84</v>
      </c>
      <c r="Q354" t="s">
        <v>97</v>
      </c>
      <c r="R354" t="s">
        <v>44</v>
      </c>
      <c r="S354" t="s">
        <v>98</v>
      </c>
      <c r="T354" t="s">
        <v>239</v>
      </c>
      <c r="U354">
        <v>2215</v>
      </c>
      <c r="V354">
        <v>268</v>
      </c>
      <c r="W354">
        <v>27</v>
      </c>
      <c r="X354">
        <v>830.28</v>
      </c>
      <c r="Y354">
        <v>311.27</v>
      </c>
      <c r="Z354">
        <v>1141.55</v>
      </c>
      <c r="AA354" t="s">
        <v>62</v>
      </c>
      <c r="AB354">
        <v>0</v>
      </c>
      <c r="AC354">
        <v>87.84</v>
      </c>
      <c r="AD354">
        <v>65</v>
      </c>
      <c r="AE354">
        <v>84</v>
      </c>
    </row>
    <row r="355" spans="1:31" x14ac:dyDescent="0.25">
      <c r="A355" t="s">
        <v>1822</v>
      </c>
      <c r="B355" t="s">
        <v>1823</v>
      </c>
      <c r="C355" s="1">
        <v>43948</v>
      </c>
      <c r="D355" s="1">
        <v>44601</v>
      </c>
      <c r="E355" t="s">
        <v>65</v>
      </c>
      <c r="F355" t="s">
        <v>34</v>
      </c>
      <c r="G355" t="s">
        <v>52</v>
      </c>
      <c r="H355" t="s">
        <v>163</v>
      </c>
      <c r="I355" t="s">
        <v>948</v>
      </c>
      <c r="J355" t="s">
        <v>165</v>
      </c>
      <c r="K355" t="s">
        <v>202</v>
      </c>
      <c r="L355" t="s">
        <v>949</v>
      </c>
      <c r="M355">
        <v>48.83</v>
      </c>
      <c r="N355">
        <v>66</v>
      </c>
      <c r="O355" t="s">
        <v>1824</v>
      </c>
      <c r="P355" t="s">
        <v>108</v>
      </c>
      <c r="Q355" t="s">
        <v>327</v>
      </c>
      <c r="R355" t="s">
        <v>152</v>
      </c>
      <c r="S355" t="s">
        <v>98</v>
      </c>
      <c r="T355" t="s">
        <v>533</v>
      </c>
      <c r="U355">
        <v>2438</v>
      </c>
      <c r="V355">
        <v>328</v>
      </c>
      <c r="W355">
        <v>26</v>
      </c>
      <c r="X355">
        <v>221.8</v>
      </c>
      <c r="Y355">
        <v>311.77999999999997</v>
      </c>
      <c r="Z355">
        <v>533.57999999999993</v>
      </c>
      <c r="AA355" t="s">
        <v>62</v>
      </c>
      <c r="AB355">
        <v>0</v>
      </c>
      <c r="AC355">
        <v>75.98</v>
      </c>
      <c r="AD355">
        <v>110</v>
      </c>
      <c r="AE355">
        <v>69</v>
      </c>
    </row>
    <row r="356" spans="1:31" x14ac:dyDescent="0.25">
      <c r="A356" t="s">
        <v>1825</v>
      </c>
      <c r="B356" t="s">
        <v>1826</v>
      </c>
      <c r="C356" s="1">
        <v>45110</v>
      </c>
      <c r="D356" s="1">
        <v>44077</v>
      </c>
      <c r="E356" t="s">
        <v>50</v>
      </c>
      <c r="F356" t="s">
        <v>77</v>
      </c>
      <c r="G356" t="s">
        <v>343</v>
      </c>
      <c r="H356" t="s">
        <v>221</v>
      </c>
      <c r="I356" t="s">
        <v>1827</v>
      </c>
      <c r="J356" t="s">
        <v>165</v>
      </c>
      <c r="K356" t="s">
        <v>202</v>
      </c>
      <c r="L356" t="s">
        <v>1828</v>
      </c>
      <c r="M356">
        <v>106.09</v>
      </c>
      <c r="N356">
        <v>74</v>
      </c>
      <c r="O356" t="s">
        <v>1829</v>
      </c>
      <c r="P356" t="s">
        <v>141</v>
      </c>
      <c r="Q356" t="s">
        <v>295</v>
      </c>
      <c r="R356" t="s">
        <v>60</v>
      </c>
      <c r="S356" t="s">
        <v>87</v>
      </c>
      <c r="T356" t="s">
        <v>409</v>
      </c>
      <c r="U356">
        <v>3171</v>
      </c>
      <c r="V356">
        <v>71</v>
      </c>
      <c r="W356">
        <v>11</v>
      </c>
      <c r="X356">
        <v>1975.47</v>
      </c>
      <c r="Y356">
        <v>265.37</v>
      </c>
      <c r="Z356">
        <v>2240.84</v>
      </c>
      <c r="AA356" t="s">
        <v>62</v>
      </c>
      <c r="AB356">
        <v>0</v>
      </c>
      <c r="AC356">
        <v>86.6</v>
      </c>
      <c r="AD356">
        <v>388</v>
      </c>
      <c r="AE356">
        <v>363</v>
      </c>
    </row>
    <row r="357" spans="1:31" x14ac:dyDescent="0.25">
      <c r="A357" t="s">
        <v>1830</v>
      </c>
      <c r="B357" t="s">
        <v>1831</v>
      </c>
      <c r="C357" s="1">
        <v>44930</v>
      </c>
      <c r="D357" s="1">
        <v>44775</v>
      </c>
      <c r="E357" t="s">
        <v>65</v>
      </c>
      <c r="F357" t="s">
        <v>91</v>
      </c>
      <c r="G357" t="s">
        <v>92</v>
      </c>
      <c r="H357" t="s">
        <v>53</v>
      </c>
      <c r="I357" t="s">
        <v>1832</v>
      </c>
      <c r="J357" t="s">
        <v>165</v>
      </c>
      <c r="K357" t="s">
        <v>166</v>
      </c>
      <c r="L357" t="s">
        <v>1833</v>
      </c>
      <c r="M357">
        <v>258.41000000000003</v>
      </c>
      <c r="N357">
        <v>76</v>
      </c>
      <c r="O357" t="s">
        <v>1834</v>
      </c>
      <c r="P357" t="s">
        <v>84</v>
      </c>
      <c r="Q357" t="s">
        <v>432</v>
      </c>
      <c r="R357" t="s">
        <v>60</v>
      </c>
      <c r="S357" t="s">
        <v>98</v>
      </c>
      <c r="T357" t="s">
        <v>119</v>
      </c>
      <c r="U357">
        <v>1113</v>
      </c>
      <c r="V357">
        <v>284</v>
      </c>
      <c r="W357">
        <v>2</v>
      </c>
      <c r="X357">
        <v>1828.76</v>
      </c>
      <c r="Y357">
        <v>60.18</v>
      </c>
      <c r="Z357">
        <v>1888.94</v>
      </c>
      <c r="AA357" t="s">
        <v>47</v>
      </c>
      <c r="AB357">
        <v>1</v>
      </c>
      <c r="AC357">
        <v>81.41</v>
      </c>
      <c r="AD357">
        <v>181</v>
      </c>
      <c r="AE357">
        <v>166</v>
      </c>
    </row>
    <row r="358" spans="1:31" x14ac:dyDescent="0.25">
      <c r="A358" t="s">
        <v>1835</v>
      </c>
      <c r="B358" t="s">
        <v>1836</v>
      </c>
      <c r="C358" s="1">
        <v>44223</v>
      </c>
      <c r="D358" s="1">
        <v>44715</v>
      </c>
      <c r="E358" t="s">
        <v>65</v>
      </c>
      <c r="F358" t="s">
        <v>91</v>
      </c>
      <c r="G358" t="s">
        <v>113</v>
      </c>
      <c r="H358" t="s">
        <v>53</v>
      </c>
      <c r="I358" t="s">
        <v>1837</v>
      </c>
      <c r="J358" t="s">
        <v>165</v>
      </c>
      <c r="K358" t="s">
        <v>166</v>
      </c>
      <c r="L358" t="s">
        <v>1838</v>
      </c>
      <c r="M358">
        <v>360.32</v>
      </c>
      <c r="N358">
        <v>5</v>
      </c>
      <c r="O358" t="s">
        <v>1839</v>
      </c>
      <c r="P358" t="s">
        <v>84</v>
      </c>
      <c r="Q358" t="s">
        <v>377</v>
      </c>
      <c r="R358" t="s">
        <v>152</v>
      </c>
      <c r="S358" t="s">
        <v>45</v>
      </c>
      <c r="T358" t="s">
        <v>314</v>
      </c>
      <c r="U358">
        <v>4861</v>
      </c>
      <c r="V358">
        <v>67</v>
      </c>
      <c r="W358">
        <v>2</v>
      </c>
      <c r="X358">
        <v>985.14</v>
      </c>
      <c r="Y358">
        <v>113.09</v>
      </c>
      <c r="Z358">
        <v>1098.23</v>
      </c>
      <c r="AA358" t="s">
        <v>62</v>
      </c>
      <c r="AB358">
        <v>0</v>
      </c>
      <c r="AC358">
        <v>78.25</v>
      </c>
      <c r="AD358">
        <v>386</v>
      </c>
      <c r="AE358">
        <v>424</v>
      </c>
    </row>
    <row r="359" spans="1:31" x14ac:dyDescent="0.25">
      <c r="A359" t="s">
        <v>1840</v>
      </c>
      <c r="B359" t="s">
        <v>1841</v>
      </c>
      <c r="C359" s="1">
        <v>45652</v>
      </c>
      <c r="D359" s="1">
        <v>44500</v>
      </c>
      <c r="E359" t="s">
        <v>65</v>
      </c>
      <c r="F359" t="s">
        <v>34</v>
      </c>
      <c r="G359" t="s">
        <v>52</v>
      </c>
      <c r="H359" t="s">
        <v>114</v>
      </c>
      <c r="I359" t="s">
        <v>1462</v>
      </c>
      <c r="J359" t="s">
        <v>104</v>
      </c>
      <c r="K359" t="s">
        <v>229</v>
      </c>
      <c r="L359" t="s">
        <v>1463</v>
      </c>
      <c r="M359">
        <v>30.84</v>
      </c>
      <c r="N359">
        <v>68</v>
      </c>
      <c r="O359" t="s">
        <v>1599</v>
      </c>
      <c r="P359" t="s">
        <v>84</v>
      </c>
      <c r="Q359" t="s">
        <v>232</v>
      </c>
      <c r="R359" t="s">
        <v>152</v>
      </c>
      <c r="S359" t="s">
        <v>45</v>
      </c>
      <c r="T359" t="s">
        <v>321</v>
      </c>
      <c r="U359">
        <v>2793</v>
      </c>
      <c r="V359">
        <v>253</v>
      </c>
      <c r="W359">
        <v>5</v>
      </c>
      <c r="X359">
        <v>206.88</v>
      </c>
      <c r="Y359">
        <v>462.69</v>
      </c>
      <c r="Z359">
        <v>669.56999999999994</v>
      </c>
      <c r="AA359" t="s">
        <v>62</v>
      </c>
      <c r="AB359">
        <v>0</v>
      </c>
      <c r="AC359">
        <v>93.75</v>
      </c>
      <c r="AD359">
        <v>286</v>
      </c>
      <c r="AE359">
        <v>262</v>
      </c>
    </row>
    <row r="360" spans="1:31" x14ac:dyDescent="0.25">
      <c r="A360" t="s">
        <v>1842</v>
      </c>
      <c r="B360" t="s">
        <v>1843</v>
      </c>
      <c r="C360" s="1">
        <v>44956</v>
      </c>
      <c r="D360" s="1">
        <v>44774</v>
      </c>
      <c r="E360" t="s">
        <v>50</v>
      </c>
      <c r="F360" t="s">
        <v>51</v>
      </c>
      <c r="G360" t="s">
        <v>92</v>
      </c>
      <c r="H360" t="s">
        <v>147</v>
      </c>
      <c r="I360" t="s">
        <v>1844</v>
      </c>
      <c r="J360" t="s">
        <v>38</v>
      </c>
      <c r="K360" t="s">
        <v>94</v>
      </c>
      <c r="L360" t="s">
        <v>1845</v>
      </c>
      <c r="M360">
        <v>242.6</v>
      </c>
      <c r="N360">
        <v>86</v>
      </c>
      <c r="O360" t="s">
        <v>1751</v>
      </c>
      <c r="P360" t="s">
        <v>58</v>
      </c>
      <c r="Q360" t="s">
        <v>562</v>
      </c>
      <c r="R360" t="s">
        <v>60</v>
      </c>
      <c r="S360" t="s">
        <v>98</v>
      </c>
      <c r="T360" t="s">
        <v>314</v>
      </c>
      <c r="U360">
        <v>2937</v>
      </c>
      <c r="V360">
        <v>216</v>
      </c>
      <c r="W360">
        <v>23</v>
      </c>
      <c r="X360">
        <v>526.51</v>
      </c>
      <c r="Y360">
        <v>176.92</v>
      </c>
      <c r="Z360">
        <v>703.43</v>
      </c>
      <c r="AA360" t="s">
        <v>62</v>
      </c>
      <c r="AB360">
        <v>0</v>
      </c>
      <c r="AC360">
        <v>81.239999999999995</v>
      </c>
      <c r="AD360">
        <v>74</v>
      </c>
      <c r="AE360">
        <v>76</v>
      </c>
    </row>
    <row r="361" spans="1:31" x14ac:dyDescent="0.25">
      <c r="A361" t="s">
        <v>1846</v>
      </c>
      <c r="B361" t="s">
        <v>1847</v>
      </c>
      <c r="C361" s="1">
        <v>43836</v>
      </c>
      <c r="D361" s="1">
        <v>44380</v>
      </c>
      <c r="E361" t="s">
        <v>65</v>
      </c>
      <c r="F361" t="s">
        <v>91</v>
      </c>
      <c r="G361" t="s">
        <v>113</v>
      </c>
      <c r="H361" t="s">
        <v>36</v>
      </c>
      <c r="I361" t="s">
        <v>1848</v>
      </c>
      <c r="J361" t="s">
        <v>38</v>
      </c>
      <c r="K361" t="s">
        <v>55</v>
      </c>
      <c r="L361" t="s">
        <v>1849</v>
      </c>
      <c r="M361">
        <v>27.11</v>
      </c>
      <c r="N361">
        <v>98</v>
      </c>
      <c r="O361" t="s">
        <v>1850</v>
      </c>
      <c r="P361" t="s">
        <v>58</v>
      </c>
      <c r="Q361" t="s">
        <v>191</v>
      </c>
      <c r="R361" t="s">
        <v>86</v>
      </c>
      <c r="S361" t="s">
        <v>87</v>
      </c>
      <c r="T361" t="s">
        <v>627</v>
      </c>
      <c r="U361">
        <v>4323</v>
      </c>
      <c r="V361">
        <v>430</v>
      </c>
      <c r="W361">
        <v>25</v>
      </c>
      <c r="X361">
        <v>470.01</v>
      </c>
      <c r="Y361">
        <v>74.89</v>
      </c>
      <c r="Z361">
        <v>544.9</v>
      </c>
      <c r="AA361" t="s">
        <v>62</v>
      </c>
      <c r="AB361">
        <v>0</v>
      </c>
      <c r="AC361">
        <v>92.17</v>
      </c>
      <c r="AD361">
        <v>139</v>
      </c>
      <c r="AE361">
        <v>149</v>
      </c>
    </row>
    <row r="362" spans="1:31" x14ac:dyDescent="0.25">
      <c r="A362" t="s">
        <v>1851</v>
      </c>
      <c r="B362" t="s">
        <v>1852</v>
      </c>
      <c r="C362" s="1">
        <v>44653</v>
      </c>
      <c r="D362" s="1">
        <v>44006</v>
      </c>
      <c r="E362" t="s">
        <v>65</v>
      </c>
      <c r="F362" t="s">
        <v>91</v>
      </c>
      <c r="G362" t="s">
        <v>35</v>
      </c>
      <c r="H362" t="s">
        <v>221</v>
      </c>
      <c r="I362" t="s">
        <v>1853</v>
      </c>
      <c r="J362" t="s">
        <v>38</v>
      </c>
      <c r="K362" t="s">
        <v>39</v>
      </c>
      <c r="L362" t="s">
        <v>1854</v>
      </c>
      <c r="M362">
        <v>32.19</v>
      </c>
      <c r="N362">
        <v>89</v>
      </c>
      <c r="O362" t="s">
        <v>1855</v>
      </c>
      <c r="P362" t="s">
        <v>84</v>
      </c>
      <c r="Q362" t="s">
        <v>517</v>
      </c>
      <c r="R362" t="s">
        <v>86</v>
      </c>
      <c r="S362" t="s">
        <v>73</v>
      </c>
      <c r="T362" t="s">
        <v>267</v>
      </c>
      <c r="U362">
        <v>4336</v>
      </c>
      <c r="V362">
        <v>235</v>
      </c>
      <c r="W362">
        <v>25</v>
      </c>
      <c r="X362">
        <v>950.02</v>
      </c>
      <c r="Y362">
        <v>146.97</v>
      </c>
      <c r="Z362">
        <v>1096.99</v>
      </c>
      <c r="AA362" t="s">
        <v>62</v>
      </c>
      <c r="AB362">
        <v>0</v>
      </c>
      <c r="AC362">
        <v>75.56</v>
      </c>
      <c r="AD362">
        <v>468</v>
      </c>
      <c r="AE362">
        <v>497</v>
      </c>
    </row>
    <row r="363" spans="1:31" x14ac:dyDescent="0.25">
      <c r="A363" t="s">
        <v>1856</v>
      </c>
      <c r="B363" t="s">
        <v>1857</v>
      </c>
      <c r="C363" s="1">
        <v>45474</v>
      </c>
      <c r="D363" s="1">
        <v>44492</v>
      </c>
      <c r="E363" t="s">
        <v>65</v>
      </c>
      <c r="F363" t="s">
        <v>77</v>
      </c>
      <c r="G363" t="s">
        <v>113</v>
      </c>
      <c r="H363" t="s">
        <v>36</v>
      </c>
      <c r="I363" t="s">
        <v>1858</v>
      </c>
      <c r="J363" t="s">
        <v>165</v>
      </c>
      <c r="K363" t="s">
        <v>166</v>
      </c>
      <c r="L363" t="s">
        <v>1859</v>
      </c>
      <c r="M363">
        <v>331.21</v>
      </c>
      <c r="N363">
        <v>51</v>
      </c>
      <c r="O363" t="s">
        <v>1050</v>
      </c>
      <c r="P363" t="s">
        <v>58</v>
      </c>
      <c r="Q363" t="s">
        <v>232</v>
      </c>
      <c r="R363" t="s">
        <v>86</v>
      </c>
      <c r="S363" t="s">
        <v>73</v>
      </c>
      <c r="T363" t="s">
        <v>654</v>
      </c>
      <c r="U363">
        <v>1762</v>
      </c>
      <c r="V363">
        <v>425</v>
      </c>
      <c r="W363">
        <v>19</v>
      </c>
      <c r="X363">
        <v>659.16</v>
      </c>
      <c r="Y363">
        <v>39.67</v>
      </c>
      <c r="Z363">
        <v>698.82999999999993</v>
      </c>
      <c r="AA363" t="s">
        <v>62</v>
      </c>
      <c r="AB363">
        <v>0</v>
      </c>
      <c r="AC363">
        <v>89.12</v>
      </c>
      <c r="AD363">
        <v>201</v>
      </c>
      <c r="AE363">
        <v>174</v>
      </c>
    </row>
    <row r="364" spans="1:31" x14ac:dyDescent="0.25">
      <c r="A364" t="s">
        <v>1860</v>
      </c>
      <c r="B364" t="s">
        <v>1861</v>
      </c>
      <c r="C364" s="1">
        <v>45423</v>
      </c>
      <c r="D364" s="1">
        <v>44157</v>
      </c>
      <c r="E364" t="s">
        <v>50</v>
      </c>
      <c r="F364" t="s">
        <v>77</v>
      </c>
      <c r="G364" t="s">
        <v>35</v>
      </c>
      <c r="H364" t="s">
        <v>67</v>
      </c>
      <c r="I364" t="s">
        <v>1862</v>
      </c>
      <c r="J364" t="s">
        <v>165</v>
      </c>
      <c r="K364" t="s">
        <v>166</v>
      </c>
      <c r="L364" t="s">
        <v>1863</v>
      </c>
      <c r="M364">
        <v>341.44</v>
      </c>
      <c r="N364">
        <v>85</v>
      </c>
      <c r="O364" t="s">
        <v>1864</v>
      </c>
      <c r="P364" t="s">
        <v>84</v>
      </c>
      <c r="Q364" t="s">
        <v>425</v>
      </c>
      <c r="R364" t="s">
        <v>60</v>
      </c>
      <c r="S364" t="s">
        <v>87</v>
      </c>
      <c r="T364" t="s">
        <v>1038</v>
      </c>
      <c r="U364">
        <v>2378</v>
      </c>
      <c r="V364">
        <v>381</v>
      </c>
      <c r="W364">
        <v>2</v>
      </c>
      <c r="X364">
        <v>721.77</v>
      </c>
      <c r="Y364">
        <v>104.74</v>
      </c>
      <c r="Z364">
        <v>826.51</v>
      </c>
      <c r="AA364" t="s">
        <v>62</v>
      </c>
      <c r="AB364">
        <v>0</v>
      </c>
      <c r="AC364">
        <v>75.06</v>
      </c>
      <c r="AD364">
        <v>314</v>
      </c>
      <c r="AE364">
        <v>281</v>
      </c>
    </row>
    <row r="365" spans="1:31" x14ac:dyDescent="0.25">
      <c r="A365" t="s">
        <v>1865</v>
      </c>
      <c r="B365" t="s">
        <v>1605</v>
      </c>
      <c r="C365" s="1">
        <v>44357</v>
      </c>
      <c r="D365" s="1">
        <v>44826</v>
      </c>
      <c r="E365" t="s">
        <v>50</v>
      </c>
      <c r="F365" t="s">
        <v>77</v>
      </c>
      <c r="G365" t="s">
        <v>35</v>
      </c>
      <c r="H365" t="s">
        <v>221</v>
      </c>
      <c r="I365" t="s">
        <v>1866</v>
      </c>
      <c r="J365" t="s">
        <v>38</v>
      </c>
      <c r="K365" t="s">
        <v>94</v>
      </c>
      <c r="L365" t="s">
        <v>1867</v>
      </c>
      <c r="M365">
        <v>28.32</v>
      </c>
      <c r="N365">
        <v>85</v>
      </c>
      <c r="O365" t="s">
        <v>1868</v>
      </c>
      <c r="P365" t="s">
        <v>108</v>
      </c>
      <c r="Q365" t="s">
        <v>432</v>
      </c>
      <c r="R365" t="s">
        <v>86</v>
      </c>
      <c r="S365" t="s">
        <v>73</v>
      </c>
      <c r="T365" t="s">
        <v>371</v>
      </c>
      <c r="U365">
        <v>3614</v>
      </c>
      <c r="V365">
        <v>280</v>
      </c>
      <c r="W365">
        <v>18</v>
      </c>
      <c r="X365">
        <v>1563.99</v>
      </c>
      <c r="Y365">
        <v>434.44</v>
      </c>
      <c r="Z365">
        <v>1998.43</v>
      </c>
      <c r="AA365" t="s">
        <v>62</v>
      </c>
      <c r="AB365">
        <v>0</v>
      </c>
      <c r="AC365">
        <v>88.47</v>
      </c>
      <c r="AD365">
        <v>141</v>
      </c>
      <c r="AE365">
        <v>111</v>
      </c>
    </row>
    <row r="366" spans="1:31" x14ac:dyDescent="0.25">
      <c r="A366" t="s">
        <v>1869</v>
      </c>
      <c r="B366" t="s">
        <v>1870</v>
      </c>
      <c r="C366" s="1">
        <v>45418</v>
      </c>
      <c r="D366" s="1">
        <v>45461</v>
      </c>
      <c r="E366" t="s">
        <v>65</v>
      </c>
      <c r="F366" t="s">
        <v>91</v>
      </c>
      <c r="G366" t="s">
        <v>343</v>
      </c>
      <c r="H366" t="s">
        <v>147</v>
      </c>
      <c r="I366" t="s">
        <v>1871</v>
      </c>
      <c r="J366" t="s">
        <v>38</v>
      </c>
      <c r="K366" t="s">
        <v>55</v>
      </c>
      <c r="L366" t="s">
        <v>1872</v>
      </c>
      <c r="M366">
        <v>144.21</v>
      </c>
      <c r="N366">
        <v>29</v>
      </c>
      <c r="O366" t="s">
        <v>168</v>
      </c>
      <c r="P366" t="s">
        <v>84</v>
      </c>
      <c r="Q366" t="s">
        <v>377</v>
      </c>
      <c r="R366" t="s">
        <v>86</v>
      </c>
      <c r="S366" t="s">
        <v>87</v>
      </c>
      <c r="T366" t="s">
        <v>206</v>
      </c>
      <c r="U366">
        <v>3801</v>
      </c>
      <c r="V366">
        <v>120</v>
      </c>
      <c r="W366">
        <v>11</v>
      </c>
      <c r="X366">
        <v>848.56</v>
      </c>
      <c r="Y366">
        <v>237.86</v>
      </c>
      <c r="Z366">
        <v>1086.42</v>
      </c>
      <c r="AA366" t="s">
        <v>62</v>
      </c>
      <c r="AB366">
        <v>0</v>
      </c>
      <c r="AC366">
        <v>80.150000000000006</v>
      </c>
      <c r="AD366">
        <v>287</v>
      </c>
      <c r="AE366">
        <v>304</v>
      </c>
    </row>
    <row r="367" spans="1:31" x14ac:dyDescent="0.25">
      <c r="A367" t="s">
        <v>1873</v>
      </c>
      <c r="B367" t="s">
        <v>1874</v>
      </c>
      <c r="C367" s="1">
        <v>44802</v>
      </c>
      <c r="D367" s="1">
        <v>45452</v>
      </c>
      <c r="E367" t="s">
        <v>65</v>
      </c>
      <c r="F367" t="s">
        <v>34</v>
      </c>
      <c r="G367" t="s">
        <v>102</v>
      </c>
      <c r="H367" t="s">
        <v>53</v>
      </c>
      <c r="I367" t="s">
        <v>1875</v>
      </c>
      <c r="J367" t="s">
        <v>38</v>
      </c>
      <c r="K367" t="s">
        <v>138</v>
      </c>
      <c r="L367" t="s">
        <v>601</v>
      </c>
      <c r="M367">
        <v>112.22</v>
      </c>
      <c r="N367">
        <v>40</v>
      </c>
      <c r="O367" t="s">
        <v>1876</v>
      </c>
      <c r="P367" t="s">
        <v>84</v>
      </c>
      <c r="Q367" t="s">
        <v>59</v>
      </c>
      <c r="R367" t="s">
        <v>44</v>
      </c>
      <c r="S367" t="s">
        <v>73</v>
      </c>
      <c r="T367" t="s">
        <v>218</v>
      </c>
      <c r="U367">
        <v>2660</v>
      </c>
      <c r="V367">
        <v>162</v>
      </c>
      <c r="W367">
        <v>10</v>
      </c>
      <c r="X367">
        <v>1977.08</v>
      </c>
      <c r="Y367">
        <v>344.52</v>
      </c>
      <c r="Z367">
        <v>2321.6</v>
      </c>
      <c r="AA367" t="s">
        <v>62</v>
      </c>
      <c r="AB367">
        <v>0</v>
      </c>
      <c r="AC367">
        <v>79.59</v>
      </c>
      <c r="AD367">
        <v>59</v>
      </c>
      <c r="AE367">
        <v>107</v>
      </c>
    </row>
    <row r="368" spans="1:31" x14ac:dyDescent="0.25">
      <c r="A368" t="s">
        <v>1877</v>
      </c>
      <c r="B368" t="s">
        <v>1878</v>
      </c>
      <c r="C368" s="1">
        <v>44021</v>
      </c>
      <c r="D368" s="1">
        <v>44684</v>
      </c>
      <c r="E368" t="s">
        <v>65</v>
      </c>
      <c r="F368" t="s">
        <v>77</v>
      </c>
      <c r="G368" t="s">
        <v>113</v>
      </c>
      <c r="H368" t="s">
        <v>53</v>
      </c>
      <c r="I368" t="s">
        <v>1879</v>
      </c>
      <c r="J368" t="s">
        <v>38</v>
      </c>
      <c r="K368" t="s">
        <v>69</v>
      </c>
      <c r="L368" t="s">
        <v>1880</v>
      </c>
      <c r="M368">
        <v>463.92</v>
      </c>
      <c r="N368">
        <v>49</v>
      </c>
      <c r="O368" t="s">
        <v>1881</v>
      </c>
      <c r="P368" t="s">
        <v>141</v>
      </c>
      <c r="Q368" t="s">
        <v>562</v>
      </c>
      <c r="R368" t="s">
        <v>44</v>
      </c>
      <c r="S368" t="s">
        <v>45</v>
      </c>
      <c r="T368" t="s">
        <v>314</v>
      </c>
      <c r="U368">
        <v>1593</v>
      </c>
      <c r="V368">
        <v>289</v>
      </c>
      <c r="W368">
        <v>19</v>
      </c>
      <c r="X368">
        <v>1354.2</v>
      </c>
      <c r="Y368">
        <v>137.9</v>
      </c>
      <c r="Z368">
        <v>1492.1</v>
      </c>
      <c r="AA368" t="s">
        <v>62</v>
      </c>
      <c r="AB368">
        <v>0</v>
      </c>
      <c r="AC368">
        <v>96.08</v>
      </c>
      <c r="AD368">
        <v>188</v>
      </c>
      <c r="AE368">
        <v>223</v>
      </c>
    </row>
    <row r="369" spans="1:31" x14ac:dyDescent="0.25">
      <c r="A369" t="s">
        <v>1882</v>
      </c>
      <c r="B369" t="s">
        <v>1883</v>
      </c>
      <c r="C369" s="1">
        <v>45265</v>
      </c>
      <c r="D369" s="1">
        <v>45055</v>
      </c>
      <c r="E369" t="s">
        <v>50</v>
      </c>
      <c r="F369" t="s">
        <v>146</v>
      </c>
      <c r="G369" t="s">
        <v>66</v>
      </c>
      <c r="H369" t="s">
        <v>79</v>
      </c>
      <c r="I369" t="s">
        <v>1884</v>
      </c>
      <c r="J369" t="s">
        <v>165</v>
      </c>
      <c r="K369" t="s">
        <v>166</v>
      </c>
      <c r="L369" t="s">
        <v>1885</v>
      </c>
      <c r="M369">
        <v>443.86</v>
      </c>
      <c r="N369">
        <v>64</v>
      </c>
      <c r="O369" t="s">
        <v>1645</v>
      </c>
      <c r="P369" t="s">
        <v>108</v>
      </c>
      <c r="Q369" t="s">
        <v>909</v>
      </c>
      <c r="R369" t="s">
        <v>60</v>
      </c>
      <c r="S369" t="s">
        <v>87</v>
      </c>
      <c r="T369" t="s">
        <v>447</v>
      </c>
      <c r="U369">
        <v>3467</v>
      </c>
      <c r="V369">
        <v>331</v>
      </c>
      <c r="W369">
        <v>5</v>
      </c>
      <c r="X369">
        <v>391.01</v>
      </c>
      <c r="Y369">
        <v>225.14</v>
      </c>
      <c r="Z369">
        <v>616.15</v>
      </c>
      <c r="AA369" t="s">
        <v>62</v>
      </c>
      <c r="AB369">
        <v>0</v>
      </c>
      <c r="AC369">
        <v>75.83</v>
      </c>
      <c r="AD369">
        <v>266</v>
      </c>
      <c r="AE369">
        <v>283</v>
      </c>
    </row>
    <row r="370" spans="1:31" x14ac:dyDescent="0.25">
      <c r="A370" t="s">
        <v>1886</v>
      </c>
      <c r="B370" t="s">
        <v>1887</v>
      </c>
      <c r="C370" s="1">
        <v>45026</v>
      </c>
      <c r="D370" s="1">
        <v>44153</v>
      </c>
      <c r="E370" t="s">
        <v>65</v>
      </c>
      <c r="F370" t="s">
        <v>91</v>
      </c>
      <c r="G370" t="s">
        <v>35</v>
      </c>
      <c r="H370" t="s">
        <v>114</v>
      </c>
      <c r="I370" t="s">
        <v>1888</v>
      </c>
      <c r="J370" t="s">
        <v>104</v>
      </c>
      <c r="K370" t="s">
        <v>181</v>
      </c>
      <c r="L370" t="s">
        <v>1889</v>
      </c>
      <c r="M370">
        <v>293.23</v>
      </c>
      <c r="N370">
        <v>2</v>
      </c>
      <c r="O370" t="s">
        <v>1890</v>
      </c>
      <c r="P370" t="s">
        <v>141</v>
      </c>
      <c r="Q370" t="s">
        <v>169</v>
      </c>
      <c r="R370" t="s">
        <v>60</v>
      </c>
      <c r="S370" t="s">
        <v>73</v>
      </c>
      <c r="T370" t="s">
        <v>314</v>
      </c>
      <c r="U370">
        <v>2393</v>
      </c>
      <c r="V370">
        <v>460</v>
      </c>
      <c r="W370">
        <v>10</v>
      </c>
      <c r="X370">
        <v>274.01</v>
      </c>
      <c r="Y370">
        <v>174.73</v>
      </c>
      <c r="Z370">
        <v>448.74</v>
      </c>
      <c r="AA370" t="s">
        <v>62</v>
      </c>
      <c r="AB370">
        <v>0</v>
      </c>
      <c r="AC370">
        <v>82.81</v>
      </c>
      <c r="AD370">
        <v>344</v>
      </c>
      <c r="AE370">
        <v>310</v>
      </c>
    </row>
    <row r="371" spans="1:31" x14ac:dyDescent="0.25">
      <c r="A371" t="s">
        <v>1891</v>
      </c>
      <c r="B371" t="s">
        <v>1892</v>
      </c>
      <c r="C371" s="1">
        <v>45388</v>
      </c>
      <c r="D371" s="1">
        <v>45399</v>
      </c>
      <c r="E371" t="s">
        <v>50</v>
      </c>
      <c r="F371" t="s">
        <v>34</v>
      </c>
      <c r="G371" t="s">
        <v>52</v>
      </c>
      <c r="H371" t="s">
        <v>221</v>
      </c>
      <c r="I371" t="s">
        <v>1893</v>
      </c>
      <c r="J371" t="s">
        <v>38</v>
      </c>
      <c r="K371" t="s">
        <v>338</v>
      </c>
      <c r="L371" t="s">
        <v>1894</v>
      </c>
      <c r="M371">
        <v>94.35</v>
      </c>
      <c r="N371">
        <v>92</v>
      </c>
      <c r="O371" t="s">
        <v>1777</v>
      </c>
      <c r="P371" t="s">
        <v>58</v>
      </c>
      <c r="Q371" t="s">
        <v>159</v>
      </c>
      <c r="R371" t="s">
        <v>60</v>
      </c>
      <c r="S371" t="s">
        <v>87</v>
      </c>
      <c r="T371" t="s">
        <v>99</v>
      </c>
      <c r="U371">
        <v>858</v>
      </c>
      <c r="V371">
        <v>121</v>
      </c>
      <c r="W371">
        <v>6</v>
      </c>
      <c r="X371">
        <v>1472.42</v>
      </c>
      <c r="Y371">
        <v>311.47000000000003</v>
      </c>
      <c r="Z371">
        <v>1783.89</v>
      </c>
      <c r="AA371" t="s">
        <v>62</v>
      </c>
      <c r="AB371">
        <v>0</v>
      </c>
      <c r="AC371">
        <v>72.52</v>
      </c>
      <c r="AD371">
        <v>354</v>
      </c>
      <c r="AE371">
        <v>354</v>
      </c>
    </row>
    <row r="372" spans="1:31" x14ac:dyDescent="0.25">
      <c r="A372" t="s">
        <v>1895</v>
      </c>
      <c r="B372" t="s">
        <v>1896</v>
      </c>
      <c r="C372" s="1">
        <v>45242</v>
      </c>
      <c r="D372" s="1">
        <v>45215</v>
      </c>
      <c r="E372" t="s">
        <v>50</v>
      </c>
      <c r="F372" t="s">
        <v>51</v>
      </c>
      <c r="G372" t="s">
        <v>343</v>
      </c>
      <c r="H372" t="s">
        <v>36</v>
      </c>
      <c r="I372" t="s">
        <v>93</v>
      </c>
      <c r="J372" t="s">
        <v>38</v>
      </c>
      <c r="K372" t="s">
        <v>94</v>
      </c>
      <c r="L372" t="s">
        <v>95</v>
      </c>
      <c r="M372">
        <v>41.98</v>
      </c>
      <c r="N372">
        <v>40</v>
      </c>
      <c r="O372" t="s">
        <v>402</v>
      </c>
      <c r="P372" t="s">
        <v>141</v>
      </c>
      <c r="Q372" t="s">
        <v>389</v>
      </c>
      <c r="R372" t="s">
        <v>152</v>
      </c>
      <c r="S372" t="s">
        <v>98</v>
      </c>
      <c r="T372" t="s">
        <v>533</v>
      </c>
      <c r="U372">
        <v>4676</v>
      </c>
      <c r="V372">
        <v>131</v>
      </c>
      <c r="W372">
        <v>26</v>
      </c>
      <c r="X372">
        <v>497.87</v>
      </c>
      <c r="Y372">
        <v>15.92</v>
      </c>
      <c r="Z372">
        <v>513.79</v>
      </c>
      <c r="AA372" t="s">
        <v>62</v>
      </c>
      <c r="AB372">
        <v>0</v>
      </c>
      <c r="AC372">
        <v>85.3</v>
      </c>
      <c r="AD372">
        <v>262</v>
      </c>
      <c r="AE372">
        <v>295</v>
      </c>
    </row>
    <row r="373" spans="1:31" x14ac:dyDescent="0.25">
      <c r="A373" t="s">
        <v>1897</v>
      </c>
      <c r="B373" t="s">
        <v>1898</v>
      </c>
      <c r="C373" s="1">
        <v>45346</v>
      </c>
      <c r="D373" s="1">
        <v>44450</v>
      </c>
      <c r="E373" t="s">
        <v>65</v>
      </c>
      <c r="F373" t="s">
        <v>77</v>
      </c>
      <c r="G373" t="s">
        <v>113</v>
      </c>
      <c r="H373" t="s">
        <v>67</v>
      </c>
      <c r="I373" t="s">
        <v>1899</v>
      </c>
      <c r="J373" t="s">
        <v>104</v>
      </c>
      <c r="K373" t="s">
        <v>105</v>
      </c>
      <c r="L373" t="s">
        <v>1900</v>
      </c>
      <c r="M373">
        <v>360.43</v>
      </c>
      <c r="N373">
        <v>56</v>
      </c>
      <c r="O373" t="s">
        <v>1901</v>
      </c>
      <c r="P373" t="s">
        <v>108</v>
      </c>
      <c r="Q373" t="s">
        <v>232</v>
      </c>
      <c r="R373" t="s">
        <v>44</v>
      </c>
      <c r="S373" t="s">
        <v>126</v>
      </c>
      <c r="T373" t="s">
        <v>225</v>
      </c>
      <c r="U373">
        <v>4179</v>
      </c>
      <c r="V373">
        <v>174</v>
      </c>
      <c r="W373">
        <v>14</v>
      </c>
      <c r="X373">
        <v>1829.78</v>
      </c>
      <c r="Y373">
        <v>81.69</v>
      </c>
      <c r="Z373">
        <v>1911.47</v>
      </c>
      <c r="AA373" t="s">
        <v>47</v>
      </c>
      <c r="AB373">
        <v>5</v>
      </c>
      <c r="AC373">
        <v>91.73</v>
      </c>
      <c r="AD373">
        <v>228</v>
      </c>
      <c r="AE373">
        <v>191</v>
      </c>
    </row>
    <row r="374" spans="1:31" x14ac:dyDescent="0.25">
      <c r="A374" t="s">
        <v>1902</v>
      </c>
      <c r="B374" t="s">
        <v>1903</v>
      </c>
      <c r="C374" s="1">
        <v>44052</v>
      </c>
      <c r="D374" s="1">
        <v>45501</v>
      </c>
      <c r="E374" t="s">
        <v>65</v>
      </c>
      <c r="F374" t="s">
        <v>34</v>
      </c>
      <c r="G374" t="s">
        <v>102</v>
      </c>
      <c r="H374" t="s">
        <v>53</v>
      </c>
      <c r="I374" t="s">
        <v>1904</v>
      </c>
      <c r="J374" t="s">
        <v>38</v>
      </c>
      <c r="K374" t="s">
        <v>94</v>
      </c>
      <c r="L374" t="s">
        <v>1905</v>
      </c>
      <c r="M374">
        <v>357.7</v>
      </c>
      <c r="N374">
        <v>10</v>
      </c>
      <c r="O374" t="s">
        <v>168</v>
      </c>
      <c r="P374" t="s">
        <v>108</v>
      </c>
      <c r="Q374" t="s">
        <v>97</v>
      </c>
      <c r="R374" t="s">
        <v>44</v>
      </c>
      <c r="S374" t="s">
        <v>73</v>
      </c>
      <c r="T374" t="s">
        <v>378</v>
      </c>
      <c r="U374">
        <v>1610</v>
      </c>
      <c r="V374">
        <v>372</v>
      </c>
      <c r="W374">
        <v>2</v>
      </c>
      <c r="X374">
        <v>1345.21</v>
      </c>
      <c r="Y374">
        <v>18.16</v>
      </c>
      <c r="Z374">
        <v>1363.37</v>
      </c>
      <c r="AA374" t="s">
        <v>62</v>
      </c>
      <c r="AB374">
        <v>0</v>
      </c>
      <c r="AC374">
        <v>73.349999999999994</v>
      </c>
      <c r="AD374">
        <v>339</v>
      </c>
      <c r="AE374">
        <v>363</v>
      </c>
    </row>
    <row r="375" spans="1:31" x14ac:dyDescent="0.25">
      <c r="A375" t="s">
        <v>1906</v>
      </c>
      <c r="B375" t="s">
        <v>1907</v>
      </c>
      <c r="C375" s="1">
        <v>44309</v>
      </c>
      <c r="D375" s="1">
        <v>45471</v>
      </c>
      <c r="E375" t="s">
        <v>50</v>
      </c>
      <c r="F375" t="s">
        <v>51</v>
      </c>
      <c r="G375" t="s">
        <v>52</v>
      </c>
      <c r="H375" t="s">
        <v>67</v>
      </c>
      <c r="I375" t="s">
        <v>1908</v>
      </c>
      <c r="J375" t="s">
        <v>38</v>
      </c>
      <c r="K375" t="s">
        <v>94</v>
      </c>
      <c r="L375" t="s">
        <v>1909</v>
      </c>
      <c r="M375">
        <v>305.52999999999997</v>
      </c>
      <c r="N375">
        <v>59</v>
      </c>
      <c r="O375" t="s">
        <v>1910</v>
      </c>
      <c r="P375" t="s">
        <v>42</v>
      </c>
      <c r="Q375" t="s">
        <v>1244</v>
      </c>
      <c r="R375" t="s">
        <v>86</v>
      </c>
      <c r="S375" t="s">
        <v>126</v>
      </c>
      <c r="T375" t="s">
        <v>160</v>
      </c>
      <c r="U375">
        <v>2110</v>
      </c>
      <c r="V375">
        <v>215</v>
      </c>
      <c r="W375">
        <v>9</v>
      </c>
      <c r="X375">
        <v>1341.13</v>
      </c>
      <c r="Y375">
        <v>460.44</v>
      </c>
      <c r="Z375">
        <v>1801.57</v>
      </c>
      <c r="AA375" t="s">
        <v>62</v>
      </c>
      <c r="AB375">
        <v>0</v>
      </c>
      <c r="AC375">
        <v>97.05</v>
      </c>
      <c r="AD375">
        <v>95</v>
      </c>
      <c r="AE375">
        <v>136</v>
      </c>
    </row>
    <row r="376" spans="1:31" x14ac:dyDescent="0.25">
      <c r="A376" t="s">
        <v>1911</v>
      </c>
      <c r="B376" t="s">
        <v>1912</v>
      </c>
      <c r="C376" s="1">
        <v>45464</v>
      </c>
      <c r="D376" s="1">
        <v>44569</v>
      </c>
      <c r="E376" t="s">
        <v>65</v>
      </c>
      <c r="F376" t="s">
        <v>91</v>
      </c>
      <c r="G376" t="s">
        <v>92</v>
      </c>
      <c r="H376" t="s">
        <v>114</v>
      </c>
      <c r="I376" t="s">
        <v>400</v>
      </c>
      <c r="J376" t="s">
        <v>38</v>
      </c>
      <c r="K376" t="s">
        <v>94</v>
      </c>
      <c r="L376" t="s">
        <v>401</v>
      </c>
      <c r="M376">
        <v>372</v>
      </c>
      <c r="N376">
        <v>44</v>
      </c>
      <c r="O376" t="s">
        <v>1913</v>
      </c>
      <c r="P376" t="s">
        <v>58</v>
      </c>
      <c r="Q376" t="s">
        <v>191</v>
      </c>
      <c r="R376" t="s">
        <v>44</v>
      </c>
      <c r="S376" t="s">
        <v>126</v>
      </c>
      <c r="T376" t="s">
        <v>46</v>
      </c>
      <c r="U376">
        <v>94</v>
      </c>
      <c r="V376">
        <v>71</v>
      </c>
      <c r="W376">
        <v>7</v>
      </c>
      <c r="X376">
        <v>1934.59</v>
      </c>
      <c r="Y376">
        <v>211.21</v>
      </c>
      <c r="Z376">
        <v>2145.8000000000002</v>
      </c>
      <c r="AA376" t="s">
        <v>47</v>
      </c>
      <c r="AB376">
        <v>1</v>
      </c>
      <c r="AC376">
        <v>75.06</v>
      </c>
      <c r="AD376">
        <v>74</v>
      </c>
      <c r="AE376">
        <v>120</v>
      </c>
    </row>
    <row r="377" spans="1:31" x14ac:dyDescent="0.25">
      <c r="A377" t="s">
        <v>1914</v>
      </c>
      <c r="B377" t="s">
        <v>1915</v>
      </c>
      <c r="C377" s="1">
        <v>45626</v>
      </c>
      <c r="D377" s="1">
        <v>45583</v>
      </c>
      <c r="E377" t="s">
        <v>50</v>
      </c>
      <c r="F377" t="s">
        <v>51</v>
      </c>
      <c r="G377" t="s">
        <v>66</v>
      </c>
      <c r="H377" t="s">
        <v>36</v>
      </c>
      <c r="I377" t="s">
        <v>1916</v>
      </c>
      <c r="J377" t="s">
        <v>38</v>
      </c>
      <c r="K377" t="s">
        <v>263</v>
      </c>
      <c r="L377" t="s">
        <v>1917</v>
      </c>
      <c r="M377">
        <v>115.44</v>
      </c>
      <c r="N377">
        <v>71</v>
      </c>
      <c r="O377" t="s">
        <v>1918</v>
      </c>
      <c r="P377" t="s">
        <v>141</v>
      </c>
      <c r="Q377" t="s">
        <v>191</v>
      </c>
      <c r="R377" t="s">
        <v>60</v>
      </c>
      <c r="S377" t="s">
        <v>87</v>
      </c>
      <c r="T377" t="s">
        <v>409</v>
      </c>
      <c r="U377">
        <v>1059</v>
      </c>
      <c r="V377">
        <v>390</v>
      </c>
      <c r="W377">
        <v>3</v>
      </c>
      <c r="X377">
        <v>942.64</v>
      </c>
      <c r="Y377">
        <v>218.7</v>
      </c>
      <c r="Z377">
        <v>1161.3399999999999</v>
      </c>
      <c r="AA377" t="s">
        <v>62</v>
      </c>
      <c r="AB377">
        <v>0</v>
      </c>
      <c r="AC377">
        <v>87.53</v>
      </c>
      <c r="AD377">
        <v>227</v>
      </c>
      <c r="AE377">
        <v>263</v>
      </c>
    </row>
    <row r="378" spans="1:31" x14ac:dyDescent="0.25">
      <c r="A378" t="s">
        <v>1919</v>
      </c>
      <c r="B378" t="s">
        <v>1920</v>
      </c>
      <c r="C378" s="1">
        <v>44859</v>
      </c>
      <c r="D378" s="1">
        <v>44689</v>
      </c>
      <c r="E378" t="s">
        <v>65</v>
      </c>
      <c r="F378" t="s">
        <v>91</v>
      </c>
      <c r="G378" t="s">
        <v>343</v>
      </c>
      <c r="H378" t="s">
        <v>36</v>
      </c>
      <c r="I378" t="s">
        <v>1921</v>
      </c>
      <c r="J378" t="s">
        <v>38</v>
      </c>
      <c r="K378" t="s">
        <v>138</v>
      </c>
      <c r="L378" t="s">
        <v>1922</v>
      </c>
      <c r="M378">
        <v>422.22</v>
      </c>
      <c r="N378">
        <v>37</v>
      </c>
      <c r="O378" t="s">
        <v>748</v>
      </c>
      <c r="P378" t="s">
        <v>141</v>
      </c>
      <c r="Q378" t="s">
        <v>176</v>
      </c>
      <c r="R378" t="s">
        <v>86</v>
      </c>
      <c r="S378" t="s">
        <v>45</v>
      </c>
      <c r="T378" t="s">
        <v>437</v>
      </c>
      <c r="U378">
        <v>3462</v>
      </c>
      <c r="V378">
        <v>236</v>
      </c>
      <c r="W378">
        <v>8</v>
      </c>
      <c r="X378">
        <v>1315.39</v>
      </c>
      <c r="Y378">
        <v>105.6</v>
      </c>
      <c r="Z378">
        <v>1420.99</v>
      </c>
      <c r="AA378" t="s">
        <v>62</v>
      </c>
      <c r="AB378">
        <v>0</v>
      </c>
      <c r="AC378">
        <v>79.31</v>
      </c>
      <c r="AD378">
        <v>113</v>
      </c>
      <c r="AE378">
        <v>99</v>
      </c>
    </row>
    <row r="379" spans="1:31" x14ac:dyDescent="0.25">
      <c r="A379" t="s">
        <v>1923</v>
      </c>
      <c r="B379" t="s">
        <v>1924</v>
      </c>
      <c r="C379" s="1">
        <v>44149</v>
      </c>
      <c r="D379" s="1">
        <v>44031</v>
      </c>
      <c r="E379" t="s">
        <v>65</v>
      </c>
      <c r="F379" t="s">
        <v>34</v>
      </c>
      <c r="G379" t="s">
        <v>78</v>
      </c>
      <c r="H379" t="s">
        <v>67</v>
      </c>
      <c r="I379" t="s">
        <v>1925</v>
      </c>
      <c r="J379" t="s">
        <v>165</v>
      </c>
      <c r="K379" t="s">
        <v>202</v>
      </c>
      <c r="L379" t="s">
        <v>1926</v>
      </c>
      <c r="M379">
        <v>400.41</v>
      </c>
      <c r="N379">
        <v>84</v>
      </c>
      <c r="O379" t="s">
        <v>587</v>
      </c>
      <c r="P379" t="s">
        <v>42</v>
      </c>
      <c r="Q379" t="s">
        <v>1244</v>
      </c>
      <c r="R379" t="s">
        <v>86</v>
      </c>
      <c r="S379" t="s">
        <v>98</v>
      </c>
      <c r="T379" t="s">
        <v>61</v>
      </c>
      <c r="U379">
        <v>537</v>
      </c>
      <c r="V379">
        <v>409</v>
      </c>
      <c r="W379">
        <v>25</v>
      </c>
      <c r="X379">
        <v>525.48</v>
      </c>
      <c r="Y379">
        <v>352.82</v>
      </c>
      <c r="Z379">
        <v>878.3</v>
      </c>
      <c r="AA379" t="s">
        <v>62</v>
      </c>
      <c r="AB379">
        <v>0</v>
      </c>
      <c r="AC379">
        <v>83.23</v>
      </c>
      <c r="AD379">
        <v>109</v>
      </c>
      <c r="AE379">
        <v>101</v>
      </c>
    </row>
    <row r="380" spans="1:31" x14ac:dyDescent="0.25">
      <c r="A380" t="s">
        <v>1927</v>
      </c>
      <c r="B380" t="s">
        <v>1928</v>
      </c>
      <c r="C380" s="1">
        <v>45160</v>
      </c>
      <c r="D380" s="1">
        <v>44612</v>
      </c>
      <c r="E380" t="s">
        <v>50</v>
      </c>
      <c r="F380" t="s">
        <v>146</v>
      </c>
      <c r="G380" t="s">
        <v>113</v>
      </c>
      <c r="H380" t="s">
        <v>114</v>
      </c>
      <c r="I380" t="s">
        <v>1929</v>
      </c>
      <c r="J380" t="s">
        <v>165</v>
      </c>
      <c r="K380" t="s">
        <v>1098</v>
      </c>
      <c r="L380" t="s">
        <v>1930</v>
      </c>
      <c r="M380">
        <v>215.08</v>
      </c>
      <c r="N380">
        <v>93</v>
      </c>
      <c r="O380" t="s">
        <v>183</v>
      </c>
      <c r="P380" t="s">
        <v>141</v>
      </c>
      <c r="Q380" t="s">
        <v>232</v>
      </c>
      <c r="R380" t="s">
        <v>86</v>
      </c>
      <c r="S380" t="s">
        <v>73</v>
      </c>
      <c r="T380" t="s">
        <v>371</v>
      </c>
      <c r="U380">
        <v>17</v>
      </c>
      <c r="V380">
        <v>119</v>
      </c>
      <c r="W380">
        <v>19</v>
      </c>
      <c r="X380">
        <v>1877.46</v>
      </c>
      <c r="Y380">
        <v>322.63</v>
      </c>
      <c r="Z380">
        <v>2200.09</v>
      </c>
      <c r="AA380" t="s">
        <v>62</v>
      </c>
      <c r="AB380">
        <v>0</v>
      </c>
      <c r="AC380">
        <v>73.81</v>
      </c>
      <c r="AD380">
        <v>151</v>
      </c>
      <c r="AE380">
        <v>159</v>
      </c>
    </row>
    <row r="381" spans="1:31" x14ac:dyDescent="0.25">
      <c r="A381" t="s">
        <v>1931</v>
      </c>
      <c r="B381" t="s">
        <v>1932</v>
      </c>
      <c r="C381" s="1">
        <v>45333</v>
      </c>
      <c r="D381" s="1">
        <v>45583</v>
      </c>
      <c r="E381" t="s">
        <v>65</v>
      </c>
      <c r="F381" t="s">
        <v>146</v>
      </c>
      <c r="G381" t="s">
        <v>113</v>
      </c>
      <c r="H381" t="s">
        <v>114</v>
      </c>
      <c r="I381" t="s">
        <v>1933</v>
      </c>
      <c r="J381" t="s">
        <v>104</v>
      </c>
      <c r="K381" t="s">
        <v>181</v>
      </c>
      <c r="L381" t="s">
        <v>1934</v>
      </c>
      <c r="M381">
        <v>175.96</v>
      </c>
      <c r="N381">
        <v>83</v>
      </c>
      <c r="O381" t="s">
        <v>1935</v>
      </c>
      <c r="P381" t="s">
        <v>58</v>
      </c>
      <c r="Q381" t="s">
        <v>408</v>
      </c>
      <c r="R381" t="s">
        <v>86</v>
      </c>
      <c r="S381" t="s">
        <v>87</v>
      </c>
      <c r="T381" t="s">
        <v>1038</v>
      </c>
      <c r="U381">
        <v>3980</v>
      </c>
      <c r="V381">
        <v>237</v>
      </c>
      <c r="W381">
        <v>27</v>
      </c>
      <c r="X381">
        <v>89.56</v>
      </c>
      <c r="Y381">
        <v>350.76</v>
      </c>
      <c r="Z381">
        <v>440.32</v>
      </c>
      <c r="AA381" t="s">
        <v>62</v>
      </c>
      <c r="AB381">
        <v>0</v>
      </c>
      <c r="AC381">
        <v>74.19</v>
      </c>
      <c r="AD381">
        <v>61</v>
      </c>
      <c r="AE381">
        <v>44</v>
      </c>
    </row>
    <row r="382" spans="1:31" x14ac:dyDescent="0.25">
      <c r="A382" t="s">
        <v>1936</v>
      </c>
      <c r="B382" t="s">
        <v>1937</v>
      </c>
      <c r="C382" s="1">
        <v>43890</v>
      </c>
      <c r="D382" s="1">
        <v>44903</v>
      </c>
      <c r="E382" t="s">
        <v>65</v>
      </c>
      <c r="F382" t="s">
        <v>34</v>
      </c>
      <c r="G382" t="s">
        <v>35</v>
      </c>
      <c r="H382" t="s">
        <v>53</v>
      </c>
      <c r="I382" t="s">
        <v>1938</v>
      </c>
      <c r="J382" t="s">
        <v>38</v>
      </c>
      <c r="K382" t="s">
        <v>55</v>
      </c>
      <c r="L382" t="s">
        <v>1939</v>
      </c>
      <c r="M382">
        <v>205.67</v>
      </c>
      <c r="N382">
        <v>58</v>
      </c>
      <c r="O382" t="s">
        <v>1940</v>
      </c>
      <c r="P382" t="s">
        <v>141</v>
      </c>
      <c r="Q382" t="s">
        <v>432</v>
      </c>
      <c r="R382" t="s">
        <v>152</v>
      </c>
      <c r="S382" t="s">
        <v>73</v>
      </c>
      <c r="T382" t="s">
        <v>347</v>
      </c>
      <c r="U382">
        <v>3480</v>
      </c>
      <c r="V382">
        <v>163</v>
      </c>
      <c r="W382">
        <v>18</v>
      </c>
      <c r="X382">
        <v>810.79</v>
      </c>
      <c r="Y382">
        <v>445.4</v>
      </c>
      <c r="Z382">
        <v>1256.19</v>
      </c>
      <c r="AA382" t="s">
        <v>62</v>
      </c>
      <c r="AB382">
        <v>0</v>
      </c>
      <c r="AC382">
        <v>85.54</v>
      </c>
      <c r="AD382">
        <v>320</v>
      </c>
      <c r="AE382">
        <v>365</v>
      </c>
    </row>
    <row r="383" spans="1:31" x14ac:dyDescent="0.25">
      <c r="A383" t="s">
        <v>1941</v>
      </c>
      <c r="B383" t="s">
        <v>1942</v>
      </c>
      <c r="C383" s="1">
        <v>45470</v>
      </c>
      <c r="D383" s="1">
        <v>44629</v>
      </c>
      <c r="E383" t="s">
        <v>33</v>
      </c>
      <c r="F383" t="s">
        <v>77</v>
      </c>
      <c r="G383" t="s">
        <v>343</v>
      </c>
      <c r="H383" t="s">
        <v>221</v>
      </c>
      <c r="I383" t="s">
        <v>1943</v>
      </c>
      <c r="J383" t="s">
        <v>38</v>
      </c>
      <c r="K383" t="s">
        <v>39</v>
      </c>
      <c r="L383" t="s">
        <v>1944</v>
      </c>
      <c r="M383">
        <v>403.76</v>
      </c>
      <c r="N383">
        <v>66</v>
      </c>
      <c r="O383" t="s">
        <v>955</v>
      </c>
      <c r="P383" t="s">
        <v>108</v>
      </c>
      <c r="Q383" t="s">
        <v>708</v>
      </c>
      <c r="R383" t="s">
        <v>44</v>
      </c>
      <c r="S383" t="s">
        <v>87</v>
      </c>
      <c r="T383" t="s">
        <v>447</v>
      </c>
      <c r="U383">
        <v>4581</v>
      </c>
      <c r="V383">
        <v>469</v>
      </c>
      <c r="W383">
        <v>4</v>
      </c>
      <c r="X383">
        <v>1630.77</v>
      </c>
      <c r="Y383">
        <v>102.36</v>
      </c>
      <c r="Z383">
        <v>1733.13</v>
      </c>
      <c r="AA383" t="s">
        <v>62</v>
      </c>
      <c r="AB383">
        <v>0</v>
      </c>
      <c r="AC383">
        <v>72.81</v>
      </c>
      <c r="AD383">
        <v>125</v>
      </c>
      <c r="AE383">
        <v>90</v>
      </c>
    </row>
    <row r="384" spans="1:31" x14ac:dyDescent="0.25">
      <c r="A384" t="s">
        <v>1945</v>
      </c>
      <c r="B384" t="s">
        <v>1946</v>
      </c>
      <c r="C384" s="1">
        <v>44009</v>
      </c>
      <c r="D384" s="1">
        <v>45406</v>
      </c>
      <c r="E384" t="s">
        <v>33</v>
      </c>
      <c r="F384" t="s">
        <v>34</v>
      </c>
      <c r="G384" t="s">
        <v>113</v>
      </c>
      <c r="H384" t="s">
        <v>67</v>
      </c>
      <c r="I384" t="s">
        <v>1947</v>
      </c>
      <c r="J384" t="s">
        <v>104</v>
      </c>
      <c r="K384" t="s">
        <v>181</v>
      </c>
      <c r="L384" t="s">
        <v>1948</v>
      </c>
      <c r="M384">
        <v>255.68</v>
      </c>
      <c r="N384">
        <v>72</v>
      </c>
      <c r="O384" t="s">
        <v>1949</v>
      </c>
      <c r="P384" t="s">
        <v>84</v>
      </c>
      <c r="Q384" t="s">
        <v>184</v>
      </c>
      <c r="R384" t="s">
        <v>86</v>
      </c>
      <c r="S384" t="s">
        <v>87</v>
      </c>
      <c r="T384" t="s">
        <v>127</v>
      </c>
      <c r="U384">
        <v>1394</v>
      </c>
      <c r="V384">
        <v>417</v>
      </c>
      <c r="W384">
        <v>25</v>
      </c>
      <c r="X384">
        <v>561.62</v>
      </c>
      <c r="Y384">
        <v>12.49</v>
      </c>
      <c r="Z384">
        <v>574.11</v>
      </c>
      <c r="AA384" t="s">
        <v>62</v>
      </c>
      <c r="AB384">
        <v>0</v>
      </c>
      <c r="AC384">
        <v>80.92</v>
      </c>
      <c r="AD384">
        <v>438</v>
      </c>
      <c r="AE384">
        <v>396</v>
      </c>
    </row>
    <row r="385" spans="1:31" x14ac:dyDescent="0.25">
      <c r="A385" t="s">
        <v>1950</v>
      </c>
      <c r="B385" t="s">
        <v>1951</v>
      </c>
      <c r="C385" s="1">
        <v>44534</v>
      </c>
      <c r="D385" s="1">
        <v>43922</v>
      </c>
      <c r="E385" t="s">
        <v>50</v>
      </c>
      <c r="F385" t="s">
        <v>51</v>
      </c>
      <c r="G385" t="s">
        <v>92</v>
      </c>
      <c r="H385" t="s">
        <v>79</v>
      </c>
      <c r="I385" t="s">
        <v>1952</v>
      </c>
      <c r="J385" t="s">
        <v>104</v>
      </c>
      <c r="K385" t="s">
        <v>554</v>
      </c>
      <c r="L385" t="s">
        <v>1953</v>
      </c>
      <c r="M385">
        <v>24.56</v>
      </c>
      <c r="N385">
        <v>30</v>
      </c>
      <c r="O385" t="s">
        <v>803</v>
      </c>
      <c r="P385" t="s">
        <v>108</v>
      </c>
      <c r="Q385" t="s">
        <v>377</v>
      </c>
      <c r="R385" t="s">
        <v>44</v>
      </c>
      <c r="S385" t="s">
        <v>45</v>
      </c>
      <c r="T385" t="s">
        <v>99</v>
      </c>
      <c r="U385">
        <v>3695</v>
      </c>
      <c r="V385">
        <v>257</v>
      </c>
      <c r="W385">
        <v>10</v>
      </c>
      <c r="X385">
        <v>1418.31</v>
      </c>
      <c r="Y385">
        <v>82.6</v>
      </c>
      <c r="Z385">
        <v>1500.91</v>
      </c>
      <c r="AA385" t="s">
        <v>62</v>
      </c>
      <c r="AB385">
        <v>0</v>
      </c>
      <c r="AC385">
        <v>74.2</v>
      </c>
      <c r="AD385">
        <v>326</v>
      </c>
      <c r="AE385">
        <v>304</v>
      </c>
    </row>
    <row r="386" spans="1:31" x14ac:dyDescent="0.25">
      <c r="A386" t="s">
        <v>1954</v>
      </c>
      <c r="B386" t="s">
        <v>1955</v>
      </c>
      <c r="C386" s="1">
        <v>44885</v>
      </c>
      <c r="D386" s="1">
        <v>45263</v>
      </c>
      <c r="E386" t="s">
        <v>65</v>
      </c>
      <c r="F386" t="s">
        <v>146</v>
      </c>
      <c r="G386" t="s">
        <v>78</v>
      </c>
      <c r="H386" t="s">
        <v>114</v>
      </c>
      <c r="I386" t="s">
        <v>1780</v>
      </c>
      <c r="J386" t="s">
        <v>104</v>
      </c>
      <c r="K386" t="s">
        <v>554</v>
      </c>
      <c r="L386" t="s">
        <v>1781</v>
      </c>
      <c r="M386">
        <v>464.3</v>
      </c>
      <c r="N386">
        <v>79</v>
      </c>
      <c r="O386" t="s">
        <v>1956</v>
      </c>
      <c r="P386" t="s">
        <v>42</v>
      </c>
      <c r="Q386" t="s">
        <v>176</v>
      </c>
      <c r="R386" t="s">
        <v>44</v>
      </c>
      <c r="S386" t="s">
        <v>45</v>
      </c>
      <c r="T386" t="s">
        <v>654</v>
      </c>
      <c r="U386">
        <v>136</v>
      </c>
      <c r="V386">
        <v>444</v>
      </c>
      <c r="W386">
        <v>14</v>
      </c>
      <c r="X386">
        <v>826.12</v>
      </c>
      <c r="Y386">
        <v>348.32</v>
      </c>
      <c r="Z386">
        <v>1174.44</v>
      </c>
      <c r="AA386" t="s">
        <v>62</v>
      </c>
      <c r="AB386">
        <v>0</v>
      </c>
      <c r="AC386">
        <v>88.97</v>
      </c>
      <c r="AD386">
        <v>156</v>
      </c>
      <c r="AE386">
        <v>185</v>
      </c>
    </row>
    <row r="387" spans="1:31" x14ac:dyDescent="0.25">
      <c r="A387" t="s">
        <v>1957</v>
      </c>
      <c r="B387" t="s">
        <v>1958</v>
      </c>
      <c r="C387" s="1">
        <v>44828</v>
      </c>
      <c r="D387" s="1">
        <v>45606</v>
      </c>
      <c r="E387" t="s">
        <v>65</v>
      </c>
      <c r="F387" t="s">
        <v>51</v>
      </c>
      <c r="G387" t="s">
        <v>113</v>
      </c>
      <c r="H387" t="s">
        <v>79</v>
      </c>
      <c r="I387" t="s">
        <v>1959</v>
      </c>
      <c r="J387" t="s">
        <v>38</v>
      </c>
      <c r="K387" t="s">
        <v>81</v>
      </c>
      <c r="L387" t="s">
        <v>1960</v>
      </c>
      <c r="M387">
        <v>316.83</v>
      </c>
      <c r="N387">
        <v>7</v>
      </c>
      <c r="O387" t="s">
        <v>1961</v>
      </c>
      <c r="P387" t="s">
        <v>108</v>
      </c>
      <c r="Q387" t="s">
        <v>909</v>
      </c>
      <c r="R387" t="s">
        <v>44</v>
      </c>
      <c r="S387" t="s">
        <v>45</v>
      </c>
      <c r="T387" t="s">
        <v>533</v>
      </c>
      <c r="U387">
        <v>1869</v>
      </c>
      <c r="V387">
        <v>62</v>
      </c>
      <c r="W387">
        <v>3</v>
      </c>
      <c r="X387">
        <v>1286.95</v>
      </c>
      <c r="Y387">
        <v>335.69</v>
      </c>
      <c r="Z387">
        <v>1622.64</v>
      </c>
      <c r="AA387" t="s">
        <v>62</v>
      </c>
      <c r="AB387">
        <v>0</v>
      </c>
      <c r="AC387">
        <v>70.34</v>
      </c>
      <c r="AD387">
        <v>378</v>
      </c>
      <c r="AE387">
        <v>363</v>
      </c>
    </row>
    <row r="388" spans="1:31" x14ac:dyDescent="0.25">
      <c r="A388" t="s">
        <v>1962</v>
      </c>
      <c r="B388" t="s">
        <v>1963</v>
      </c>
      <c r="C388" s="1">
        <v>45174</v>
      </c>
      <c r="D388" s="1">
        <v>45664</v>
      </c>
      <c r="E388" t="s">
        <v>50</v>
      </c>
      <c r="F388" t="s">
        <v>77</v>
      </c>
      <c r="G388" t="s">
        <v>35</v>
      </c>
      <c r="H388" t="s">
        <v>163</v>
      </c>
      <c r="I388" t="s">
        <v>1964</v>
      </c>
      <c r="J388" t="s">
        <v>38</v>
      </c>
      <c r="K388" t="s">
        <v>55</v>
      </c>
      <c r="L388" t="s">
        <v>1965</v>
      </c>
      <c r="M388">
        <v>93.91</v>
      </c>
      <c r="N388">
        <v>37</v>
      </c>
      <c r="O388" t="s">
        <v>1966</v>
      </c>
      <c r="P388" t="s">
        <v>108</v>
      </c>
      <c r="Q388" t="s">
        <v>613</v>
      </c>
      <c r="R388" t="s">
        <v>44</v>
      </c>
      <c r="S388" t="s">
        <v>87</v>
      </c>
      <c r="T388" t="s">
        <v>127</v>
      </c>
      <c r="U388">
        <v>2136</v>
      </c>
      <c r="V388">
        <v>74</v>
      </c>
      <c r="W388">
        <v>7</v>
      </c>
      <c r="X388">
        <v>1151.6600000000001</v>
      </c>
      <c r="Y388">
        <v>467.98</v>
      </c>
      <c r="Z388">
        <v>1619.64</v>
      </c>
      <c r="AA388" t="s">
        <v>62</v>
      </c>
      <c r="AB388">
        <v>0</v>
      </c>
      <c r="AC388">
        <v>82.39</v>
      </c>
      <c r="AD388">
        <v>233</v>
      </c>
      <c r="AE388">
        <v>266</v>
      </c>
    </row>
    <row r="389" spans="1:31" x14ac:dyDescent="0.25">
      <c r="A389" t="s">
        <v>1967</v>
      </c>
      <c r="B389" t="s">
        <v>1968</v>
      </c>
      <c r="C389" s="1">
        <v>45170</v>
      </c>
      <c r="D389" s="1">
        <v>45037</v>
      </c>
      <c r="E389" t="s">
        <v>65</v>
      </c>
      <c r="F389" t="s">
        <v>51</v>
      </c>
      <c r="G389" t="s">
        <v>343</v>
      </c>
      <c r="H389" t="s">
        <v>163</v>
      </c>
      <c r="I389" t="s">
        <v>1969</v>
      </c>
      <c r="J389" t="s">
        <v>38</v>
      </c>
      <c r="K389" t="s">
        <v>81</v>
      </c>
      <c r="L389" t="s">
        <v>1970</v>
      </c>
      <c r="M389">
        <v>262.88</v>
      </c>
      <c r="N389">
        <v>80</v>
      </c>
      <c r="O389" t="s">
        <v>1971</v>
      </c>
      <c r="P389" t="s">
        <v>42</v>
      </c>
      <c r="Q389" t="s">
        <v>909</v>
      </c>
      <c r="R389" t="s">
        <v>152</v>
      </c>
      <c r="S389" t="s">
        <v>45</v>
      </c>
      <c r="T389" t="s">
        <v>1004</v>
      </c>
      <c r="U389">
        <v>697</v>
      </c>
      <c r="V389">
        <v>134</v>
      </c>
      <c r="W389">
        <v>22</v>
      </c>
      <c r="X389">
        <v>1368.62</v>
      </c>
      <c r="Y389">
        <v>77.27</v>
      </c>
      <c r="Z389">
        <v>1445.89</v>
      </c>
      <c r="AA389" t="s">
        <v>62</v>
      </c>
      <c r="AB389">
        <v>0</v>
      </c>
      <c r="AC389">
        <v>88.81</v>
      </c>
      <c r="AD389">
        <v>247</v>
      </c>
      <c r="AE389">
        <v>247</v>
      </c>
    </row>
    <row r="390" spans="1:31" x14ac:dyDescent="0.25">
      <c r="A390" t="s">
        <v>1972</v>
      </c>
      <c r="B390" t="s">
        <v>1973</v>
      </c>
      <c r="C390" s="1">
        <v>45435</v>
      </c>
      <c r="D390" s="1">
        <v>43871</v>
      </c>
      <c r="E390" t="s">
        <v>33</v>
      </c>
      <c r="F390" t="s">
        <v>34</v>
      </c>
      <c r="G390" t="s">
        <v>35</v>
      </c>
      <c r="H390" t="s">
        <v>53</v>
      </c>
      <c r="I390" t="s">
        <v>1974</v>
      </c>
      <c r="J390" t="s">
        <v>38</v>
      </c>
      <c r="K390" t="s">
        <v>55</v>
      </c>
      <c r="L390" t="s">
        <v>1975</v>
      </c>
      <c r="M390">
        <v>312.11</v>
      </c>
      <c r="N390">
        <v>34</v>
      </c>
      <c r="O390" t="s">
        <v>578</v>
      </c>
      <c r="P390" t="s">
        <v>84</v>
      </c>
      <c r="Q390" t="s">
        <v>370</v>
      </c>
      <c r="R390" t="s">
        <v>60</v>
      </c>
      <c r="S390" t="s">
        <v>98</v>
      </c>
      <c r="T390" t="s">
        <v>922</v>
      </c>
      <c r="U390">
        <v>3990</v>
      </c>
      <c r="V390">
        <v>473</v>
      </c>
      <c r="W390">
        <v>11</v>
      </c>
      <c r="X390">
        <v>1875.33</v>
      </c>
      <c r="Y390">
        <v>401.93</v>
      </c>
      <c r="Z390">
        <v>2277.2600000000002</v>
      </c>
      <c r="AA390" t="s">
        <v>62</v>
      </c>
      <c r="AB390">
        <v>0</v>
      </c>
      <c r="AC390">
        <v>96.24</v>
      </c>
      <c r="AD390">
        <v>402</v>
      </c>
      <c r="AE390">
        <v>418</v>
      </c>
    </row>
    <row r="391" spans="1:31" x14ac:dyDescent="0.25">
      <c r="A391" t="s">
        <v>1976</v>
      </c>
      <c r="B391" t="s">
        <v>1977</v>
      </c>
      <c r="C391" s="1">
        <v>43936</v>
      </c>
      <c r="D391" s="1">
        <v>44336</v>
      </c>
      <c r="E391" t="s">
        <v>65</v>
      </c>
      <c r="F391" t="s">
        <v>51</v>
      </c>
      <c r="G391" t="s">
        <v>78</v>
      </c>
      <c r="H391" t="s">
        <v>53</v>
      </c>
      <c r="I391" t="s">
        <v>1978</v>
      </c>
      <c r="J391" t="s">
        <v>38</v>
      </c>
      <c r="K391" t="s">
        <v>263</v>
      </c>
      <c r="L391" t="s">
        <v>271</v>
      </c>
      <c r="M391">
        <v>391.95</v>
      </c>
      <c r="N391">
        <v>46</v>
      </c>
      <c r="O391" t="s">
        <v>1979</v>
      </c>
      <c r="P391" t="s">
        <v>42</v>
      </c>
      <c r="Q391" t="s">
        <v>266</v>
      </c>
      <c r="R391" t="s">
        <v>60</v>
      </c>
      <c r="S391" t="s">
        <v>45</v>
      </c>
      <c r="T391" t="s">
        <v>1004</v>
      </c>
      <c r="U391">
        <v>1302</v>
      </c>
      <c r="V391">
        <v>164</v>
      </c>
      <c r="W391">
        <v>17</v>
      </c>
      <c r="X391">
        <v>106.4</v>
      </c>
      <c r="Y391">
        <v>455.07</v>
      </c>
      <c r="Z391">
        <v>561.47</v>
      </c>
      <c r="AA391" t="s">
        <v>47</v>
      </c>
      <c r="AB391">
        <v>10</v>
      </c>
      <c r="AC391">
        <v>90</v>
      </c>
      <c r="AD391">
        <v>485</v>
      </c>
      <c r="AE391">
        <v>526</v>
      </c>
    </row>
    <row r="392" spans="1:31" x14ac:dyDescent="0.25">
      <c r="A392" t="s">
        <v>1980</v>
      </c>
      <c r="B392" t="s">
        <v>1981</v>
      </c>
      <c r="C392" s="1">
        <v>45215</v>
      </c>
      <c r="D392" s="1">
        <v>43965</v>
      </c>
      <c r="E392" t="s">
        <v>65</v>
      </c>
      <c r="F392" t="s">
        <v>146</v>
      </c>
      <c r="G392" t="s">
        <v>52</v>
      </c>
      <c r="H392" t="s">
        <v>79</v>
      </c>
      <c r="I392" t="s">
        <v>1504</v>
      </c>
      <c r="J392" t="s">
        <v>104</v>
      </c>
      <c r="K392" t="s">
        <v>105</v>
      </c>
      <c r="L392" t="s">
        <v>1505</v>
      </c>
      <c r="M392">
        <v>11.44</v>
      </c>
      <c r="N392">
        <v>74</v>
      </c>
      <c r="O392" t="s">
        <v>1982</v>
      </c>
      <c r="P392" t="s">
        <v>58</v>
      </c>
      <c r="Q392" t="s">
        <v>686</v>
      </c>
      <c r="R392" t="s">
        <v>86</v>
      </c>
      <c r="S392" t="s">
        <v>45</v>
      </c>
      <c r="T392" t="s">
        <v>206</v>
      </c>
      <c r="U392">
        <v>594</v>
      </c>
      <c r="V392">
        <v>232</v>
      </c>
      <c r="W392">
        <v>21</v>
      </c>
      <c r="X392">
        <v>1529.63</v>
      </c>
      <c r="Y392">
        <v>431.87</v>
      </c>
      <c r="Z392">
        <v>1961.5</v>
      </c>
      <c r="AA392" t="s">
        <v>62</v>
      </c>
      <c r="AB392">
        <v>0</v>
      </c>
      <c r="AC392">
        <v>86.38</v>
      </c>
      <c r="AD392">
        <v>117</v>
      </c>
      <c r="AE392">
        <v>139</v>
      </c>
    </row>
    <row r="393" spans="1:31" x14ac:dyDescent="0.25">
      <c r="A393" t="s">
        <v>1983</v>
      </c>
      <c r="B393" t="s">
        <v>1984</v>
      </c>
      <c r="C393" s="1">
        <v>45401</v>
      </c>
      <c r="D393" s="1">
        <v>45519</v>
      </c>
      <c r="E393" t="s">
        <v>50</v>
      </c>
      <c r="F393" t="s">
        <v>51</v>
      </c>
      <c r="G393" t="s">
        <v>78</v>
      </c>
      <c r="H393" t="s">
        <v>163</v>
      </c>
      <c r="I393" t="s">
        <v>1504</v>
      </c>
      <c r="J393" t="s">
        <v>104</v>
      </c>
      <c r="K393" t="s">
        <v>105</v>
      </c>
      <c r="L393" t="s">
        <v>1505</v>
      </c>
      <c r="M393">
        <v>167.06</v>
      </c>
      <c r="N393">
        <v>89</v>
      </c>
      <c r="O393" t="s">
        <v>1985</v>
      </c>
      <c r="P393" t="s">
        <v>42</v>
      </c>
      <c r="Q393" t="s">
        <v>425</v>
      </c>
      <c r="R393" t="s">
        <v>152</v>
      </c>
      <c r="S393" t="s">
        <v>98</v>
      </c>
      <c r="T393" t="s">
        <v>259</v>
      </c>
      <c r="U393">
        <v>4407</v>
      </c>
      <c r="V393">
        <v>191</v>
      </c>
      <c r="W393">
        <v>10</v>
      </c>
      <c r="X393">
        <v>1568.28</v>
      </c>
      <c r="Y393">
        <v>432.12</v>
      </c>
      <c r="Z393">
        <v>2000.4</v>
      </c>
      <c r="AA393" t="s">
        <v>62</v>
      </c>
      <c r="AB393">
        <v>0</v>
      </c>
      <c r="AC393">
        <v>93.03</v>
      </c>
      <c r="AD393">
        <v>452</v>
      </c>
      <c r="AE393">
        <v>411</v>
      </c>
    </row>
    <row r="394" spans="1:31" x14ac:dyDescent="0.25">
      <c r="A394" t="s">
        <v>1986</v>
      </c>
      <c r="B394" t="s">
        <v>1987</v>
      </c>
      <c r="C394" s="1">
        <v>45288</v>
      </c>
      <c r="D394" s="1">
        <v>45159</v>
      </c>
      <c r="E394" t="s">
        <v>65</v>
      </c>
      <c r="F394" t="s">
        <v>146</v>
      </c>
      <c r="G394" t="s">
        <v>343</v>
      </c>
      <c r="H394" t="s">
        <v>79</v>
      </c>
      <c r="I394" t="s">
        <v>1988</v>
      </c>
      <c r="J394" t="s">
        <v>104</v>
      </c>
      <c r="K394" t="s">
        <v>181</v>
      </c>
      <c r="L394" t="s">
        <v>1989</v>
      </c>
      <c r="M394">
        <v>392.17</v>
      </c>
      <c r="N394">
        <v>51</v>
      </c>
      <c r="O394" t="s">
        <v>1990</v>
      </c>
      <c r="P394" t="s">
        <v>108</v>
      </c>
      <c r="Q394" t="s">
        <v>217</v>
      </c>
      <c r="R394" t="s">
        <v>152</v>
      </c>
      <c r="S394" t="s">
        <v>98</v>
      </c>
      <c r="T394" t="s">
        <v>644</v>
      </c>
      <c r="U394">
        <v>65</v>
      </c>
      <c r="V394">
        <v>373</v>
      </c>
      <c r="W394">
        <v>1</v>
      </c>
      <c r="X394">
        <v>1164.58</v>
      </c>
      <c r="Y394">
        <v>319.69</v>
      </c>
      <c r="Z394">
        <v>1484.27</v>
      </c>
      <c r="AA394" t="s">
        <v>62</v>
      </c>
      <c r="AB394">
        <v>0</v>
      </c>
      <c r="AC394">
        <v>91.91</v>
      </c>
      <c r="AD394">
        <v>263</v>
      </c>
      <c r="AE394">
        <v>222</v>
      </c>
    </row>
    <row r="395" spans="1:31" x14ac:dyDescent="0.25">
      <c r="A395" t="s">
        <v>1991</v>
      </c>
      <c r="B395" t="s">
        <v>1992</v>
      </c>
      <c r="C395" s="1">
        <v>43877</v>
      </c>
      <c r="D395" s="1">
        <v>44065</v>
      </c>
      <c r="E395" t="s">
        <v>65</v>
      </c>
      <c r="F395" t="s">
        <v>146</v>
      </c>
      <c r="G395" t="s">
        <v>78</v>
      </c>
      <c r="H395" t="s">
        <v>67</v>
      </c>
      <c r="I395" t="s">
        <v>1551</v>
      </c>
      <c r="J395" t="s">
        <v>38</v>
      </c>
      <c r="K395" t="s">
        <v>55</v>
      </c>
      <c r="L395" t="s">
        <v>1552</v>
      </c>
      <c r="M395">
        <v>344.2</v>
      </c>
      <c r="N395">
        <v>43</v>
      </c>
      <c r="O395" t="s">
        <v>1993</v>
      </c>
      <c r="P395" t="s">
        <v>42</v>
      </c>
      <c r="Q395" t="s">
        <v>327</v>
      </c>
      <c r="R395" t="s">
        <v>152</v>
      </c>
      <c r="S395" t="s">
        <v>73</v>
      </c>
      <c r="T395" t="s">
        <v>127</v>
      </c>
      <c r="U395">
        <v>3883</v>
      </c>
      <c r="V395">
        <v>68</v>
      </c>
      <c r="W395">
        <v>17</v>
      </c>
      <c r="X395">
        <v>1465.92</v>
      </c>
      <c r="Y395">
        <v>34.4</v>
      </c>
      <c r="Z395">
        <v>1500.32</v>
      </c>
      <c r="AA395" t="s">
        <v>62</v>
      </c>
      <c r="AB395">
        <v>0</v>
      </c>
      <c r="AC395">
        <v>76.569999999999993</v>
      </c>
      <c r="AD395">
        <v>486</v>
      </c>
      <c r="AE395">
        <v>492</v>
      </c>
    </row>
    <row r="396" spans="1:31" x14ac:dyDescent="0.25">
      <c r="A396" t="s">
        <v>1994</v>
      </c>
      <c r="B396" t="s">
        <v>1995</v>
      </c>
      <c r="C396" s="1">
        <v>44354</v>
      </c>
      <c r="D396" s="1">
        <v>44393</v>
      </c>
      <c r="E396" t="s">
        <v>65</v>
      </c>
      <c r="F396" t="s">
        <v>34</v>
      </c>
      <c r="G396" t="s">
        <v>102</v>
      </c>
      <c r="H396" t="s">
        <v>53</v>
      </c>
      <c r="I396" t="s">
        <v>1996</v>
      </c>
      <c r="J396" t="s">
        <v>38</v>
      </c>
      <c r="K396" t="s">
        <v>55</v>
      </c>
      <c r="L396" t="s">
        <v>1997</v>
      </c>
      <c r="M396">
        <v>207.24</v>
      </c>
      <c r="N396">
        <v>97</v>
      </c>
      <c r="O396" t="s">
        <v>1998</v>
      </c>
      <c r="P396" t="s">
        <v>84</v>
      </c>
      <c r="Q396" t="s">
        <v>544</v>
      </c>
      <c r="R396" t="s">
        <v>44</v>
      </c>
      <c r="S396" t="s">
        <v>45</v>
      </c>
      <c r="T396" t="s">
        <v>378</v>
      </c>
      <c r="U396">
        <v>2375</v>
      </c>
      <c r="V396">
        <v>420</v>
      </c>
      <c r="W396">
        <v>19</v>
      </c>
      <c r="X396">
        <v>1241.01</v>
      </c>
      <c r="Y396">
        <v>277.16000000000003</v>
      </c>
      <c r="Z396">
        <v>1518.17</v>
      </c>
      <c r="AA396" t="s">
        <v>62</v>
      </c>
      <c r="AB396">
        <v>0</v>
      </c>
      <c r="AC396">
        <v>98.5</v>
      </c>
      <c r="AD396">
        <v>133</v>
      </c>
      <c r="AE396">
        <v>116</v>
      </c>
    </row>
    <row r="397" spans="1:31" x14ac:dyDescent="0.25">
      <c r="A397" t="s">
        <v>1999</v>
      </c>
      <c r="B397" t="s">
        <v>2000</v>
      </c>
      <c r="C397" s="1">
        <v>45039</v>
      </c>
      <c r="D397" s="1">
        <v>44845</v>
      </c>
      <c r="E397" t="s">
        <v>65</v>
      </c>
      <c r="F397" t="s">
        <v>34</v>
      </c>
      <c r="G397" t="s">
        <v>343</v>
      </c>
      <c r="H397" t="s">
        <v>163</v>
      </c>
      <c r="I397" t="s">
        <v>938</v>
      </c>
      <c r="J397" t="s">
        <v>38</v>
      </c>
      <c r="K397" t="s">
        <v>39</v>
      </c>
      <c r="L397" t="s">
        <v>939</v>
      </c>
      <c r="M397">
        <v>303.32</v>
      </c>
      <c r="N397">
        <v>35</v>
      </c>
      <c r="O397" t="s">
        <v>2001</v>
      </c>
      <c r="P397" t="s">
        <v>42</v>
      </c>
      <c r="Q397" t="s">
        <v>238</v>
      </c>
      <c r="R397" t="s">
        <v>152</v>
      </c>
      <c r="S397" t="s">
        <v>126</v>
      </c>
      <c r="T397" t="s">
        <v>447</v>
      </c>
      <c r="U397">
        <v>3671</v>
      </c>
      <c r="V397">
        <v>490</v>
      </c>
      <c r="W397">
        <v>2</v>
      </c>
      <c r="X397">
        <v>832.16</v>
      </c>
      <c r="Y397">
        <v>417.15</v>
      </c>
      <c r="Z397">
        <v>1249.31</v>
      </c>
      <c r="AA397" t="s">
        <v>62</v>
      </c>
      <c r="AB397">
        <v>0</v>
      </c>
      <c r="AC397">
        <v>82.32</v>
      </c>
      <c r="AD397">
        <v>441</v>
      </c>
      <c r="AE397">
        <v>426</v>
      </c>
    </row>
    <row r="398" spans="1:31" x14ac:dyDescent="0.25">
      <c r="A398" t="s">
        <v>2002</v>
      </c>
      <c r="B398" t="s">
        <v>2003</v>
      </c>
      <c r="C398" s="1">
        <v>44569</v>
      </c>
      <c r="D398" s="1">
        <v>44823</v>
      </c>
      <c r="E398" t="s">
        <v>65</v>
      </c>
      <c r="F398" t="s">
        <v>77</v>
      </c>
      <c r="G398" t="s">
        <v>343</v>
      </c>
      <c r="H398" t="s">
        <v>221</v>
      </c>
      <c r="I398" t="s">
        <v>2004</v>
      </c>
      <c r="J398" t="s">
        <v>104</v>
      </c>
      <c r="K398" t="s">
        <v>105</v>
      </c>
      <c r="L398" t="s">
        <v>2005</v>
      </c>
      <c r="M398">
        <v>427.3</v>
      </c>
      <c r="N398">
        <v>3</v>
      </c>
      <c r="O398" t="s">
        <v>1782</v>
      </c>
      <c r="P398" t="s">
        <v>141</v>
      </c>
      <c r="Q398" t="s">
        <v>532</v>
      </c>
      <c r="R398" t="s">
        <v>152</v>
      </c>
      <c r="S398" t="s">
        <v>98</v>
      </c>
      <c r="T398" t="s">
        <v>470</v>
      </c>
      <c r="U398">
        <v>1933</v>
      </c>
      <c r="V398">
        <v>176</v>
      </c>
      <c r="W398">
        <v>3</v>
      </c>
      <c r="X398">
        <v>1504.9</v>
      </c>
      <c r="Y398">
        <v>198.57</v>
      </c>
      <c r="Z398">
        <v>1703.47</v>
      </c>
      <c r="AA398" t="s">
        <v>62</v>
      </c>
      <c r="AB398">
        <v>0</v>
      </c>
      <c r="AC398">
        <v>82.99</v>
      </c>
      <c r="AD398">
        <v>473</v>
      </c>
      <c r="AE398">
        <v>497</v>
      </c>
    </row>
    <row r="399" spans="1:31" x14ac:dyDescent="0.25">
      <c r="A399" t="s">
        <v>2006</v>
      </c>
      <c r="B399" t="s">
        <v>2007</v>
      </c>
      <c r="C399" s="1">
        <v>44588</v>
      </c>
      <c r="D399" s="1">
        <v>44221</v>
      </c>
      <c r="E399" t="s">
        <v>65</v>
      </c>
      <c r="F399" t="s">
        <v>34</v>
      </c>
      <c r="G399" t="s">
        <v>52</v>
      </c>
      <c r="H399" t="s">
        <v>221</v>
      </c>
      <c r="I399" t="s">
        <v>2008</v>
      </c>
      <c r="J399" t="s">
        <v>104</v>
      </c>
      <c r="K399" t="s">
        <v>181</v>
      </c>
      <c r="L399" t="s">
        <v>2009</v>
      </c>
      <c r="M399">
        <v>94.06</v>
      </c>
      <c r="N399">
        <v>37</v>
      </c>
      <c r="O399" t="s">
        <v>2010</v>
      </c>
      <c r="P399" t="s">
        <v>42</v>
      </c>
      <c r="Q399" t="s">
        <v>125</v>
      </c>
      <c r="R399" t="s">
        <v>152</v>
      </c>
      <c r="S399" t="s">
        <v>126</v>
      </c>
      <c r="T399" t="s">
        <v>359</v>
      </c>
      <c r="U399">
        <v>1647</v>
      </c>
      <c r="V399">
        <v>91</v>
      </c>
      <c r="W399">
        <v>2</v>
      </c>
      <c r="X399">
        <v>618.78</v>
      </c>
      <c r="Y399">
        <v>295.8</v>
      </c>
      <c r="Z399">
        <v>914.57999999999993</v>
      </c>
      <c r="AA399" t="s">
        <v>62</v>
      </c>
      <c r="AB399">
        <v>0</v>
      </c>
      <c r="AC399">
        <v>74.91</v>
      </c>
      <c r="AD399">
        <v>68</v>
      </c>
      <c r="AE399">
        <v>73</v>
      </c>
    </row>
    <row r="400" spans="1:31" x14ac:dyDescent="0.25">
      <c r="A400" t="s">
        <v>2011</v>
      </c>
      <c r="B400" t="s">
        <v>2012</v>
      </c>
      <c r="C400" s="1">
        <v>45571</v>
      </c>
      <c r="D400" s="1">
        <v>44993</v>
      </c>
      <c r="E400" t="s">
        <v>50</v>
      </c>
      <c r="F400" t="s">
        <v>77</v>
      </c>
      <c r="G400" t="s">
        <v>113</v>
      </c>
      <c r="H400" t="s">
        <v>221</v>
      </c>
      <c r="I400" t="s">
        <v>2013</v>
      </c>
      <c r="J400" t="s">
        <v>38</v>
      </c>
      <c r="K400" t="s">
        <v>338</v>
      </c>
      <c r="L400" t="s">
        <v>2014</v>
      </c>
      <c r="M400">
        <v>119.52</v>
      </c>
      <c r="N400">
        <v>41</v>
      </c>
      <c r="O400" t="s">
        <v>970</v>
      </c>
      <c r="P400" t="s">
        <v>84</v>
      </c>
      <c r="Q400" t="s">
        <v>517</v>
      </c>
      <c r="R400" t="s">
        <v>86</v>
      </c>
      <c r="S400" t="s">
        <v>98</v>
      </c>
      <c r="T400" t="s">
        <v>470</v>
      </c>
      <c r="U400">
        <v>1966</v>
      </c>
      <c r="V400">
        <v>409</v>
      </c>
      <c r="W400">
        <v>19</v>
      </c>
      <c r="X400">
        <v>1409.39</v>
      </c>
      <c r="Y400">
        <v>23.83</v>
      </c>
      <c r="Z400">
        <v>1433.22</v>
      </c>
      <c r="AA400" t="s">
        <v>62</v>
      </c>
      <c r="AB400">
        <v>0</v>
      </c>
      <c r="AC400">
        <v>79.400000000000006</v>
      </c>
      <c r="AD400">
        <v>480</v>
      </c>
      <c r="AE400">
        <v>465</v>
      </c>
    </row>
    <row r="401" spans="1:31" x14ac:dyDescent="0.25">
      <c r="A401" t="s">
        <v>2015</v>
      </c>
      <c r="B401" t="s">
        <v>2016</v>
      </c>
      <c r="C401" s="1">
        <v>44636</v>
      </c>
      <c r="D401" s="1">
        <v>43911</v>
      </c>
      <c r="E401" t="s">
        <v>65</v>
      </c>
      <c r="F401" t="s">
        <v>51</v>
      </c>
      <c r="G401" t="s">
        <v>35</v>
      </c>
      <c r="H401" t="s">
        <v>53</v>
      </c>
      <c r="I401" t="s">
        <v>2017</v>
      </c>
      <c r="J401" t="s">
        <v>38</v>
      </c>
      <c r="K401" t="s">
        <v>94</v>
      </c>
      <c r="L401" t="s">
        <v>2018</v>
      </c>
      <c r="M401">
        <v>280</v>
      </c>
      <c r="N401">
        <v>44</v>
      </c>
      <c r="O401" t="s">
        <v>1000</v>
      </c>
      <c r="P401" t="s">
        <v>58</v>
      </c>
      <c r="Q401" t="s">
        <v>408</v>
      </c>
      <c r="R401" t="s">
        <v>60</v>
      </c>
      <c r="S401" t="s">
        <v>87</v>
      </c>
      <c r="T401" t="s">
        <v>314</v>
      </c>
      <c r="U401">
        <v>1314</v>
      </c>
      <c r="V401">
        <v>327</v>
      </c>
      <c r="W401">
        <v>17</v>
      </c>
      <c r="X401">
        <v>1260.53</v>
      </c>
      <c r="Y401">
        <v>42.88</v>
      </c>
      <c r="Z401">
        <v>1303.4100000000001</v>
      </c>
      <c r="AA401" t="s">
        <v>47</v>
      </c>
      <c r="AB401">
        <v>7</v>
      </c>
      <c r="AC401">
        <v>78.36</v>
      </c>
      <c r="AD401">
        <v>480</v>
      </c>
      <c r="AE401">
        <v>489</v>
      </c>
    </row>
    <row r="402" spans="1:31" x14ac:dyDescent="0.25">
      <c r="A402" t="s">
        <v>2019</v>
      </c>
      <c r="B402" t="s">
        <v>2020</v>
      </c>
      <c r="C402" s="1">
        <v>44474</v>
      </c>
      <c r="D402" s="1">
        <v>44877</v>
      </c>
      <c r="E402" t="s">
        <v>65</v>
      </c>
      <c r="F402" t="s">
        <v>91</v>
      </c>
      <c r="G402" t="s">
        <v>52</v>
      </c>
      <c r="H402" t="s">
        <v>163</v>
      </c>
      <c r="I402" t="s">
        <v>2021</v>
      </c>
      <c r="J402" t="s">
        <v>38</v>
      </c>
      <c r="K402" t="s">
        <v>39</v>
      </c>
      <c r="L402" t="s">
        <v>2022</v>
      </c>
      <c r="M402">
        <v>344.96</v>
      </c>
      <c r="N402">
        <v>10</v>
      </c>
      <c r="O402" t="s">
        <v>2023</v>
      </c>
      <c r="P402" t="s">
        <v>108</v>
      </c>
      <c r="Q402" t="s">
        <v>458</v>
      </c>
      <c r="R402" t="s">
        <v>86</v>
      </c>
      <c r="S402" t="s">
        <v>45</v>
      </c>
      <c r="T402" t="s">
        <v>638</v>
      </c>
      <c r="U402">
        <v>4508</v>
      </c>
      <c r="V402">
        <v>190</v>
      </c>
      <c r="W402">
        <v>28</v>
      </c>
      <c r="X402">
        <v>798</v>
      </c>
      <c r="Y402">
        <v>423.51</v>
      </c>
      <c r="Z402">
        <v>1221.51</v>
      </c>
      <c r="AA402" t="s">
        <v>62</v>
      </c>
      <c r="AB402">
        <v>0</v>
      </c>
      <c r="AC402">
        <v>99.96</v>
      </c>
      <c r="AD402">
        <v>180</v>
      </c>
      <c r="AE402">
        <v>192</v>
      </c>
    </row>
    <row r="403" spans="1:31" x14ac:dyDescent="0.25">
      <c r="A403" t="s">
        <v>2024</v>
      </c>
      <c r="B403" t="s">
        <v>2025</v>
      </c>
      <c r="C403" s="1">
        <v>44596</v>
      </c>
      <c r="D403" s="1">
        <v>44599</v>
      </c>
      <c r="E403" t="s">
        <v>50</v>
      </c>
      <c r="F403" t="s">
        <v>34</v>
      </c>
      <c r="G403" t="s">
        <v>113</v>
      </c>
      <c r="H403" t="s">
        <v>221</v>
      </c>
      <c r="I403" t="s">
        <v>2026</v>
      </c>
      <c r="J403" t="s">
        <v>165</v>
      </c>
      <c r="K403" t="s">
        <v>166</v>
      </c>
      <c r="L403" t="s">
        <v>2027</v>
      </c>
      <c r="M403">
        <v>499.5</v>
      </c>
      <c r="N403">
        <v>48</v>
      </c>
      <c r="O403" t="s">
        <v>1685</v>
      </c>
      <c r="P403" t="s">
        <v>84</v>
      </c>
      <c r="Q403" t="s">
        <v>702</v>
      </c>
      <c r="R403" t="s">
        <v>152</v>
      </c>
      <c r="S403" t="s">
        <v>126</v>
      </c>
      <c r="T403" t="s">
        <v>470</v>
      </c>
      <c r="U403">
        <v>4381</v>
      </c>
      <c r="V403">
        <v>440</v>
      </c>
      <c r="W403">
        <v>17</v>
      </c>
      <c r="X403">
        <v>1197.43</v>
      </c>
      <c r="Y403">
        <v>454.86</v>
      </c>
      <c r="Z403">
        <v>1652.29</v>
      </c>
      <c r="AA403" t="s">
        <v>62</v>
      </c>
      <c r="AB403">
        <v>0</v>
      </c>
      <c r="AC403">
        <v>81.88</v>
      </c>
      <c r="AD403">
        <v>268</v>
      </c>
      <c r="AE403">
        <v>252</v>
      </c>
    </row>
    <row r="404" spans="1:31" x14ac:dyDescent="0.25">
      <c r="A404" t="s">
        <v>2028</v>
      </c>
      <c r="B404" t="s">
        <v>2029</v>
      </c>
      <c r="C404" s="1">
        <v>44212</v>
      </c>
      <c r="D404" s="1">
        <v>44791</v>
      </c>
      <c r="E404" t="s">
        <v>65</v>
      </c>
      <c r="F404" t="s">
        <v>51</v>
      </c>
      <c r="G404" t="s">
        <v>113</v>
      </c>
      <c r="H404" t="s">
        <v>147</v>
      </c>
      <c r="I404" t="s">
        <v>2030</v>
      </c>
      <c r="J404" t="s">
        <v>104</v>
      </c>
      <c r="K404" t="s">
        <v>105</v>
      </c>
      <c r="L404" t="s">
        <v>2031</v>
      </c>
      <c r="M404">
        <v>273.02999999999997</v>
      </c>
      <c r="N404">
        <v>71</v>
      </c>
      <c r="O404" t="s">
        <v>2032</v>
      </c>
      <c r="P404" t="s">
        <v>58</v>
      </c>
      <c r="Q404" t="s">
        <v>327</v>
      </c>
      <c r="R404" t="s">
        <v>44</v>
      </c>
      <c r="S404" t="s">
        <v>73</v>
      </c>
      <c r="T404" t="s">
        <v>1294</v>
      </c>
      <c r="U404">
        <v>2445</v>
      </c>
      <c r="V404">
        <v>478</v>
      </c>
      <c r="W404">
        <v>6</v>
      </c>
      <c r="X404">
        <v>1152.27</v>
      </c>
      <c r="Y404">
        <v>67.63</v>
      </c>
      <c r="Z404">
        <v>1219.9000000000001</v>
      </c>
      <c r="AA404" t="s">
        <v>62</v>
      </c>
      <c r="AB404">
        <v>0</v>
      </c>
      <c r="AC404">
        <v>92.26</v>
      </c>
      <c r="AD404">
        <v>459</v>
      </c>
      <c r="AE404">
        <v>492</v>
      </c>
    </row>
    <row r="405" spans="1:31" x14ac:dyDescent="0.25">
      <c r="A405" t="s">
        <v>2033</v>
      </c>
      <c r="B405" t="s">
        <v>2034</v>
      </c>
      <c r="C405" s="1">
        <v>44267</v>
      </c>
      <c r="D405" s="1">
        <v>45447</v>
      </c>
      <c r="E405" t="s">
        <v>50</v>
      </c>
      <c r="F405" t="s">
        <v>51</v>
      </c>
      <c r="G405" t="s">
        <v>102</v>
      </c>
      <c r="H405" t="s">
        <v>36</v>
      </c>
      <c r="I405" t="s">
        <v>2035</v>
      </c>
      <c r="J405" t="s">
        <v>38</v>
      </c>
      <c r="K405" t="s">
        <v>94</v>
      </c>
      <c r="L405" t="s">
        <v>2036</v>
      </c>
      <c r="M405">
        <v>353.47</v>
      </c>
      <c r="N405">
        <v>2</v>
      </c>
      <c r="O405" t="s">
        <v>2037</v>
      </c>
      <c r="P405" t="s">
        <v>84</v>
      </c>
      <c r="Q405" t="s">
        <v>562</v>
      </c>
      <c r="R405" t="s">
        <v>86</v>
      </c>
      <c r="S405" t="s">
        <v>45</v>
      </c>
      <c r="T405" t="s">
        <v>246</v>
      </c>
      <c r="U405">
        <v>3525</v>
      </c>
      <c r="V405">
        <v>365</v>
      </c>
      <c r="W405">
        <v>5</v>
      </c>
      <c r="X405">
        <v>1878.21</v>
      </c>
      <c r="Y405">
        <v>454.12</v>
      </c>
      <c r="Z405">
        <v>2332.33</v>
      </c>
      <c r="AA405" t="s">
        <v>62</v>
      </c>
      <c r="AB405">
        <v>0</v>
      </c>
      <c r="AC405">
        <v>72.55</v>
      </c>
      <c r="AD405">
        <v>465</v>
      </c>
      <c r="AE405">
        <v>465</v>
      </c>
    </row>
    <row r="406" spans="1:31" x14ac:dyDescent="0.25">
      <c r="A406" t="s">
        <v>2038</v>
      </c>
      <c r="B406" t="s">
        <v>2039</v>
      </c>
      <c r="C406" s="1">
        <v>45319</v>
      </c>
      <c r="D406" s="1">
        <v>45127</v>
      </c>
      <c r="E406" t="s">
        <v>65</v>
      </c>
      <c r="F406" t="s">
        <v>34</v>
      </c>
      <c r="G406" t="s">
        <v>78</v>
      </c>
      <c r="H406" t="s">
        <v>53</v>
      </c>
      <c r="I406" t="s">
        <v>2040</v>
      </c>
      <c r="J406" t="s">
        <v>38</v>
      </c>
      <c r="K406" t="s">
        <v>55</v>
      </c>
      <c r="L406" t="s">
        <v>2041</v>
      </c>
      <c r="M406">
        <v>86.56</v>
      </c>
      <c r="N406">
        <v>32</v>
      </c>
      <c r="O406" t="s">
        <v>1630</v>
      </c>
      <c r="P406" t="s">
        <v>42</v>
      </c>
      <c r="Q406" t="s">
        <v>562</v>
      </c>
      <c r="R406" t="s">
        <v>44</v>
      </c>
      <c r="S406" t="s">
        <v>73</v>
      </c>
      <c r="T406" t="s">
        <v>910</v>
      </c>
      <c r="U406">
        <v>1646</v>
      </c>
      <c r="V406">
        <v>492</v>
      </c>
      <c r="W406">
        <v>6</v>
      </c>
      <c r="X406">
        <v>1265.8699999999999</v>
      </c>
      <c r="Y406">
        <v>226.68</v>
      </c>
      <c r="Z406">
        <v>1492.55</v>
      </c>
      <c r="AA406" t="s">
        <v>62</v>
      </c>
      <c r="AB406">
        <v>0</v>
      </c>
      <c r="AC406">
        <v>89.79</v>
      </c>
      <c r="AD406">
        <v>260</v>
      </c>
      <c r="AE406">
        <v>269</v>
      </c>
    </row>
    <row r="407" spans="1:31" x14ac:dyDescent="0.25">
      <c r="A407" t="s">
        <v>2042</v>
      </c>
      <c r="B407" t="s">
        <v>2043</v>
      </c>
      <c r="C407" s="1">
        <v>43991</v>
      </c>
      <c r="D407" s="1">
        <v>44904</v>
      </c>
      <c r="E407" t="s">
        <v>65</v>
      </c>
      <c r="F407" t="s">
        <v>91</v>
      </c>
      <c r="G407" t="s">
        <v>113</v>
      </c>
      <c r="H407" t="s">
        <v>36</v>
      </c>
      <c r="I407" t="s">
        <v>901</v>
      </c>
      <c r="J407" t="s">
        <v>38</v>
      </c>
      <c r="K407" t="s">
        <v>69</v>
      </c>
      <c r="L407" t="s">
        <v>902</v>
      </c>
      <c r="M407">
        <v>171.87</v>
      </c>
      <c r="N407">
        <v>42</v>
      </c>
      <c r="O407" t="s">
        <v>2044</v>
      </c>
      <c r="P407" t="s">
        <v>42</v>
      </c>
      <c r="Q407" t="s">
        <v>232</v>
      </c>
      <c r="R407" t="s">
        <v>60</v>
      </c>
      <c r="S407" t="s">
        <v>45</v>
      </c>
      <c r="T407" t="s">
        <v>812</v>
      </c>
      <c r="U407">
        <v>3144</v>
      </c>
      <c r="V407">
        <v>214</v>
      </c>
      <c r="W407">
        <v>15</v>
      </c>
      <c r="X407">
        <v>328.32</v>
      </c>
      <c r="Y407">
        <v>75.06</v>
      </c>
      <c r="Z407">
        <v>403.38</v>
      </c>
      <c r="AA407" t="s">
        <v>62</v>
      </c>
      <c r="AB407">
        <v>0</v>
      </c>
      <c r="AC407">
        <v>88.87</v>
      </c>
      <c r="AD407">
        <v>204</v>
      </c>
      <c r="AE407">
        <v>184</v>
      </c>
    </row>
    <row r="408" spans="1:31" x14ac:dyDescent="0.25">
      <c r="A408" t="s">
        <v>2045</v>
      </c>
      <c r="B408" t="s">
        <v>2046</v>
      </c>
      <c r="C408" s="1">
        <v>44443</v>
      </c>
      <c r="D408" s="1">
        <v>44956</v>
      </c>
      <c r="E408" t="s">
        <v>65</v>
      </c>
      <c r="F408" t="s">
        <v>91</v>
      </c>
      <c r="G408" t="s">
        <v>78</v>
      </c>
      <c r="H408" t="s">
        <v>163</v>
      </c>
      <c r="I408" t="s">
        <v>2047</v>
      </c>
      <c r="J408" t="s">
        <v>38</v>
      </c>
      <c r="K408" t="s">
        <v>94</v>
      </c>
      <c r="L408" t="s">
        <v>2048</v>
      </c>
      <c r="M408">
        <v>99.45</v>
      </c>
      <c r="N408">
        <v>62</v>
      </c>
      <c r="O408" t="s">
        <v>2049</v>
      </c>
      <c r="P408" t="s">
        <v>42</v>
      </c>
      <c r="Q408" t="s">
        <v>169</v>
      </c>
      <c r="R408" t="s">
        <v>86</v>
      </c>
      <c r="S408" t="s">
        <v>73</v>
      </c>
      <c r="T408" t="s">
        <v>198</v>
      </c>
      <c r="U408">
        <v>2890</v>
      </c>
      <c r="V408">
        <v>84</v>
      </c>
      <c r="W408">
        <v>9</v>
      </c>
      <c r="X408">
        <v>95.52</v>
      </c>
      <c r="Y408">
        <v>414.73</v>
      </c>
      <c r="Z408">
        <v>510.25</v>
      </c>
      <c r="AA408" t="s">
        <v>62</v>
      </c>
      <c r="AB408">
        <v>0</v>
      </c>
      <c r="AC408">
        <v>76.42</v>
      </c>
      <c r="AD408">
        <v>373</v>
      </c>
      <c r="AE408">
        <v>393</v>
      </c>
    </row>
    <row r="409" spans="1:31" x14ac:dyDescent="0.25">
      <c r="A409" t="s">
        <v>2050</v>
      </c>
      <c r="B409" t="s">
        <v>2051</v>
      </c>
      <c r="C409" s="1">
        <v>44572</v>
      </c>
      <c r="D409" s="1">
        <v>44627</v>
      </c>
      <c r="E409" t="s">
        <v>50</v>
      </c>
      <c r="F409" t="s">
        <v>51</v>
      </c>
      <c r="G409" t="s">
        <v>78</v>
      </c>
      <c r="H409" t="s">
        <v>36</v>
      </c>
      <c r="I409" t="s">
        <v>2052</v>
      </c>
      <c r="J409" t="s">
        <v>38</v>
      </c>
      <c r="K409" t="s">
        <v>55</v>
      </c>
      <c r="L409" t="s">
        <v>2053</v>
      </c>
      <c r="M409">
        <v>428.73</v>
      </c>
      <c r="N409">
        <v>46</v>
      </c>
      <c r="O409" t="s">
        <v>2054</v>
      </c>
      <c r="P409" t="s">
        <v>58</v>
      </c>
      <c r="Q409" t="s">
        <v>191</v>
      </c>
      <c r="R409" t="s">
        <v>44</v>
      </c>
      <c r="S409" t="s">
        <v>87</v>
      </c>
      <c r="T409" t="s">
        <v>259</v>
      </c>
      <c r="U409">
        <v>3341</v>
      </c>
      <c r="V409">
        <v>371</v>
      </c>
      <c r="W409">
        <v>12</v>
      </c>
      <c r="X409">
        <v>79.22</v>
      </c>
      <c r="Y409">
        <v>451.68</v>
      </c>
      <c r="Z409">
        <v>530.9</v>
      </c>
      <c r="AA409" t="s">
        <v>62</v>
      </c>
      <c r="AB409">
        <v>0</v>
      </c>
      <c r="AC409">
        <v>72.459999999999994</v>
      </c>
      <c r="AD409">
        <v>80</v>
      </c>
      <c r="AE409">
        <v>40</v>
      </c>
    </row>
    <row r="410" spans="1:31" x14ac:dyDescent="0.25">
      <c r="A410" t="s">
        <v>2055</v>
      </c>
      <c r="B410" t="s">
        <v>2056</v>
      </c>
      <c r="C410" s="1">
        <v>44096</v>
      </c>
      <c r="D410" s="1">
        <v>44534</v>
      </c>
      <c r="E410" t="s">
        <v>65</v>
      </c>
      <c r="F410" t="s">
        <v>146</v>
      </c>
      <c r="G410" t="s">
        <v>35</v>
      </c>
      <c r="H410" t="s">
        <v>163</v>
      </c>
      <c r="I410" t="s">
        <v>2057</v>
      </c>
      <c r="J410" t="s">
        <v>38</v>
      </c>
      <c r="K410" t="s">
        <v>69</v>
      </c>
      <c r="L410" t="s">
        <v>2058</v>
      </c>
      <c r="M410">
        <v>357.82</v>
      </c>
      <c r="N410">
        <v>93</v>
      </c>
      <c r="O410" t="s">
        <v>2059</v>
      </c>
      <c r="P410" t="s">
        <v>58</v>
      </c>
      <c r="Q410" t="s">
        <v>333</v>
      </c>
      <c r="R410" t="s">
        <v>60</v>
      </c>
      <c r="S410" t="s">
        <v>126</v>
      </c>
      <c r="T410" t="s">
        <v>119</v>
      </c>
      <c r="U410">
        <v>2609</v>
      </c>
      <c r="V410">
        <v>170</v>
      </c>
      <c r="W410">
        <v>24</v>
      </c>
      <c r="X410">
        <v>1177.8900000000001</v>
      </c>
      <c r="Y410">
        <v>377.22</v>
      </c>
      <c r="Z410">
        <v>1555.11</v>
      </c>
      <c r="AA410" t="s">
        <v>62</v>
      </c>
      <c r="AB410">
        <v>0</v>
      </c>
      <c r="AC410">
        <v>89.67</v>
      </c>
      <c r="AD410">
        <v>489</v>
      </c>
      <c r="AE410">
        <v>512</v>
      </c>
    </row>
    <row r="411" spans="1:31" x14ac:dyDescent="0.25">
      <c r="A411" t="s">
        <v>2060</v>
      </c>
      <c r="B411" t="s">
        <v>2061</v>
      </c>
      <c r="C411" s="1">
        <v>43975</v>
      </c>
      <c r="D411" s="1">
        <v>44338</v>
      </c>
      <c r="E411" t="s">
        <v>65</v>
      </c>
      <c r="F411" t="s">
        <v>51</v>
      </c>
      <c r="G411" t="s">
        <v>52</v>
      </c>
      <c r="H411" t="s">
        <v>67</v>
      </c>
      <c r="I411" t="s">
        <v>2062</v>
      </c>
      <c r="J411" t="s">
        <v>38</v>
      </c>
      <c r="K411" t="s">
        <v>69</v>
      </c>
      <c r="L411" t="s">
        <v>2063</v>
      </c>
      <c r="M411">
        <v>399.17</v>
      </c>
      <c r="N411">
        <v>32</v>
      </c>
      <c r="O411" t="s">
        <v>2064</v>
      </c>
      <c r="P411" t="s">
        <v>42</v>
      </c>
      <c r="Q411" t="s">
        <v>151</v>
      </c>
      <c r="R411" t="s">
        <v>86</v>
      </c>
      <c r="S411" t="s">
        <v>45</v>
      </c>
      <c r="T411" t="s">
        <v>119</v>
      </c>
      <c r="U411">
        <v>978</v>
      </c>
      <c r="V411">
        <v>191</v>
      </c>
      <c r="W411">
        <v>23</v>
      </c>
      <c r="X411">
        <v>115.65</v>
      </c>
      <c r="Y411">
        <v>358.35</v>
      </c>
      <c r="Z411">
        <v>474</v>
      </c>
      <c r="AA411" t="s">
        <v>62</v>
      </c>
      <c r="AB411">
        <v>0</v>
      </c>
      <c r="AC411">
        <v>77.47</v>
      </c>
      <c r="AD411">
        <v>412</v>
      </c>
      <c r="AE411">
        <v>422</v>
      </c>
    </row>
    <row r="412" spans="1:31" x14ac:dyDescent="0.25">
      <c r="A412" t="s">
        <v>2065</v>
      </c>
      <c r="B412" t="s">
        <v>2066</v>
      </c>
      <c r="C412" s="1">
        <v>45179</v>
      </c>
      <c r="D412" s="1">
        <v>45220</v>
      </c>
      <c r="E412" t="s">
        <v>50</v>
      </c>
      <c r="F412" t="s">
        <v>91</v>
      </c>
      <c r="G412" t="s">
        <v>102</v>
      </c>
      <c r="H412" t="s">
        <v>221</v>
      </c>
      <c r="I412" t="s">
        <v>2067</v>
      </c>
      <c r="J412" t="s">
        <v>38</v>
      </c>
      <c r="K412" t="s">
        <v>81</v>
      </c>
      <c r="L412" t="s">
        <v>2068</v>
      </c>
      <c r="M412">
        <v>375.92</v>
      </c>
      <c r="N412">
        <v>52</v>
      </c>
      <c r="O412" t="s">
        <v>2069</v>
      </c>
      <c r="P412" t="s">
        <v>84</v>
      </c>
      <c r="Q412" t="s">
        <v>408</v>
      </c>
      <c r="R412" t="s">
        <v>152</v>
      </c>
      <c r="S412" t="s">
        <v>87</v>
      </c>
      <c r="T412" t="s">
        <v>239</v>
      </c>
      <c r="U412">
        <v>4734</v>
      </c>
      <c r="V412">
        <v>435</v>
      </c>
      <c r="W412">
        <v>22</v>
      </c>
      <c r="X412">
        <v>1593.21</v>
      </c>
      <c r="Y412">
        <v>151.78</v>
      </c>
      <c r="Z412">
        <v>1744.99</v>
      </c>
      <c r="AA412" t="s">
        <v>62</v>
      </c>
      <c r="AB412">
        <v>0</v>
      </c>
      <c r="AC412">
        <v>73.3</v>
      </c>
      <c r="AD412">
        <v>286</v>
      </c>
      <c r="AE412">
        <v>239</v>
      </c>
    </row>
    <row r="413" spans="1:31" x14ac:dyDescent="0.25">
      <c r="A413" t="s">
        <v>2070</v>
      </c>
      <c r="B413" t="s">
        <v>2071</v>
      </c>
      <c r="C413" s="1">
        <v>45275</v>
      </c>
      <c r="D413" s="1">
        <v>45473</v>
      </c>
      <c r="E413" t="s">
        <v>50</v>
      </c>
      <c r="F413" t="s">
        <v>51</v>
      </c>
      <c r="G413" t="s">
        <v>92</v>
      </c>
      <c r="H413" t="s">
        <v>79</v>
      </c>
      <c r="I413" t="s">
        <v>2072</v>
      </c>
      <c r="J413" t="s">
        <v>38</v>
      </c>
      <c r="K413" t="s">
        <v>81</v>
      </c>
      <c r="L413" t="s">
        <v>2073</v>
      </c>
      <c r="M413">
        <v>93.54</v>
      </c>
      <c r="N413">
        <v>52</v>
      </c>
      <c r="O413" t="s">
        <v>2074</v>
      </c>
      <c r="P413" t="s">
        <v>108</v>
      </c>
      <c r="Q413" t="s">
        <v>1244</v>
      </c>
      <c r="R413" t="s">
        <v>44</v>
      </c>
      <c r="S413" t="s">
        <v>98</v>
      </c>
      <c r="T413" t="s">
        <v>675</v>
      </c>
      <c r="U413">
        <v>3566</v>
      </c>
      <c r="V413">
        <v>279</v>
      </c>
      <c r="W413">
        <v>21</v>
      </c>
      <c r="X413">
        <v>1105.25</v>
      </c>
      <c r="Y413">
        <v>470.02</v>
      </c>
      <c r="Z413">
        <v>1575.27</v>
      </c>
      <c r="AA413" t="s">
        <v>62</v>
      </c>
      <c r="AB413">
        <v>0</v>
      </c>
      <c r="AC413">
        <v>98.11</v>
      </c>
      <c r="AD413">
        <v>359</v>
      </c>
      <c r="AE413">
        <v>326</v>
      </c>
    </row>
    <row r="414" spans="1:31" x14ac:dyDescent="0.25">
      <c r="A414" t="s">
        <v>2075</v>
      </c>
      <c r="B414" t="s">
        <v>891</v>
      </c>
      <c r="C414" s="1">
        <v>44880</v>
      </c>
      <c r="D414" s="1">
        <v>45357</v>
      </c>
      <c r="E414" t="s">
        <v>65</v>
      </c>
      <c r="F414" t="s">
        <v>91</v>
      </c>
      <c r="G414" t="s">
        <v>66</v>
      </c>
      <c r="H414" t="s">
        <v>163</v>
      </c>
      <c r="I414" t="s">
        <v>2076</v>
      </c>
      <c r="J414" t="s">
        <v>38</v>
      </c>
      <c r="K414" t="s">
        <v>81</v>
      </c>
      <c r="L414" t="s">
        <v>2077</v>
      </c>
      <c r="M414">
        <v>170.23</v>
      </c>
      <c r="N414">
        <v>55</v>
      </c>
      <c r="O414" t="s">
        <v>2078</v>
      </c>
      <c r="P414" t="s">
        <v>108</v>
      </c>
      <c r="Q414" t="s">
        <v>432</v>
      </c>
      <c r="R414" t="s">
        <v>44</v>
      </c>
      <c r="S414" t="s">
        <v>87</v>
      </c>
      <c r="T414" t="s">
        <v>192</v>
      </c>
      <c r="U414">
        <v>2404</v>
      </c>
      <c r="V414">
        <v>277</v>
      </c>
      <c r="W414">
        <v>25</v>
      </c>
      <c r="X414">
        <v>1872.62</v>
      </c>
      <c r="Y414">
        <v>388.32</v>
      </c>
      <c r="Z414">
        <v>2260.94</v>
      </c>
      <c r="AA414" t="s">
        <v>62</v>
      </c>
      <c r="AB414">
        <v>0</v>
      </c>
      <c r="AC414">
        <v>74.83</v>
      </c>
      <c r="AD414">
        <v>488</v>
      </c>
      <c r="AE414">
        <v>499</v>
      </c>
    </row>
    <row r="415" spans="1:31" x14ac:dyDescent="0.25">
      <c r="A415" t="s">
        <v>2079</v>
      </c>
      <c r="B415" t="s">
        <v>2080</v>
      </c>
      <c r="C415" s="1">
        <v>44544</v>
      </c>
      <c r="D415" s="1">
        <v>45004</v>
      </c>
      <c r="E415" t="s">
        <v>50</v>
      </c>
      <c r="F415" t="s">
        <v>77</v>
      </c>
      <c r="G415" t="s">
        <v>66</v>
      </c>
      <c r="H415" t="s">
        <v>114</v>
      </c>
      <c r="I415" t="s">
        <v>741</v>
      </c>
      <c r="J415" t="s">
        <v>165</v>
      </c>
      <c r="K415" t="s">
        <v>202</v>
      </c>
      <c r="L415" t="s">
        <v>742</v>
      </c>
      <c r="M415">
        <v>244.19</v>
      </c>
      <c r="N415">
        <v>46</v>
      </c>
      <c r="O415" t="s">
        <v>2081</v>
      </c>
      <c r="P415" t="s">
        <v>58</v>
      </c>
      <c r="Q415" t="s">
        <v>43</v>
      </c>
      <c r="R415" t="s">
        <v>44</v>
      </c>
      <c r="S415" t="s">
        <v>73</v>
      </c>
      <c r="T415" t="s">
        <v>675</v>
      </c>
      <c r="U415">
        <v>3684</v>
      </c>
      <c r="V415">
        <v>142</v>
      </c>
      <c r="W415">
        <v>4</v>
      </c>
      <c r="X415">
        <v>518.75</v>
      </c>
      <c r="Y415">
        <v>79.36</v>
      </c>
      <c r="Z415">
        <v>598.11</v>
      </c>
      <c r="AA415" t="s">
        <v>62</v>
      </c>
      <c r="AB415">
        <v>0</v>
      </c>
      <c r="AC415">
        <v>73.81</v>
      </c>
      <c r="AD415">
        <v>262</v>
      </c>
      <c r="AE415">
        <v>286</v>
      </c>
    </row>
    <row r="416" spans="1:31" x14ac:dyDescent="0.25">
      <c r="A416" t="s">
        <v>2082</v>
      </c>
      <c r="B416" t="s">
        <v>1021</v>
      </c>
      <c r="C416" s="1">
        <v>43855</v>
      </c>
      <c r="D416" s="1">
        <v>44354</v>
      </c>
      <c r="E416" t="s">
        <v>65</v>
      </c>
      <c r="F416" t="s">
        <v>34</v>
      </c>
      <c r="G416" t="s">
        <v>52</v>
      </c>
      <c r="H416" t="s">
        <v>221</v>
      </c>
      <c r="I416" t="s">
        <v>2083</v>
      </c>
      <c r="J416" t="s">
        <v>165</v>
      </c>
      <c r="K416" t="s">
        <v>166</v>
      </c>
      <c r="L416" t="s">
        <v>2084</v>
      </c>
      <c r="M416">
        <v>235.76</v>
      </c>
      <c r="N416">
        <v>46</v>
      </c>
      <c r="O416" t="s">
        <v>1496</v>
      </c>
      <c r="P416" t="s">
        <v>108</v>
      </c>
      <c r="Q416" t="s">
        <v>425</v>
      </c>
      <c r="R416" t="s">
        <v>44</v>
      </c>
      <c r="S416" t="s">
        <v>126</v>
      </c>
      <c r="T416" t="s">
        <v>470</v>
      </c>
      <c r="U416">
        <v>2177</v>
      </c>
      <c r="V416">
        <v>450</v>
      </c>
      <c r="W416">
        <v>15</v>
      </c>
      <c r="X416">
        <v>1932.03</v>
      </c>
      <c r="Y416">
        <v>65.16</v>
      </c>
      <c r="Z416">
        <v>1997.19</v>
      </c>
      <c r="AA416" t="s">
        <v>62</v>
      </c>
      <c r="AB416">
        <v>0</v>
      </c>
      <c r="AC416">
        <v>96.79</v>
      </c>
      <c r="AD416">
        <v>392</v>
      </c>
      <c r="AE416">
        <v>394</v>
      </c>
    </row>
    <row r="417" spans="1:31" x14ac:dyDescent="0.25">
      <c r="A417" t="s">
        <v>2085</v>
      </c>
      <c r="B417" t="s">
        <v>2086</v>
      </c>
      <c r="C417" s="1">
        <v>45531</v>
      </c>
      <c r="D417" s="1">
        <v>45260</v>
      </c>
      <c r="E417" t="s">
        <v>65</v>
      </c>
      <c r="F417" t="s">
        <v>77</v>
      </c>
      <c r="G417" t="s">
        <v>92</v>
      </c>
      <c r="H417" t="s">
        <v>163</v>
      </c>
      <c r="I417" t="s">
        <v>2087</v>
      </c>
      <c r="J417" t="s">
        <v>104</v>
      </c>
      <c r="K417" t="s">
        <v>105</v>
      </c>
      <c r="L417" t="s">
        <v>2088</v>
      </c>
      <c r="M417">
        <v>121.84</v>
      </c>
      <c r="N417">
        <v>32</v>
      </c>
      <c r="O417" t="s">
        <v>2089</v>
      </c>
      <c r="P417" t="s">
        <v>84</v>
      </c>
      <c r="Q417" t="s">
        <v>425</v>
      </c>
      <c r="R417" t="s">
        <v>152</v>
      </c>
      <c r="S417" t="s">
        <v>73</v>
      </c>
      <c r="T417" t="s">
        <v>738</v>
      </c>
      <c r="U417">
        <v>4734</v>
      </c>
      <c r="V417">
        <v>266</v>
      </c>
      <c r="W417">
        <v>16</v>
      </c>
      <c r="X417">
        <v>1096.0899999999999</v>
      </c>
      <c r="Y417">
        <v>361.77</v>
      </c>
      <c r="Z417">
        <v>1457.86</v>
      </c>
      <c r="AA417" t="s">
        <v>62</v>
      </c>
      <c r="AB417">
        <v>0</v>
      </c>
      <c r="AC417">
        <v>89.65</v>
      </c>
      <c r="AD417">
        <v>129</v>
      </c>
      <c r="AE417">
        <v>106</v>
      </c>
    </row>
    <row r="418" spans="1:31" x14ac:dyDescent="0.25">
      <c r="A418" t="s">
        <v>2090</v>
      </c>
      <c r="B418" t="s">
        <v>2091</v>
      </c>
      <c r="C418" s="1">
        <v>45191</v>
      </c>
      <c r="D418" s="1">
        <v>44739</v>
      </c>
      <c r="E418" t="s">
        <v>50</v>
      </c>
      <c r="F418" t="s">
        <v>51</v>
      </c>
      <c r="G418" t="s">
        <v>78</v>
      </c>
      <c r="H418" t="s">
        <v>53</v>
      </c>
      <c r="I418" t="s">
        <v>1466</v>
      </c>
      <c r="J418" t="s">
        <v>104</v>
      </c>
      <c r="K418" t="s">
        <v>105</v>
      </c>
      <c r="L418" t="s">
        <v>1467</v>
      </c>
      <c r="M418">
        <v>467.44</v>
      </c>
      <c r="N418">
        <v>48</v>
      </c>
      <c r="O418" t="s">
        <v>1299</v>
      </c>
      <c r="P418" t="s">
        <v>84</v>
      </c>
      <c r="Q418" t="s">
        <v>151</v>
      </c>
      <c r="R418" t="s">
        <v>60</v>
      </c>
      <c r="S418" t="s">
        <v>126</v>
      </c>
      <c r="T418" t="s">
        <v>321</v>
      </c>
      <c r="U418">
        <v>3751</v>
      </c>
      <c r="V418">
        <v>396</v>
      </c>
      <c r="W418">
        <v>17</v>
      </c>
      <c r="X418">
        <v>1442.31</v>
      </c>
      <c r="Y418">
        <v>260.5</v>
      </c>
      <c r="Z418">
        <v>1702.81</v>
      </c>
      <c r="AA418" t="s">
        <v>62</v>
      </c>
      <c r="AB418">
        <v>0</v>
      </c>
      <c r="AC418">
        <v>70.16</v>
      </c>
      <c r="AD418">
        <v>301</v>
      </c>
      <c r="AE418">
        <v>323</v>
      </c>
    </row>
    <row r="419" spans="1:31" x14ac:dyDescent="0.25">
      <c r="A419" t="s">
        <v>2092</v>
      </c>
      <c r="B419" t="s">
        <v>2093</v>
      </c>
      <c r="C419" s="1">
        <v>45143</v>
      </c>
      <c r="D419" s="1">
        <v>44947</v>
      </c>
      <c r="E419" t="s">
        <v>65</v>
      </c>
      <c r="F419" t="s">
        <v>51</v>
      </c>
      <c r="G419" t="s">
        <v>66</v>
      </c>
      <c r="H419" t="s">
        <v>36</v>
      </c>
      <c r="I419" t="s">
        <v>2094</v>
      </c>
      <c r="J419" t="s">
        <v>104</v>
      </c>
      <c r="K419" t="s">
        <v>181</v>
      </c>
      <c r="L419" t="s">
        <v>2095</v>
      </c>
      <c r="M419">
        <v>225.1</v>
      </c>
      <c r="N419">
        <v>24</v>
      </c>
      <c r="O419" t="s">
        <v>2096</v>
      </c>
      <c r="P419" t="s">
        <v>141</v>
      </c>
      <c r="Q419" t="s">
        <v>43</v>
      </c>
      <c r="R419" t="s">
        <v>44</v>
      </c>
      <c r="S419" t="s">
        <v>73</v>
      </c>
      <c r="T419" t="s">
        <v>1168</v>
      </c>
      <c r="U419">
        <v>2822</v>
      </c>
      <c r="V419">
        <v>366</v>
      </c>
      <c r="W419">
        <v>26</v>
      </c>
      <c r="X419">
        <v>1672.73</v>
      </c>
      <c r="Y419">
        <v>189.02</v>
      </c>
      <c r="Z419">
        <v>1861.75</v>
      </c>
      <c r="AA419" t="s">
        <v>62</v>
      </c>
      <c r="AB419">
        <v>0</v>
      </c>
      <c r="AC419">
        <v>72.099999999999994</v>
      </c>
      <c r="AD419">
        <v>363</v>
      </c>
      <c r="AE419">
        <v>376</v>
      </c>
    </row>
    <row r="420" spans="1:31" x14ac:dyDescent="0.25">
      <c r="A420" t="s">
        <v>2097</v>
      </c>
      <c r="B420" t="s">
        <v>2098</v>
      </c>
      <c r="C420" s="1">
        <v>44425</v>
      </c>
      <c r="D420" s="1">
        <v>44145</v>
      </c>
      <c r="E420" t="s">
        <v>33</v>
      </c>
      <c r="F420" t="s">
        <v>51</v>
      </c>
      <c r="G420" t="s">
        <v>35</v>
      </c>
      <c r="H420" t="s">
        <v>53</v>
      </c>
      <c r="I420" t="s">
        <v>1165</v>
      </c>
      <c r="J420" t="s">
        <v>38</v>
      </c>
      <c r="K420" t="s">
        <v>55</v>
      </c>
      <c r="L420" t="s">
        <v>1166</v>
      </c>
      <c r="M420">
        <v>73.22</v>
      </c>
      <c r="N420">
        <v>82</v>
      </c>
      <c r="O420" t="s">
        <v>2099</v>
      </c>
      <c r="P420" t="s">
        <v>108</v>
      </c>
      <c r="Q420" t="s">
        <v>245</v>
      </c>
      <c r="R420" t="s">
        <v>44</v>
      </c>
      <c r="S420" t="s">
        <v>87</v>
      </c>
      <c r="T420" t="s">
        <v>378</v>
      </c>
      <c r="U420">
        <v>3872</v>
      </c>
      <c r="V420">
        <v>366</v>
      </c>
      <c r="W420">
        <v>26</v>
      </c>
      <c r="X420">
        <v>880.39</v>
      </c>
      <c r="Y420">
        <v>152.74</v>
      </c>
      <c r="Z420">
        <v>1033.1300000000001</v>
      </c>
      <c r="AA420" t="s">
        <v>62</v>
      </c>
      <c r="AB420">
        <v>0</v>
      </c>
      <c r="AC420">
        <v>96.23</v>
      </c>
      <c r="AD420">
        <v>219</v>
      </c>
      <c r="AE420">
        <v>262</v>
      </c>
    </row>
    <row r="421" spans="1:31" x14ac:dyDescent="0.25">
      <c r="A421" t="s">
        <v>2100</v>
      </c>
      <c r="B421" t="s">
        <v>2101</v>
      </c>
      <c r="C421" s="1">
        <v>45470</v>
      </c>
      <c r="D421" s="1">
        <v>43917</v>
      </c>
      <c r="E421" t="s">
        <v>33</v>
      </c>
      <c r="F421" t="s">
        <v>91</v>
      </c>
      <c r="G421" t="s">
        <v>78</v>
      </c>
      <c r="H421" t="s">
        <v>67</v>
      </c>
      <c r="I421" t="s">
        <v>2102</v>
      </c>
      <c r="J421" t="s">
        <v>38</v>
      </c>
      <c r="K421" t="s">
        <v>81</v>
      </c>
      <c r="L421" t="s">
        <v>2103</v>
      </c>
      <c r="M421">
        <v>111.5</v>
      </c>
      <c r="N421">
        <v>47</v>
      </c>
      <c r="O421" t="s">
        <v>2104</v>
      </c>
      <c r="P421" t="s">
        <v>42</v>
      </c>
      <c r="Q421" t="s">
        <v>320</v>
      </c>
      <c r="R421" t="s">
        <v>44</v>
      </c>
      <c r="S421" t="s">
        <v>73</v>
      </c>
      <c r="T421" t="s">
        <v>409</v>
      </c>
      <c r="U421">
        <v>541</v>
      </c>
      <c r="V421">
        <v>60</v>
      </c>
      <c r="W421">
        <v>4</v>
      </c>
      <c r="X421">
        <v>777.49</v>
      </c>
      <c r="Y421">
        <v>472.54</v>
      </c>
      <c r="Z421">
        <v>1250.03</v>
      </c>
      <c r="AA421" t="s">
        <v>62</v>
      </c>
      <c r="AB421">
        <v>0</v>
      </c>
      <c r="AC421">
        <v>87.57</v>
      </c>
      <c r="AD421">
        <v>352</v>
      </c>
      <c r="AE421">
        <v>391</v>
      </c>
    </row>
    <row r="422" spans="1:31" x14ac:dyDescent="0.25">
      <c r="A422" t="s">
        <v>2105</v>
      </c>
      <c r="B422" t="s">
        <v>2106</v>
      </c>
      <c r="C422" s="1">
        <v>44867</v>
      </c>
      <c r="D422" s="1">
        <v>44188</v>
      </c>
      <c r="E422" t="s">
        <v>65</v>
      </c>
      <c r="F422" t="s">
        <v>146</v>
      </c>
      <c r="G422" t="s">
        <v>113</v>
      </c>
      <c r="H422" t="s">
        <v>147</v>
      </c>
      <c r="I422" t="s">
        <v>2107</v>
      </c>
      <c r="J422" t="s">
        <v>165</v>
      </c>
      <c r="K422" t="s">
        <v>166</v>
      </c>
      <c r="L422" t="s">
        <v>2108</v>
      </c>
      <c r="M422">
        <v>420.07</v>
      </c>
      <c r="N422">
        <v>47</v>
      </c>
      <c r="O422" t="s">
        <v>1412</v>
      </c>
      <c r="P422" t="s">
        <v>58</v>
      </c>
      <c r="Q422" t="s">
        <v>109</v>
      </c>
      <c r="R422" t="s">
        <v>152</v>
      </c>
      <c r="S422" t="s">
        <v>87</v>
      </c>
      <c r="T422" t="s">
        <v>267</v>
      </c>
      <c r="U422">
        <v>431</v>
      </c>
      <c r="V422">
        <v>425</v>
      </c>
      <c r="W422">
        <v>3</v>
      </c>
      <c r="X422">
        <v>502.41</v>
      </c>
      <c r="Y422">
        <v>218.44</v>
      </c>
      <c r="Z422">
        <v>720.85</v>
      </c>
      <c r="AA422" t="s">
        <v>62</v>
      </c>
      <c r="AB422">
        <v>0</v>
      </c>
      <c r="AC422">
        <v>81.88</v>
      </c>
      <c r="AD422">
        <v>484</v>
      </c>
      <c r="AE422">
        <v>480</v>
      </c>
    </row>
    <row r="423" spans="1:31" x14ac:dyDescent="0.25">
      <c r="A423" t="s">
        <v>2109</v>
      </c>
      <c r="B423" t="s">
        <v>2110</v>
      </c>
      <c r="C423" s="1">
        <v>44724</v>
      </c>
      <c r="D423" s="1">
        <v>45512</v>
      </c>
      <c r="E423" t="s">
        <v>65</v>
      </c>
      <c r="F423" t="s">
        <v>146</v>
      </c>
      <c r="G423" t="s">
        <v>52</v>
      </c>
      <c r="H423" t="s">
        <v>114</v>
      </c>
      <c r="I423" t="s">
        <v>2111</v>
      </c>
      <c r="J423" t="s">
        <v>38</v>
      </c>
      <c r="K423" t="s">
        <v>94</v>
      </c>
      <c r="L423" t="s">
        <v>2112</v>
      </c>
      <c r="M423">
        <v>263.07</v>
      </c>
      <c r="N423">
        <v>42</v>
      </c>
      <c r="O423" t="s">
        <v>2113</v>
      </c>
      <c r="P423" t="s">
        <v>58</v>
      </c>
      <c r="Q423" t="s">
        <v>425</v>
      </c>
      <c r="R423" t="s">
        <v>86</v>
      </c>
      <c r="S423" t="s">
        <v>87</v>
      </c>
      <c r="T423" t="s">
        <v>127</v>
      </c>
      <c r="U423">
        <v>1210</v>
      </c>
      <c r="V423">
        <v>80</v>
      </c>
      <c r="W423">
        <v>8</v>
      </c>
      <c r="X423">
        <v>1176.8599999999999</v>
      </c>
      <c r="Y423">
        <v>104.9</v>
      </c>
      <c r="Z423">
        <v>1281.76</v>
      </c>
      <c r="AA423" t="s">
        <v>62</v>
      </c>
      <c r="AB423">
        <v>0</v>
      </c>
      <c r="AC423">
        <v>87.59</v>
      </c>
      <c r="AD423">
        <v>74</v>
      </c>
      <c r="AE423">
        <v>39</v>
      </c>
    </row>
    <row r="424" spans="1:31" x14ac:dyDescent="0.25">
      <c r="A424" t="s">
        <v>2114</v>
      </c>
      <c r="B424" t="s">
        <v>2115</v>
      </c>
      <c r="C424" s="1">
        <v>45253</v>
      </c>
      <c r="D424" s="1">
        <v>44492</v>
      </c>
      <c r="E424" t="s">
        <v>65</v>
      </c>
      <c r="F424" t="s">
        <v>91</v>
      </c>
      <c r="G424" t="s">
        <v>52</v>
      </c>
      <c r="H424" t="s">
        <v>36</v>
      </c>
      <c r="I424" t="s">
        <v>1373</v>
      </c>
      <c r="J424" t="s">
        <v>38</v>
      </c>
      <c r="K424" t="s">
        <v>81</v>
      </c>
      <c r="L424" t="s">
        <v>1374</v>
      </c>
      <c r="M424">
        <v>419.46</v>
      </c>
      <c r="N424">
        <v>32</v>
      </c>
      <c r="O424" t="s">
        <v>573</v>
      </c>
      <c r="P424" t="s">
        <v>84</v>
      </c>
      <c r="Q424" t="s">
        <v>613</v>
      </c>
      <c r="R424" t="s">
        <v>152</v>
      </c>
      <c r="S424" t="s">
        <v>45</v>
      </c>
      <c r="T424" t="s">
        <v>378</v>
      </c>
      <c r="U424">
        <v>3928</v>
      </c>
      <c r="V424">
        <v>346</v>
      </c>
      <c r="W424">
        <v>6</v>
      </c>
      <c r="X424">
        <v>1008.07</v>
      </c>
      <c r="Y424">
        <v>485.23</v>
      </c>
      <c r="Z424">
        <v>1493.3</v>
      </c>
      <c r="AA424" t="s">
        <v>62</v>
      </c>
      <c r="AB424">
        <v>0</v>
      </c>
      <c r="AC424">
        <v>82.74</v>
      </c>
      <c r="AD424">
        <v>57</v>
      </c>
      <c r="AE424">
        <v>42</v>
      </c>
    </row>
    <row r="425" spans="1:31" x14ac:dyDescent="0.25">
      <c r="A425" t="s">
        <v>2116</v>
      </c>
      <c r="B425" t="s">
        <v>2117</v>
      </c>
      <c r="C425" s="1">
        <v>43844</v>
      </c>
      <c r="D425" s="1">
        <v>44914</v>
      </c>
      <c r="E425" t="s">
        <v>65</v>
      </c>
      <c r="F425" t="s">
        <v>51</v>
      </c>
      <c r="G425" t="s">
        <v>35</v>
      </c>
      <c r="H425" t="s">
        <v>114</v>
      </c>
      <c r="I425" t="s">
        <v>2118</v>
      </c>
      <c r="J425" t="s">
        <v>165</v>
      </c>
      <c r="K425" t="s">
        <v>202</v>
      </c>
      <c r="L425" t="s">
        <v>2119</v>
      </c>
      <c r="M425">
        <v>436.9</v>
      </c>
      <c r="N425">
        <v>42</v>
      </c>
      <c r="O425" t="s">
        <v>2120</v>
      </c>
      <c r="P425" t="s">
        <v>58</v>
      </c>
      <c r="Q425" t="s">
        <v>458</v>
      </c>
      <c r="R425" t="s">
        <v>86</v>
      </c>
      <c r="S425" t="s">
        <v>45</v>
      </c>
      <c r="T425" t="s">
        <v>198</v>
      </c>
      <c r="U425">
        <v>4428</v>
      </c>
      <c r="V425">
        <v>263</v>
      </c>
      <c r="W425">
        <v>6</v>
      </c>
      <c r="X425">
        <v>1902.19</v>
      </c>
      <c r="Y425">
        <v>25.22</v>
      </c>
      <c r="Z425">
        <v>1927.41</v>
      </c>
      <c r="AA425" t="s">
        <v>47</v>
      </c>
      <c r="AB425">
        <v>12</v>
      </c>
      <c r="AC425">
        <v>75.67</v>
      </c>
      <c r="AD425">
        <v>227</v>
      </c>
      <c r="AE425">
        <v>228</v>
      </c>
    </row>
    <row r="426" spans="1:31" x14ac:dyDescent="0.25">
      <c r="A426" t="s">
        <v>2121</v>
      </c>
      <c r="B426" t="s">
        <v>2122</v>
      </c>
      <c r="C426" s="1">
        <v>44526</v>
      </c>
      <c r="D426" s="1">
        <v>44169</v>
      </c>
      <c r="E426" t="s">
        <v>65</v>
      </c>
      <c r="F426" t="s">
        <v>91</v>
      </c>
      <c r="G426" t="s">
        <v>102</v>
      </c>
      <c r="H426" t="s">
        <v>147</v>
      </c>
      <c r="I426" t="s">
        <v>1150</v>
      </c>
      <c r="J426" t="s">
        <v>38</v>
      </c>
      <c r="K426" t="s">
        <v>338</v>
      </c>
      <c r="L426" t="s">
        <v>1151</v>
      </c>
      <c r="M426">
        <v>118.48</v>
      </c>
      <c r="N426">
        <v>55</v>
      </c>
      <c r="O426" t="s">
        <v>940</v>
      </c>
      <c r="P426" t="s">
        <v>108</v>
      </c>
      <c r="Q426" t="s">
        <v>109</v>
      </c>
      <c r="R426" t="s">
        <v>44</v>
      </c>
      <c r="S426" t="s">
        <v>45</v>
      </c>
      <c r="T426" t="s">
        <v>225</v>
      </c>
      <c r="U426">
        <v>1412</v>
      </c>
      <c r="V426">
        <v>71</v>
      </c>
      <c r="W426">
        <v>25</v>
      </c>
      <c r="X426">
        <v>1464.43</v>
      </c>
      <c r="Y426">
        <v>94.84</v>
      </c>
      <c r="Z426">
        <v>1559.27</v>
      </c>
      <c r="AA426" t="s">
        <v>62</v>
      </c>
      <c r="AB426">
        <v>0</v>
      </c>
      <c r="AC426">
        <v>87.44</v>
      </c>
      <c r="AD426">
        <v>177</v>
      </c>
      <c r="AE426">
        <v>147</v>
      </c>
    </row>
    <row r="427" spans="1:31" x14ac:dyDescent="0.25">
      <c r="A427" t="s">
        <v>2123</v>
      </c>
      <c r="B427" t="s">
        <v>2124</v>
      </c>
      <c r="C427" s="1">
        <v>44007</v>
      </c>
      <c r="D427" s="1">
        <v>44482</v>
      </c>
      <c r="E427" t="s">
        <v>50</v>
      </c>
      <c r="F427" t="s">
        <v>91</v>
      </c>
      <c r="G427" t="s">
        <v>35</v>
      </c>
      <c r="H427" t="s">
        <v>36</v>
      </c>
      <c r="I427" t="s">
        <v>2125</v>
      </c>
      <c r="J427" t="s">
        <v>165</v>
      </c>
      <c r="K427" t="s">
        <v>2126</v>
      </c>
      <c r="L427" t="s">
        <v>2127</v>
      </c>
      <c r="M427">
        <v>448.8</v>
      </c>
      <c r="N427">
        <v>13</v>
      </c>
      <c r="O427" t="s">
        <v>168</v>
      </c>
      <c r="P427" t="s">
        <v>42</v>
      </c>
      <c r="Q427" t="s">
        <v>169</v>
      </c>
      <c r="R427" t="s">
        <v>44</v>
      </c>
      <c r="S427" t="s">
        <v>45</v>
      </c>
      <c r="T427" t="s">
        <v>134</v>
      </c>
      <c r="U427">
        <v>3838</v>
      </c>
      <c r="V427">
        <v>246</v>
      </c>
      <c r="W427">
        <v>12</v>
      </c>
      <c r="X427">
        <v>1301.31</v>
      </c>
      <c r="Y427">
        <v>131.15</v>
      </c>
      <c r="Z427">
        <v>1432.46</v>
      </c>
      <c r="AA427" t="s">
        <v>62</v>
      </c>
      <c r="AB427">
        <v>0</v>
      </c>
      <c r="AC427">
        <v>79.39</v>
      </c>
      <c r="AD427">
        <v>475</v>
      </c>
      <c r="AE427">
        <v>519</v>
      </c>
    </row>
    <row r="428" spans="1:31" x14ac:dyDescent="0.25">
      <c r="A428" t="s">
        <v>2128</v>
      </c>
      <c r="B428" t="s">
        <v>2129</v>
      </c>
      <c r="C428" s="1">
        <v>45059</v>
      </c>
      <c r="D428" s="1">
        <v>44465</v>
      </c>
      <c r="E428" t="s">
        <v>50</v>
      </c>
      <c r="F428" t="s">
        <v>51</v>
      </c>
      <c r="G428" t="s">
        <v>92</v>
      </c>
      <c r="H428" t="s">
        <v>79</v>
      </c>
      <c r="I428" t="s">
        <v>2130</v>
      </c>
      <c r="J428" t="s">
        <v>38</v>
      </c>
      <c r="K428" t="s">
        <v>55</v>
      </c>
      <c r="L428" t="s">
        <v>2131</v>
      </c>
      <c r="M428">
        <v>425.94</v>
      </c>
      <c r="N428">
        <v>20</v>
      </c>
      <c r="O428" t="s">
        <v>2132</v>
      </c>
      <c r="P428" t="s">
        <v>84</v>
      </c>
      <c r="Q428" t="s">
        <v>686</v>
      </c>
      <c r="R428" t="s">
        <v>86</v>
      </c>
      <c r="S428" t="s">
        <v>87</v>
      </c>
      <c r="T428" t="s">
        <v>246</v>
      </c>
      <c r="U428">
        <v>2649</v>
      </c>
      <c r="V428">
        <v>282</v>
      </c>
      <c r="W428">
        <v>23</v>
      </c>
      <c r="X428">
        <v>1890.62</v>
      </c>
      <c r="Y428">
        <v>207.33</v>
      </c>
      <c r="Z428">
        <v>2097.9499999999998</v>
      </c>
      <c r="AA428" t="s">
        <v>62</v>
      </c>
      <c r="AB428">
        <v>0</v>
      </c>
      <c r="AC428">
        <v>84.3</v>
      </c>
      <c r="AD428">
        <v>290</v>
      </c>
      <c r="AE428">
        <v>293</v>
      </c>
    </row>
    <row r="429" spans="1:31" x14ac:dyDescent="0.25">
      <c r="A429" t="s">
        <v>2133</v>
      </c>
      <c r="B429" t="s">
        <v>2134</v>
      </c>
      <c r="C429" s="1">
        <v>45301</v>
      </c>
      <c r="D429" s="1">
        <v>45469</v>
      </c>
      <c r="E429" t="s">
        <v>33</v>
      </c>
      <c r="F429" t="s">
        <v>77</v>
      </c>
      <c r="G429" t="s">
        <v>78</v>
      </c>
      <c r="H429" t="s">
        <v>53</v>
      </c>
      <c r="I429" t="s">
        <v>2135</v>
      </c>
      <c r="J429" t="s">
        <v>38</v>
      </c>
      <c r="K429" t="s">
        <v>55</v>
      </c>
      <c r="L429" t="s">
        <v>2136</v>
      </c>
      <c r="M429">
        <v>330.41</v>
      </c>
      <c r="N429">
        <v>35</v>
      </c>
      <c r="O429" t="s">
        <v>2137</v>
      </c>
      <c r="P429" t="s">
        <v>84</v>
      </c>
      <c r="Q429" t="s">
        <v>217</v>
      </c>
      <c r="R429" t="s">
        <v>152</v>
      </c>
      <c r="S429" t="s">
        <v>87</v>
      </c>
      <c r="T429" t="s">
        <v>922</v>
      </c>
      <c r="U429">
        <v>4703</v>
      </c>
      <c r="V429">
        <v>341</v>
      </c>
      <c r="W429">
        <v>4</v>
      </c>
      <c r="X429">
        <v>1976.52</v>
      </c>
      <c r="Y429">
        <v>257.74</v>
      </c>
      <c r="Z429">
        <v>2234.2600000000002</v>
      </c>
      <c r="AA429" t="s">
        <v>62</v>
      </c>
      <c r="AB429">
        <v>0</v>
      </c>
      <c r="AC429">
        <v>83.17</v>
      </c>
      <c r="AD429">
        <v>464</v>
      </c>
      <c r="AE429">
        <v>430</v>
      </c>
    </row>
    <row r="430" spans="1:31" x14ac:dyDescent="0.25">
      <c r="A430" t="s">
        <v>2138</v>
      </c>
      <c r="B430" t="s">
        <v>2139</v>
      </c>
      <c r="C430" s="1">
        <v>45601</v>
      </c>
      <c r="D430" s="1">
        <v>45600</v>
      </c>
      <c r="E430" t="s">
        <v>50</v>
      </c>
      <c r="F430" t="s">
        <v>91</v>
      </c>
      <c r="G430" t="s">
        <v>52</v>
      </c>
      <c r="H430" t="s">
        <v>114</v>
      </c>
      <c r="I430" t="s">
        <v>2140</v>
      </c>
      <c r="J430" t="s">
        <v>38</v>
      </c>
      <c r="K430" t="s">
        <v>69</v>
      </c>
      <c r="L430" t="s">
        <v>2141</v>
      </c>
      <c r="M430">
        <v>437.15</v>
      </c>
      <c r="N430">
        <v>90</v>
      </c>
      <c r="O430" t="s">
        <v>2142</v>
      </c>
      <c r="P430" t="s">
        <v>108</v>
      </c>
      <c r="Q430" t="s">
        <v>191</v>
      </c>
      <c r="R430" t="s">
        <v>152</v>
      </c>
      <c r="S430" t="s">
        <v>98</v>
      </c>
      <c r="T430" t="s">
        <v>378</v>
      </c>
      <c r="U430">
        <v>1683</v>
      </c>
      <c r="V430">
        <v>494</v>
      </c>
      <c r="W430">
        <v>18</v>
      </c>
      <c r="X430">
        <v>1527.95</v>
      </c>
      <c r="Y430">
        <v>291.18</v>
      </c>
      <c r="Z430">
        <v>1819.13</v>
      </c>
      <c r="AA430" t="s">
        <v>62</v>
      </c>
      <c r="AB430">
        <v>0</v>
      </c>
      <c r="AC430">
        <v>79.2</v>
      </c>
      <c r="AD430">
        <v>67</v>
      </c>
      <c r="AE430">
        <v>26</v>
      </c>
    </row>
    <row r="431" spans="1:31" x14ac:dyDescent="0.25">
      <c r="A431" t="s">
        <v>2143</v>
      </c>
      <c r="B431" t="s">
        <v>2144</v>
      </c>
      <c r="C431" s="1">
        <v>44930</v>
      </c>
      <c r="D431" s="1">
        <v>43987</v>
      </c>
      <c r="E431" t="s">
        <v>65</v>
      </c>
      <c r="F431" t="s">
        <v>91</v>
      </c>
      <c r="G431" t="s">
        <v>66</v>
      </c>
      <c r="H431" t="s">
        <v>53</v>
      </c>
      <c r="I431" t="s">
        <v>1297</v>
      </c>
      <c r="J431" t="s">
        <v>104</v>
      </c>
      <c r="K431" t="s">
        <v>181</v>
      </c>
      <c r="L431" t="s">
        <v>1298</v>
      </c>
      <c r="M431">
        <v>292.02999999999997</v>
      </c>
      <c r="N431">
        <v>33</v>
      </c>
      <c r="O431" t="s">
        <v>2145</v>
      </c>
      <c r="P431" t="s">
        <v>141</v>
      </c>
      <c r="Q431" t="s">
        <v>327</v>
      </c>
      <c r="R431" t="s">
        <v>44</v>
      </c>
      <c r="S431" t="s">
        <v>126</v>
      </c>
      <c r="T431" t="s">
        <v>278</v>
      </c>
      <c r="U431">
        <v>105</v>
      </c>
      <c r="V431">
        <v>302</v>
      </c>
      <c r="W431">
        <v>2</v>
      </c>
      <c r="X431">
        <v>409.88</v>
      </c>
      <c r="Y431">
        <v>301.25</v>
      </c>
      <c r="Z431">
        <v>711.13</v>
      </c>
      <c r="AA431" t="s">
        <v>62</v>
      </c>
      <c r="AB431">
        <v>0</v>
      </c>
      <c r="AC431">
        <v>82.4</v>
      </c>
      <c r="AD431">
        <v>497</v>
      </c>
      <c r="AE431">
        <v>487</v>
      </c>
    </row>
    <row r="432" spans="1:31" x14ac:dyDescent="0.25">
      <c r="A432" t="s">
        <v>2146</v>
      </c>
      <c r="B432" t="s">
        <v>2147</v>
      </c>
      <c r="C432" s="1">
        <v>45549</v>
      </c>
      <c r="D432" s="1">
        <v>43963</v>
      </c>
      <c r="E432" t="s">
        <v>65</v>
      </c>
      <c r="F432" t="s">
        <v>34</v>
      </c>
      <c r="G432" t="s">
        <v>113</v>
      </c>
      <c r="H432" t="s">
        <v>53</v>
      </c>
      <c r="I432" t="s">
        <v>2148</v>
      </c>
      <c r="J432" t="s">
        <v>104</v>
      </c>
      <c r="K432" t="s">
        <v>181</v>
      </c>
      <c r="L432" t="s">
        <v>2149</v>
      </c>
      <c r="M432">
        <v>63.88</v>
      </c>
      <c r="N432">
        <v>75</v>
      </c>
      <c r="O432" t="s">
        <v>2150</v>
      </c>
      <c r="P432" t="s">
        <v>58</v>
      </c>
      <c r="Q432" t="s">
        <v>517</v>
      </c>
      <c r="R432" t="s">
        <v>86</v>
      </c>
      <c r="S432" t="s">
        <v>45</v>
      </c>
      <c r="T432" t="s">
        <v>447</v>
      </c>
      <c r="U432">
        <v>4181</v>
      </c>
      <c r="V432">
        <v>498</v>
      </c>
      <c r="W432">
        <v>2</v>
      </c>
      <c r="X432">
        <v>445.87</v>
      </c>
      <c r="Y432">
        <v>397.57</v>
      </c>
      <c r="Z432">
        <v>843.44</v>
      </c>
      <c r="AA432" t="s">
        <v>62</v>
      </c>
      <c r="AB432">
        <v>0</v>
      </c>
      <c r="AC432">
        <v>89.04</v>
      </c>
      <c r="AD432">
        <v>393</v>
      </c>
      <c r="AE432">
        <v>407</v>
      </c>
    </row>
    <row r="433" spans="1:31" x14ac:dyDescent="0.25">
      <c r="A433" t="s">
        <v>2151</v>
      </c>
      <c r="B433" t="s">
        <v>2152</v>
      </c>
      <c r="C433" s="1">
        <v>45296</v>
      </c>
      <c r="D433" s="1">
        <v>44762</v>
      </c>
      <c r="E433" t="s">
        <v>33</v>
      </c>
      <c r="F433" t="s">
        <v>146</v>
      </c>
      <c r="G433" t="s">
        <v>66</v>
      </c>
      <c r="H433" t="s">
        <v>53</v>
      </c>
      <c r="I433" t="s">
        <v>2153</v>
      </c>
      <c r="J433" t="s">
        <v>38</v>
      </c>
      <c r="K433" t="s">
        <v>338</v>
      </c>
      <c r="L433" t="s">
        <v>2154</v>
      </c>
      <c r="M433">
        <v>393.57</v>
      </c>
      <c r="N433">
        <v>10</v>
      </c>
      <c r="O433" t="s">
        <v>2155</v>
      </c>
      <c r="P433" t="s">
        <v>42</v>
      </c>
      <c r="Q433" t="s">
        <v>377</v>
      </c>
      <c r="R433" t="s">
        <v>152</v>
      </c>
      <c r="S433" t="s">
        <v>45</v>
      </c>
      <c r="T433" t="s">
        <v>470</v>
      </c>
      <c r="U433">
        <v>2905</v>
      </c>
      <c r="V433">
        <v>357</v>
      </c>
      <c r="W433">
        <v>22</v>
      </c>
      <c r="X433">
        <v>1113.22</v>
      </c>
      <c r="Y433">
        <v>32.85</v>
      </c>
      <c r="Z433">
        <v>1146.07</v>
      </c>
      <c r="AA433" t="s">
        <v>62</v>
      </c>
      <c r="AB433">
        <v>0</v>
      </c>
      <c r="AC433">
        <v>99.16</v>
      </c>
      <c r="AD433">
        <v>55</v>
      </c>
      <c r="AE433">
        <v>27</v>
      </c>
    </row>
    <row r="434" spans="1:31" x14ac:dyDescent="0.25">
      <c r="A434" t="s">
        <v>2156</v>
      </c>
      <c r="B434" t="s">
        <v>2157</v>
      </c>
      <c r="C434" s="1">
        <v>44756</v>
      </c>
      <c r="D434" s="1">
        <v>45578</v>
      </c>
      <c r="E434" t="s">
        <v>65</v>
      </c>
      <c r="F434" t="s">
        <v>91</v>
      </c>
      <c r="G434" t="s">
        <v>52</v>
      </c>
      <c r="H434" t="s">
        <v>79</v>
      </c>
      <c r="I434" t="s">
        <v>1708</v>
      </c>
      <c r="J434" t="s">
        <v>38</v>
      </c>
      <c r="K434" t="s">
        <v>94</v>
      </c>
      <c r="L434" t="s">
        <v>1709</v>
      </c>
      <c r="M434">
        <v>75.930000000000007</v>
      </c>
      <c r="N434">
        <v>91</v>
      </c>
      <c r="O434" t="s">
        <v>1420</v>
      </c>
      <c r="P434" t="s">
        <v>108</v>
      </c>
      <c r="Q434" t="s">
        <v>266</v>
      </c>
      <c r="R434" t="s">
        <v>86</v>
      </c>
      <c r="S434" t="s">
        <v>87</v>
      </c>
      <c r="T434" t="s">
        <v>278</v>
      </c>
      <c r="U434">
        <v>3770</v>
      </c>
      <c r="V434">
        <v>98</v>
      </c>
      <c r="W434">
        <v>18</v>
      </c>
      <c r="X434">
        <v>1560.83</v>
      </c>
      <c r="Y434">
        <v>74.430000000000007</v>
      </c>
      <c r="Z434">
        <v>1635.26</v>
      </c>
      <c r="AA434" t="s">
        <v>62</v>
      </c>
      <c r="AB434">
        <v>0</v>
      </c>
      <c r="AC434">
        <v>93.56</v>
      </c>
      <c r="AD434">
        <v>134</v>
      </c>
      <c r="AE434">
        <v>124</v>
      </c>
    </row>
    <row r="435" spans="1:31" x14ac:dyDescent="0.25">
      <c r="A435" t="s">
        <v>2158</v>
      </c>
      <c r="B435" t="s">
        <v>2159</v>
      </c>
      <c r="C435" s="1">
        <v>44583</v>
      </c>
      <c r="D435" s="1">
        <v>45603</v>
      </c>
      <c r="E435" t="s">
        <v>33</v>
      </c>
      <c r="F435" t="s">
        <v>146</v>
      </c>
      <c r="G435" t="s">
        <v>102</v>
      </c>
      <c r="H435" t="s">
        <v>221</v>
      </c>
      <c r="I435" t="s">
        <v>2160</v>
      </c>
      <c r="J435" t="s">
        <v>38</v>
      </c>
      <c r="K435" t="s">
        <v>55</v>
      </c>
      <c r="L435" t="s">
        <v>2161</v>
      </c>
      <c r="M435">
        <v>376.99</v>
      </c>
      <c r="N435">
        <v>10</v>
      </c>
      <c r="O435" t="s">
        <v>2162</v>
      </c>
      <c r="P435" t="s">
        <v>108</v>
      </c>
      <c r="Q435" t="s">
        <v>333</v>
      </c>
      <c r="R435" t="s">
        <v>152</v>
      </c>
      <c r="S435" t="s">
        <v>98</v>
      </c>
      <c r="T435" t="s">
        <v>1038</v>
      </c>
      <c r="U435">
        <v>2883</v>
      </c>
      <c r="V435">
        <v>114</v>
      </c>
      <c r="W435">
        <v>17</v>
      </c>
      <c r="X435">
        <v>1074.1300000000001</v>
      </c>
      <c r="Y435">
        <v>247.77</v>
      </c>
      <c r="Z435">
        <v>1321.9</v>
      </c>
      <c r="AA435" t="s">
        <v>62</v>
      </c>
      <c r="AB435">
        <v>0</v>
      </c>
      <c r="AC435">
        <v>81.709999999999994</v>
      </c>
      <c r="AD435">
        <v>187</v>
      </c>
      <c r="AE435">
        <v>167</v>
      </c>
    </row>
    <row r="436" spans="1:31" x14ac:dyDescent="0.25">
      <c r="A436" t="s">
        <v>2163</v>
      </c>
      <c r="B436" t="s">
        <v>2164</v>
      </c>
      <c r="C436" s="1">
        <v>44703</v>
      </c>
      <c r="D436" s="1">
        <v>44363</v>
      </c>
      <c r="E436" t="s">
        <v>65</v>
      </c>
      <c r="F436" t="s">
        <v>51</v>
      </c>
      <c r="G436" t="s">
        <v>35</v>
      </c>
      <c r="H436" t="s">
        <v>114</v>
      </c>
      <c r="I436" t="s">
        <v>2165</v>
      </c>
      <c r="J436" t="s">
        <v>38</v>
      </c>
      <c r="K436" t="s">
        <v>138</v>
      </c>
      <c r="L436" t="s">
        <v>2166</v>
      </c>
      <c r="M436">
        <v>301.43</v>
      </c>
      <c r="N436">
        <v>88</v>
      </c>
      <c r="O436" t="s">
        <v>2167</v>
      </c>
      <c r="P436" t="s">
        <v>58</v>
      </c>
      <c r="Q436" t="s">
        <v>370</v>
      </c>
      <c r="R436" t="s">
        <v>152</v>
      </c>
      <c r="S436" t="s">
        <v>45</v>
      </c>
      <c r="T436" t="s">
        <v>1004</v>
      </c>
      <c r="U436">
        <v>3021</v>
      </c>
      <c r="V436">
        <v>219</v>
      </c>
      <c r="W436">
        <v>8</v>
      </c>
      <c r="X436">
        <v>1102.74</v>
      </c>
      <c r="Y436">
        <v>447.34</v>
      </c>
      <c r="Z436">
        <v>1550.08</v>
      </c>
      <c r="AA436" t="s">
        <v>62</v>
      </c>
      <c r="AB436">
        <v>0</v>
      </c>
      <c r="AC436">
        <v>89.83</v>
      </c>
      <c r="AD436">
        <v>229</v>
      </c>
      <c r="AE436">
        <v>267</v>
      </c>
    </row>
    <row r="437" spans="1:31" x14ac:dyDescent="0.25">
      <c r="A437" t="s">
        <v>2168</v>
      </c>
      <c r="B437" t="s">
        <v>2169</v>
      </c>
      <c r="C437" s="1">
        <v>45397</v>
      </c>
      <c r="D437" s="1">
        <v>44618</v>
      </c>
      <c r="E437" t="s">
        <v>65</v>
      </c>
      <c r="F437" t="s">
        <v>34</v>
      </c>
      <c r="G437" t="s">
        <v>113</v>
      </c>
      <c r="H437" t="s">
        <v>36</v>
      </c>
      <c r="I437" t="s">
        <v>672</v>
      </c>
      <c r="J437" t="s">
        <v>104</v>
      </c>
      <c r="K437" t="s">
        <v>105</v>
      </c>
      <c r="L437" t="s">
        <v>673</v>
      </c>
      <c r="M437">
        <v>85.75</v>
      </c>
      <c r="N437">
        <v>50</v>
      </c>
      <c r="O437" t="s">
        <v>1285</v>
      </c>
      <c r="P437" t="s">
        <v>141</v>
      </c>
      <c r="Q437" t="s">
        <v>408</v>
      </c>
      <c r="R437" t="s">
        <v>86</v>
      </c>
      <c r="S437" t="s">
        <v>45</v>
      </c>
      <c r="T437" t="s">
        <v>1038</v>
      </c>
      <c r="U437">
        <v>687</v>
      </c>
      <c r="V437">
        <v>97</v>
      </c>
      <c r="W437">
        <v>28</v>
      </c>
      <c r="X437">
        <v>1111.3599999999999</v>
      </c>
      <c r="Y437">
        <v>355.8</v>
      </c>
      <c r="Z437">
        <v>1467.16</v>
      </c>
      <c r="AA437" t="s">
        <v>62</v>
      </c>
      <c r="AB437">
        <v>0</v>
      </c>
      <c r="AC437">
        <v>93.07</v>
      </c>
      <c r="AD437">
        <v>325</v>
      </c>
      <c r="AE437">
        <v>289</v>
      </c>
    </row>
    <row r="438" spans="1:31" x14ac:dyDescent="0.25">
      <c r="A438" t="s">
        <v>2170</v>
      </c>
      <c r="B438" t="s">
        <v>2171</v>
      </c>
      <c r="C438" s="1">
        <v>44328</v>
      </c>
      <c r="D438" s="1">
        <v>45525</v>
      </c>
      <c r="E438" t="s">
        <v>65</v>
      </c>
      <c r="F438" t="s">
        <v>91</v>
      </c>
      <c r="G438" t="s">
        <v>78</v>
      </c>
      <c r="H438" t="s">
        <v>67</v>
      </c>
      <c r="I438" t="s">
        <v>2172</v>
      </c>
      <c r="J438" t="s">
        <v>38</v>
      </c>
      <c r="K438" t="s">
        <v>94</v>
      </c>
      <c r="L438" t="s">
        <v>2173</v>
      </c>
      <c r="M438">
        <v>437.27</v>
      </c>
      <c r="N438">
        <v>72</v>
      </c>
      <c r="O438" t="s">
        <v>2174</v>
      </c>
      <c r="P438" t="s">
        <v>42</v>
      </c>
      <c r="Q438" t="s">
        <v>59</v>
      </c>
      <c r="R438" t="s">
        <v>44</v>
      </c>
      <c r="S438" t="s">
        <v>98</v>
      </c>
      <c r="T438" t="s">
        <v>206</v>
      </c>
      <c r="U438">
        <v>917</v>
      </c>
      <c r="V438">
        <v>278</v>
      </c>
      <c r="W438">
        <v>2</v>
      </c>
      <c r="X438">
        <v>859.47</v>
      </c>
      <c r="Y438">
        <v>348.95</v>
      </c>
      <c r="Z438">
        <v>1208.42</v>
      </c>
      <c r="AA438" t="s">
        <v>62</v>
      </c>
      <c r="AB438">
        <v>0</v>
      </c>
      <c r="AC438">
        <v>84.73</v>
      </c>
      <c r="AD438">
        <v>164</v>
      </c>
      <c r="AE438">
        <v>154</v>
      </c>
    </row>
    <row r="439" spans="1:31" x14ac:dyDescent="0.25">
      <c r="A439" t="s">
        <v>2175</v>
      </c>
      <c r="B439" t="s">
        <v>2176</v>
      </c>
      <c r="C439" s="1">
        <v>44355</v>
      </c>
      <c r="D439" s="1">
        <v>44973</v>
      </c>
      <c r="E439" t="s">
        <v>50</v>
      </c>
      <c r="F439" t="s">
        <v>91</v>
      </c>
      <c r="G439" t="s">
        <v>113</v>
      </c>
      <c r="H439" t="s">
        <v>221</v>
      </c>
      <c r="I439" t="s">
        <v>429</v>
      </c>
      <c r="J439" t="s">
        <v>38</v>
      </c>
      <c r="K439" t="s">
        <v>55</v>
      </c>
      <c r="L439" t="s">
        <v>430</v>
      </c>
      <c r="M439">
        <v>210.48</v>
      </c>
      <c r="N439">
        <v>11</v>
      </c>
      <c r="O439" t="s">
        <v>2177</v>
      </c>
      <c r="P439" t="s">
        <v>141</v>
      </c>
      <c r="Q439" t="s">
        <v>245</v>
      </c>
      <c r="R439" t="s">
        <v>86</v>
      </c>
      <c r="S439" t="s">
        <v>45</v>
      </c>
      <c r="T439" t="s">
        <v>160</v>
      </c>
      <c r="U439">
        <v>2089</v>
      </c>
      <c r="V439">
        <v>185</v>
      </c>
      <c r="W439">
        <v>8</v>
      </c>
      <c r="X439">
        <v>861.96</v>
      </c>
      <c r="Y439">
        <v>20.96</v>
      </c>
      <c r="Z439">
        <v>882.92000000000007</v>
      </c>
      <c r="AA439" t="s">
        <v>62</v>
      </c>
      <c r="AB439">
        <v>0</v>
      </c>
      <c r="AC439">
        <v>98.07</v>
      </c>
      <c r="AD439">
        <v>417</v>
      </c>
      <c r="AE439">
        <v>392</v>
      </c>
    </row>
    <row r="440" spans="1:31" x14ac:dyDescent="0.25">
      <c r="A440" t="s">
        <v>2178</v>
      </c>
      <c r="B440" t="s">
        <v>2179</v>
      </c>
      <c r="C440" s="1">
        <v>44798</v>
      </c>
      <c r="D440" s="1">
        <v>45439</v>
      </c>
      <c r="E440" t="s">
        <v>65</v>
      </c>
      <c r="F440" t="s">
        <v>51</v>
      </c>
      <c r="G440" t="s">
        <v>35</v>
      </c>
      <c r="H440" t="s">
        <v>147</v>
      </c>
      <c r="I440" t="s">
        <v>2180</v>
      </c>
      <c r="J440" t="s">
        <v>38</v>
      </c>
      <c r="K440" t="s">
        <v>39</v>
      </c>
      <c r="L440" t="s">
        <v>2181</v>
      </c>
      <c r="M440">
        <v>72.8</v>
      </c>
      <c r="N440">
        <v>31</v>
      </c>
      <c r="O440" t="s">
        <v>2182</v>
      </c>
      <c r="P440" t="s">
        <v>42</v>
      </c>
      <c r="Q440" t="s">
        <v>133</v>
      </c>
      <c r="R440" t="s">
        <v>152</v>
      </c>
      <c r="S440" t="s">
        <v>73</v>
      </c>
      <c r="T440" t="s">
        <v>419</v>
      </c>
      <c r="U440">
        <v>405</v>
      </c>
      <c r="V440">
        <v>170</v>
      </c>
      <c r="W440">
        <v>8</v>
      </c>
      <c r="X440">
        <v>901.66</v>
      </c>
      <c r="Y440">
        <v>278.93</v>
      </c>
      <c r="Z440">
        <v>1180.5899999999999</v>
      </c>
      <c r="AA440" t="s">
        <v>62</v>
      </c>
      <c r="AB440">
        <v>0</v>
      </c>
      <c r="AC440">
        <v>71.89</v>
      </c>
      <c r="AD440">
        <v>359</v>
      </c>
      <c r="AE440">
        <v>382</v>
      </c>
    </row>
    <row r="441" spans="1:31" x14ac:dyDescent="0.25">
      <c r="A441" t="s">
        <v>2183</v>
      </c>
      <c r="B441" t="s">
        <v>2184</v>
      </c>
      <c r="C441" s="1">
        <v>45135</v>
      </c>
      <c r="D441" s="1">
        <v>45414</v>
      </c>
      <c r="E441" t="s">
        <v>33</v>
      </c>
      <c r="F441" t="s">
        <v>146</v>
      </c>
      <c r="G441" t="s">
        <v>78</v>
      </c>
      <c r="H441" t="s">
        <v>147</v>
      </c>
      <c r="I441" t="s">
        <v>2185</v>
      </c>
      <c r="J441" t="s">
        <v>38</v>
      </c>
      <c r="K441" t="s">
        <v>39</v>
      </c>
      <c r="L441" t="s">
        <v>2186</v>
      </c>
      <c r="M441">
        <v>205.97</v>
      </c>
      <c r="N441">
        <v>89</v>
      </c>
      <c r="O441" t="s">
        <v>2187</v>
      </c>
      <c r="P441" t="s">
        <v>84</v>
      </c>
      <c r="Q441" t="s">
        <v>458</v>
      </c>
      <c r="R441" t="s">
        <v>44</v>
      </c>
      <c r="S441" t="s">
        <v>98</v>
      </c>
      <c r="T441" t="s">
        <v>185</v>
      </c>
      <c r="U441">
        <v>134</v>
      </c>
      <c r="V441">
        <v>403</v>
      </c>
      <c r="W441">
        <v>21</v>
      </c>
      <c r="X441">
        <v>1272.9100000000001</v>
      </c>
      <c r="Y441">
        <v>497.42</v>
      </c>
      <c r="Z441">
        <v>1770.33</v>
      </c>
      <c r="AA441" t="s">
        <v>47</v>
      </c>
      <c r="AB441">
        <v>2</v>
      </c>
      <c r="AC441">
        <v>75.849999999999994</v>
      </c>
      <c r="AD441">
        <v>113</v>
      </c>
      <c r="AE441">
        <v>122</v>
      </c>
    </row>
    <row r="442" spans="1:31" x14ac:dyDescent="0.25">
      <c r="A442" t="s">
        <v>2188</v>
      </c>
      <c r="B442" t="s">
        <v>2189</v>
      </c>
      <c r="C442" s="1">
        <v>44242</v>
      </c>
      <c r="D442" s="1">
        <v>44016</v>
      </c>
      <c r="E442" t="s">
        <v>65</v>
      </c>
      <c r="F442" t="s">
        <v>51</v>
      </c>
      <c r="G442" t="s">
        <v>343</v>
      </c>
      <c r="H442" t="s">
        <v>79</v>
      </c>
      <c r="I442" t="s">
        <v>2190</v>
      </c>
      <c r="J442" t="s">
        <v>38</v>
      </c>
      <c r="K442" t="s">
        <v>39</v>
      </c>
      <c r="L442" t="s">
        <v>2191</v>
      </c>
      <c r="M442">
        <v>342.16</v>
      </c>
      <c r="N442">
        <v>39</v>
      </c>
      <c r="O442" t="s">
        <v>475</v>
      </c>
      <c r="P442" t="s">
        <v>58</v>
      </c>
      <c r="Q442" t="s">
        <v>97</v>
      </c>
      <c r="R442" t="s">
        <v>60</v>
      </c>
      <c r="S442" t="s">
        <v>45</v>
      </c>
      <c r="T442" t="s">
        <v>1229</v>
      </c>
      <c r="U442">
        <v>4138</v>
      </c>
      <c r="V442">
        <v>433</v>
      </c>
      <c r="W442">
        <v>4</v>
      </c>
      <c r="X442">
        <v>1402.6</v>
      </c>
      <c r="Y442">
        <v>482.82</v>
      </c>
      <c r="Z442">
        <v>1885.42</v>
      </c>
      <c r="AA442" t="s">
        <v>62</v>
      </c>
      <c r="AB442">
        <v>0</v>
      </c>
      <c r="AC442">
        <v>71.75</v>
      </c>
      <c r="AD442">
        <v>319</v>
      </c>
      <c r="AE442">
        <v>278</v>
      </c>
    </row>
    <row r="443" spans="1:31" x14ac:dyDescent="0.25">
      <c r="A443" t="s">
        <v>2192</v>
      </c>
      <c r="B443" t="s">
        <v>2193</v>
      </c>
      <c r="C443" s="1">
        <v>44977</v>
      </c>
      <c r="D443" s="1">
        <v>45663</v>
      </c>
      <c r="E443" t="s">
        <v>50</v>
      </c>
      <c r="F443" t="s">
        <v>34</v>
      </c>
      <c r="G443" t="s">
        <v>52</v>
      </c>
      <c r="H443" t="s">
        <v>114</v>
      </c>
      <c r="I443" t="s">
        <v>2194</v>
      </c>
      <c r="J443" t="s">
        <v>38</v>
      </c>
      <c r="K443" t="s">
        <v>81</v>
      </c>
      <c r="L443" t="s">
        <v>2195</v>
      </c>
      <c r="M443">
        <v>403.2</v>
      </c>
      <c r="N443">
        <v>97</v>
      </c>
      <c r="O443" t="s">
        <v>2196</v>
      </c>
      <c r="P443" t="s">
        <v>58</v>
      </c>
      <c r="Q443" t="s">
        <v>266</v>
      </c>
      <c r="R443" t="s">
        <v>60</v>
      </c>
      <c r="S443" t="s">
        <v>73</v>
      </c>
      <c r="T443" t="s">
        <v>812</v>
      </c>
      <c r="U443">
        <v>924</v>
      </c>
      <c r="V443">
        <v>491</v>
      </c>
      <c r="W443">
        <v>7</v>
      </c>
      <c r="X443">
        <v>515.21</v>
      </c>
      <c r="Y443">
        <v>238.27</v>
      </c>
      <c r="Z443">
        <v>753.48</v>
      </c>
      <c r="AA443" t="s">
        <v>47</v>
      </c>
      <c r="AB443">
        <v>5</v>
      </c>
      <c r="AC443">
        <v>77.45</v>
      </c>
      <c r="AD443">
        <v>173</v>
      </c>
      <c r="AE443">
        <v>164</v>
      </c>
    </row>
    <row r="444" spans="1:31" x14ac:dyDescent="0.25">
      <c r="A444" t="s">
        <v>2197</v>
      </c>
      <c r="B444" t="s">
        <v>2198</v>
      </c>
      <c r="C444" s="1">
        <v>45067</v>
      </c>
      <c r="D444" s="1">
        <v>44348</v>
      </c>
      <c r="E444" t="s">
        <v>50</v>
      </c>
      <c r="F444" t="s">
        <v>91</v>
      </c>
      <c r="G444" t="s">
        <v>66</v>
      </c>
      <c r="H444" t="s">
        <v>36</v>
      </c>
      <c r="I444" t="s">
        <v>2199</v>
      </c>
      <c r="J444" t="s">
        <v>38</v>
      </c>
      <c r="K444" t="s">
        <v>94</v>
      </c>
      <c r="L444" t="s">
        <v>2200</v>
      </c>
      <c r="M444">
        <v>489.64</v>
      </c>
      <c r="N444">
        <v>35</v>
      </c>
      <c r="O444" t="s">
        <v>1127</v>
      </c>
      <c r="P444" t="s">
        <v>58</v>
      </c>
      <c r="Q444" t="s">
        <v>85</v>
      </c>
      <c r="R444" t="s">
        <v>86</v>
      </c>
      <c r="S444" t="s">
        <v>45</v>
      </c>
      <c r="T444" t="s">
        <v>721</v>
      </c>
      <c r="U444">
        <v>2616</v>
      </c>
      <c r="V444">
        <v>373</v>
      </c>
      <c r="W444">
        <v>19</v>
      </c>
      <c r="X444">
        <v>1313.88</v>
      </c>
      <c r="Y444">
        <v>472.56</v>
      </c>
      <c r="Z444">
        <v>1786.44</v>
      </c>
      <c r="AA444" t="s">
        <v>62</v>
      </c>
      <c r="AB444">
        <v>0</v>
      </c>
      <c r="AC444">
        <v>83.99</v>
      </c>
      <c r="AD444">
        <v>191</v>
      </c>
      <c r="AE444">
        <v>148</v>
      </c>
    </row>
    <row r="445" spans="1:31" x14ac:dyDescent="0.25">
      <c r="A445" t="s">
        <v>2201</v>
      </c>
      <c r="B445" t="s">
        <v>1211</v>
      </c>
      <c r="C445" s="1">
        <v>44642</v>
      </c>
      <c r="D445" s="1">
        <v>45513</v>
      </c>
      <c r="E445" t="s">
        <v>65</v>
      </c>
      <c r="F445" t="s">
        <v>34</v>
      </c>
      <c r="G445" t="s">
        <v>113</v>
      </c>
      <c r="H445" t="s">
        <v>114</v>
      </c>
      <c r="I445" t="s">
        <v>2202</v>
      </c>
      <c r="J445" t="s">
        <v>38</v>
      </c>
      <c r="K445" t="s">
        <v>55</v>
      </c>
      <c r="L445" t="s">
        <v>2203</v>
      </c>
      <c r="M445">
        <v>142</v>
      </c>
      <c r="N445">
        <v>23</v>
      </c>
      <c r="O445" t="s">
        <v>2204</v>
      </c>
      <c r="P445" t="s">
        <v>108</v>
      </c>
      <c r="Q445" t="s">
        <v>245</v>
      </c>
      <c r="R445" t="s">
        <v>86</v>
      </c>
      <c r="S445" t="s">
        <v>45</v>
      </c>
      <c r="T445" t="s">
        <v>738</v>
      </c>
      <c r="U445">
        <v>4407</v>
      </c>
      <c r="V445">
        <v>436</v>
      </c>
      <c r="W445">
        <v>23</v>
      </c>
      <c r="X445">
        <v>565.16999999999996</v>
      </c>
      <c r="Y445">
        <v>281.35000000000002</v>
      </c>
      <c r="Z445">
        <v>846.52</v>
      </c>
      <c r="AA445" t="s">
        <v>62</v>
      </c>
      <c r="AB445">
        <v>0</v>
      </c>
      <c r="AC445">
        <v>72.17</v>
      </c>
      <c r="AD445">
        <v>220</v>
      </c>
      <c r="AE445">
        <v>227</v>
      </c>
    </row>
    <row r="446" spans="1:31" x14ac:dyDescent="0.25">
      <c r="A446" t="s">
        <v>2205</v>
      </c>
      <c r="B446" t="s">
        <v>2206</v>
      </c>
      <c r="C446" s="1">
        <v>44168</v>
      </c>
      <c r="D446" s="1">
        <v>43995</v>
      </c>
      <c r="E446" t="s">
        <v>50</v>
      </c>
      <c r="F446" t="s">
        <v>34</v>
      </c>
      <c r="G446" t="s">
        <v>66</v>
      </c>
      <c r="H446" t="s">
        <v>163</v>
      </c>
      <c r="I446" t="s">
        <v>801</v>
      </c>
      <c r="J446" t="s">
        <v>38</v>
      </c>
      <c r="K446" t="s">
        <v>69</v>
      </c>
      <c r="L446" t="s">
        <v>802</v>
      </c>
      <c r="M446">
        <v>447.34</v>
      </c>
      <c r="N446">
        <v>75</v>
      </c>
      <c r="O446" t="s">
        <v>2207</v>
      </c>
      <c r="P446" t="s">
        <v>108</v>
      </c>
      <c r="Q446" t="s">
        <v>169</v>
      </c>
      <c r="R446" t="s">
        <v>60</v>
      </c>
      <c r="S446" t="s">
        <v>73</v>
      </c>
      <c r="T446" t="s">
        <v>267</v>
      </c>
      <c r="U446">
        <v>117</v>
      </c>
      <c r="V446">
        <v>269</v>
      </c>
      <c r="W446">
        <v>10</v>
      </c>
      <c r="X446">
        <v>550.32000000000005</v>
      </c>
      <c r="Y446">
        <v>483.03</v>
      </c>
      <c r="Z446">
        <v>1033.3499999999999</v>
      </c>
      <c r="AA446" t="s">
        <v>62</v>
      </c>
      <c r="AB446">
        <v>0</v>
      </c>
      <c r="AC446">
        <v>71.680000000000007</v>
      </c>
      <c r="AD446">
        <v>194</v>
      </c>
      <c r="AE446">
        <v>211</v>
      </c>
    </row>
    <row r="447" spans="1:31" x14ac:dyDescent="0.25">
      <c r="A447" t="s">
        <v>2208</v>
      </c>
      <c r="B447" t="s">
        <v>2209</v>
      </c>
      <c r="C447" s="1">
        <v>44388</v>
      </c>
      <c r="D447" s="1">
        <v>44139</v>
      </c>
      <c r="E447" t="s">
        <v>65</v>
      </c>
      <c r="F447" t="s">
        <v>91</v>
      </c>
      <c r="G447" t="s">
        <v>102</v>
      </c>
      <c r="H447" t="s">
        <v>163</v>
      </c>
      <c r="I447" t="s">
        <v>2210</v>
      </c>
      <c r="J447" t="s">
        <v>104</v>
      </c>
      <c r="K447" t="s">
        <v>105</v>
      </c>
      <c r="L447" t="s">
        <v>2211</v>
      </c>
      <c r="M447">
        <v>90.87</v>
      </c>
      <c r="N447">
        <v>76</v>
      </c>
      <c r="O447" t="s">
        <v>1042</v>
      </c>
      <c r="P447" t="s">
        <v>58</v>
      </c>
      <c r="Q447" t="s">
        <v>184</v>
      </c>
      <c r="R447" t="s">
        <v>152</v>
      </c>
      <c r="S447" t="s">
        <v>126</v>
      </c>
      <c r="T447" t="s">
        <v>267</v>
      </c>
      <c r="U447">
        <v>4217</v>
      </c>
      <c r="V447">
        <v>203</v>
      </c>
      <c r="W447">
        <v>22</v>
      </c>
      <c r="X447">
        <v>1764.59</v>
      </c>
      <c r="Y447">
        <v>219.37</v>
      </c>
      <c r="Z447">
        <v>1983.96</v>
      </c>
      <c r="AA447" t="s">
        <v>62</v>
      </c>
      <c r="AB447">
        <v>0</v>
      </c>
      <c r="AC447">
        <v>80.78</v>
      </c>
      <c r="AD447">
        <v>212</v>
      </c>
      <c r="AE447">
        <v>196</v>
      </c>
    </row>
    <row r="448" spans="1:31" x14ac:dyDescent="0.25">
      <c r="A448" t="s">
        <v>2212</v>
      </c>
      <c r="B448" t="s">
        <v>2213</v>
      </c>
      <c r="C448" s="1">
        <v>44422</v>
      </c>
      <c r="D448" s="1">
        <v>43950</v>
      </c>
      <c r="E448" t="s">
        <v>50</v>
      </c>
      <c r="F448" t="s">
        <v>91</v>
      </c>
      <c r="G448" t="s">
        <v>113</v>
      </c>
      <c r="H448" t="s">
        <v>147</v>
      </c>
      <c r="I448" t="s">
        <v>553</v>
      </c>
      <c r="J448" t="s">
        <v>104</v>
      </c>
      <c r="K448" t="s">
        <v>554</v>
      </c>
      <c r="L448" t="s">
        <v>555</v>
      </c>
      <c r="M448">
        <v>356.1</v>
      </c>
      <c r="N448">
        <v>86</v>
      </c>
      <c r="O448" t="s">
        <v>2214</v>
      </c>
      <c r="P448" t="s">
        <v>141</v>
      </c>
      <c r="Q448" t="s">
        <v>245</v>
      </c>
      <c r="R448" t="s">
        <v>152</v>
      </c>
      <c r="S448" t="s">
        <v>126</v>
      </c>
      <c r="T448" t="s">
        <v>910</v>
      </c>
      <c r="U448">
        <v>1863</v>
      </c>
      <c r="V448">
        <v>334</v>
      </c>
      <c r="W448">
        <v>4</v>
      </c>
      <c r="X448">
        <v>391.86</v>
      </c>
      <c r="Y448">
        <v>293.14999999999998</v>
      </c>
      <c r="Z448">
        <v>685.01</v>
      </c>
      <c r="AA448" t="s">
        <v>62</v>
      </c>
      <c r="AB448">
        <v>0</v>
      </c>
      <c r="AC448">
        <v>96.05</v>
      </c>
      <c r="AD448">
        <v>325</v>
      </c>
      <c r="AE448">
        <v>351</v>
      </c>
    </row>
    <row r="449" spans="1:31" x14ac:dyDescent="0.25">
      <c r="A449" t="s">
        <v>2215</v>
      </c>
      <c r="B449" t="s">
        <v>2216</v>
      </c>
      <c r="C449" s="1">
        <v>44382</v>
      </c>
      <c r="D449" s="1">
        <v>44064</v>
      </c>
      <c r="E449" t="s">
        <v>65</v>
      </c>
      <c r="F449" t="s">
        <v>51</v>
      </c>
      <c r="G449" t="s">
        <v>92</v>
      </c>
      <c r="H449" t="s">
        <v>67</v>
      </c>
      <c r="I449" t="s">
        <v>2217</v>
      </c>
      <c r="J449" t="s">
        <v>38</v>
      </c>
      <c r="K449" t="s">
        <v>94</v>
      </c>
      <c r="L449" t="s">
        <v>2218</v>
      </c>
      <c r="M449">
        <v>88.98</v>
      </c>
      <c r="N449">
        <v>4</v>
      </c>
      <c r="O449" t="s">
        <v>2219</v>
      </c>
      <c r="P449" t="s">
        <v>42</v>
      </c>
      <c r="Q449" t="s">
        <v>133</v>
      </c>
      <c r="R449" t="s">
        <v>60</v>
      </c>
      <c r="S449" t="s">
        <v>73</v>
      </c>
      <c r="T449" t="s">
        <v>61</v>
      </c>
      <c r="U449">
        <v>2205</v>
      </c>
      <c r="V449">
        <v>417</v>
      </c>
      <c r="W449">
        <v>2</v>
      </c>
      <c r="X449">
        <v>1767.47</v>
      </c>
      <c r="Y449">
        <v>442.56</v>
      </c>
      <c r="Z449">
        <v>2210.0300000000002</v>
      </c>
      <c r="AA449" t="s">
        <v>62</v>
      </c>
      <c r="AB449">
        <v>0</v>
      </c>
      <c r="AC449">
        <v>73.16</v>
      </c>
      <c r="AD449">
        <v>154</v>
      </c>
      <c r="AE449">
        <v>174</v>
      </c>
    </row>
    <row r="450" spans="1:31" x14ac:dyDescent="0.25">
      <c r="A450" t="s">
        <v>2220</v>
      </c>
      <c r="B450" t="s">
        <v>2221</v>
      </c>
      <c r="C450" s="1">
        <v>44034</v>
      </c>
      <c r="D450" s="1">
        <v>45373</v>
      </c>
      <c r="E450" t="s">
        <v>50</v>
      </c>
      <c r="F450" t="s">
        <v>51</v>
      </c>
      <c r="G450" t="s">
        <v>78</v>
      </c>
      <c r="H450" t="s">
        <v>163</v>
      </c>
      <c r="I450" t="s">
        <v>2222</v>
      </c>
      <c r="J450" t="s">
        <v>38</v>
      </c>
      <c r="K450" t="s">
        <v>55</v>
      </c>
      <c r="L450" t="s">
        <v>2223</v>
      </c>
      <c r="M450">
        <v>382.27</v>
      </c>
      <c r="N450">
        <v>13</v>
      </c>
      <c r="O450" t="s">
        <v>2224</v>
      </c>
      <c r="P450" t="s">
        <v>141</v>
      </c>
      <c r="Q450" t="s">
        <v>708</v>
      </c>
      <c r="R450" t="s">
        <v>152</v>
      </c>
      <c r="S450" t="s">
        <v>45</v>
      </c>
      <c r="T450" t="s">
        <v>218</v>
      </c>
      <c r="U450">
        <v>2698</v>
      </c>
      <c r="V450">
        <v>179</v>
      </c>
      <c r="W450">
        <v>25</v>
      </c>
      <c r="X450">
        <v>1123.8699999999999</v>
      </c>
      <c r="Y450">
        <v>236.73</v>
      </c>
      <c r="Z450">
        <v>1360.6</v>
      </c>
      <c r="AA450" t="s">
        <v>62</v>
      </c>
      <c r="AB450">
        <v>0</v>
      </c>
      <c r="AC450">
        <v>87.6</v>
      </c>
      <c r="AD450">
        <v>306</v>
      </c>
      <c r="AE450">
        <v>344</v>
      </c>
    </row>
    <row r="451" spans="1:31" x14ac:dyDescent="0.25">
      <c r="A451" t="s">
        <v>2225</v>
      </c>
      <c r="B451" t="s">
        <v>1992</v>
      </c>
      <c r="C451" s="1">
        <v>45096</v>
      </c>
      <c r="D451" s="1">
        <v>44348</v>
      </c>
      <c r="E451" t="s">
        <v>65</v>
      </c>
      <c r="F451" t="s">
        <v>34</v>
      </c>
      <c r="G451" t="s">
        <v>35</v>
      </c>
      <c r="H451" t="s">
        <v>147</v>
      </c>
      <c r="I451" t="s">
        <v>2210</v>
      </c>
      <c r="J451" t="s">
        <v>104</v>
      </c>
      <c r="K451" t="s">
        <v>105</v>
      </c>
      <c r="L451" t="s">
        <v>2211</v>
      </c>
      <c r="M451">
        <v>379.41</v>
      </c>
      <c r="N451">
        <v>25</v>
      </c>
      <c r="O451" t="s">
        <v>2226</v>
      </c>
      <c r="P451" t="s">
        <v>108</v>
      </c>
      <c r="Q451" t="s">
        <v>245</v>
      </c>
      <c r="R451" t="s">
        <v>44</v>
      </c>
      <c r="S451" t="s">
        <v>73</v>
      </c>
      <c r="T451" t="s">
        <v>916</v>
      </c>
      <c r="U451">
        <v>3470</v>
      </c>
      <c r="V451">
        <v>255</v>
      </c>
      <c r="W451">
        <v>13</v>
      </c>
      <c r="X451">
        <v>475.97</v>
      </c>
      <c r="Y451">
        <v>50.48</v>
      </c>
      <c r="Z451">
        <v>526.45000000000005</v>
      </c>
      <c r="AA451" t="s">
        <v>62</v>
      </c>
      <c r="AB451">
        <v>0</v>
      </c>
      <c r="AC451">
        <v>88.84</v>
      </c>
      <c r="AD451">
        <v>123</v>
      </c>
      <c r="AE451">
        <v>172</v>
      </c>
    </row>
    <row r="452" spans="1:31" x14ac:dyDescent="0.25">
      <c r="A452" t="s">
        <v>2227</v>
      </c>
      <c r="B452" t="s">
        <v>2228</v>
      </c>
      <c r="C452" s="1">
        <v>44661</v>
      </c>
      <c r="D452" s="1">
        <v>44882</v>
      </c>
      <c r="E452" t="s">
        <v>65</v>
      </c>
      <c r="F452" t="s">
        <v>51</v>
      </c>
      <c r="G452" t="s">
        <v>35</v>
      </c>
      <c r="H452" t="s">
        <v>147</v>
      </c>
      <c r="I452" t="s">
        <v>553</v>
      </c>
      <c r="J452" t="s">
        <v>104</v>
      </c>
      <c r="K452" t="s">
        <v>554</v>
      </c>
      <c r="L452" t="s">
        <v>555</v>
      </c>
      <c r="M452">
        <v>165.68</v>
      </c>
      <c r="N452">
        <v>40</v>
      </c>
      <c r="O452" t="s">
        <v>2229</v>
      </c>
      <c r="P452" t="s">
        <v>141</v>
      </c>
      <c r="Q452" t="s">
        <v>159</v>
      </c>
      <c r="R452" t="s">
        <v>60</v>
      </c>
      <c r="S452" t="s">
        <v>126</v>
      </c>
      <c r="T452" t="s">
        <v>239</v>
      </c>
      <c r="U452">
        <v>1200</v>
      </c>
      <c r="V452">
        <v>300</v>
      </c>
      <c r="W452">
        <v>10</v>
      </c>
      <c r="X452">
        <v>147.66999999999999</v>
      </c>
      <c r="Y452">
        <v>184.84</v>
      </c>
      <c r="Z452">
        <v>332.51</v>
      </c>
      <c r="AA452" t="s">
        <v>62</v>
      </c>
      <c r="AB452">
        <v>0</v>
      </c>
      <c r="AC452">
        <v>79.95</v>
      </c>
      <c r="AD452">
        <v>136</v>
      </c>
      <c r="AE452">
        <v>123</v>
      </c>
    </row>
    <row r="453" spans="1:31" x14ac:dyDescent="0.25">
      <c r="A453" t="s">
        <v>2230</v>
      </c>
      <c r="B453" t="s">
        <v>2231</v>
      </c>
      <c r="C453" s="1">
        <v>43977</v>
      </c>
      <c r="D453" s="1">
        <v>44340</v>
      </c>
      <c r="E453" t="s">
        <v>65</v>
      </c>
      <c r="F453" t="s">
        <v>34</v>
      </c>
      <c r="G453" t="s">
        <v>102</v>
      </c>
      <c r="H453" t="s">
        <v>147</v>
      </c>
      <c r="I453" t="s">
        <v>2217</v>
      </c>
      <c r="J453" t="s">
        <v>38</v>
      </c>
      <c r="K453" t="s">
        <v>94</v>
      </c>
      <c r="L453" t="s">
        <v>2218</v>
      </c>
      <c r="M453">
        <v>274.97000000000003</v>
      </c>
      <c r="N453">
        <v>54</v>
      </c>
      <c r="O453" t="s">
        <v>2232</v>
      </c>
      <c r="P453" t="s">
        <v>58</v>
      </c>
      <c r="Q453" t="s">
        <v>176</v>
      </c>
      <c r="R453" t="s">
        <v>44</v>
      </c>
      <c r="S453" t="s">
        <v>98</v>
      </c>
      <c r="T453" t="s">
        <v>192</v>
      </c>
      <c r="U453">
        <v>2363</v>
      </c>
      <c r="V453">
        <v>223</v>
      </c>
      <c r="W453">
        <v>6</v>
      </c>
      <c r="X453">
        <v>1583.42</v>
      </c>
      <c r="Y453">
        <v>75.45</v>
      </c>
      <c r="Z453">
        <v>1658.87</v>
      </c>
      <c r="AA453" t="s">
        <v>62</v>
      </c>
      <c r="AB453">
        <v>0</v>
      </c>
      <c r="AC453">
        <v>90.75</v>
      </c>
      <c r="AD453">
        <v>90</v>
      </c>
      <c r="AE453">
        <v>105</v>
      </c>
    </row>
    <row r="454" spans="1:31" x14ac:dyDescent="0.25">
      <c r="A454" t="s">
        <v>2233</v>
      </c>
      <c r="B454" t="s">
        <v>2234</v>
      </c>
      <c r="C454" s="1">
        <v>45650</v>
      </c>
      <c r="D454" s="1">
        <v>44626</v>
      </c>
      <c r="E454" t="s">
        <v>50</v>
      </c>
      <c r="F454" t="s">
        <v>34</v>
      </c>
      <c r="G454" t="s">
        <v>52</v>
      </c>
      <c r="H454" t="s">
        <v>221</v>
      </c>
      <c r="I454" t="s">
        <v>2222</v>
      </c>
      <c r="J454" t="s">
        <v>38</v>
      </c>
      <c r="K454" t="s">
        <v>55</v>
      </c>
      <c r="L454" t="s">
        <v>2223</v>
      </c>
      <c r="M454">
        <v>364.98</v>
      </c>
      <c r="N454">
        <v>71</v>
      </c>
      <c r="O454" t="s">
        <v>1868</v>
      </c>
      <c r="P454" t="s">
        <v>58</v>
      </c>
      <c r="Q454" t="s">
        <v>458</v>
      </c>
      <c r="R454" t="s">
        <v>152</v>
      </c>
      <c r="S454" t="s">
        <v>87</v>
      </c>
      <c r="T454" t="s">
        <v>296</v>
      </c>
      <c r="U454">
        <v>4791</v>
      </c>
      <c r="V454">
        <v>222</v>
      </c>
      <c r="W454">
        <v>14</v>
      </c>
      <c r="X454">
        <v>1539.59</v>
      </c>
      <c r="Y454">
        <v>247.08</v>
      </c>
      <c r="Z454">
        <v>1786.67</v>
      </c>
      <c r="AA454" t="s">
        <v>62</v>
      </c>
      <c r="AB454">
        <v>0</v>
      </c>
      <c r="AC454">
        <v>73.290000000000006</v>
      </c>
      <c r="AD454">
        <v>465</v>
      </c>
      <c r="AE454">
        <v>482</v>
      </c>
    </row>
    <row r="455" spans="1:31" x14ac:dyDescent="0.25">
      <c r="A455" t="s">
        <v>2235</v>
      </c>
      <c r="B455" t="s">
        <v>2236</v>
      </c>
      <c r="C455" s="1">
        <v>45421</v>
      </c>
      <c r="D455" s="1">
        <v>44219</v>
      </c>
      <c r="E455" t="s">
        <v>65</v>
      </c>
      <c r="F455" t="s">
        <v>34</v>
      </c>
      <c r="G455" t="s">
        <v>343</v>
      </c>
      <c r="H455" t="s">
        <v>67</v>
      </c>
      <c r="I455" t="s">
        <v>2237</v>
      </c>
      <c r="J455" t="s">
        <v>165</v>
      </c>
      <c r="K455" t="s">
        <v>2126</v>
      </c>
      <c r="L455" t="s">
        <v>2238</v>
      </c>
      <c r="M455">
        <v>468.9</v>
      </c>
      <c r="N455">
        <v>33</v>
      </c>
      <c r="O455" t="s">
        <v>985</v>
      </c>
      <c r="P455" t="s">
        <v>84</v>
      </c>
      <c r="Q455" t="s">
        <v>43</v>
      </c>
      <c r="R455" t="s">
        <v>44</v>
      </c>
      <c r="S455" t="s">
        <v>98</v>
      </c>
      <c r="T455" t="s">
        <v>218</v>
      </c>
      <c r="U455">
        <v>3365</v>
      </c>
      <c r="V455">
        <v>187</v>
      </c>
      <c r="W455">
        <v>11</v>
      </c>
      <c r="X455">
        <v>200</v>
      </c>
      <c r="Y455">
        <v>364.64</v>
      </c>
      <c r="Z455">
        <v>564.64</v>
      </c>
      <c r="AA455" t="s">
        <v>62</v>
      </c>
      <c r="AB455">
        <v>0</v>
      </c>
      <c r="AC455">
        <v>89.54</v>
      </c>
      <c r="AD455">
        <v>318</v>
      </c>
      <c r="AE455">
        <v>311</v>
      </c>
    </row>
    <row r="456" spans="1:31" x14ac:dyDescent="0.25">
      <c r="A456" t="s">
        <v>2239</v>
      </c>
      <c r="B456" t="s">
        <v>2240</v>
      </c>
      <c r="C456" s="1">
        <v>44452</v>
      </c>
      <c r="D456" s="1">
        <v>44800</v>
      </c>
      <c r="E456" t="s">
        <v>65</v>
      </c>
      <c r="F456" t="s">
        <v>34</v>
      </c>
      <c r="G456" t="s">
        <v>92</v>
      </c>
      <c r="H456" t="s">
        <v>36</v>
      </c>
      <c r="I456" t="s">
        <v>1616</v>
      </c>
      <c r="J456" t="s">
        <v>38</v>
      </c>
      <c r="K456" t="s">
        <v>69</v>
      </c>
      <c r="L456" t="s">
        <v>1617</v>
      </c>
      <c r="M456">
        <v>22.99</v>
      </c>
      <c r="N456">
        <v>39</v>
      </c>
      <c r="O456" t="s">
        <v>2241</v>
      </c>
      <c r="P456" t="s">
        <v>42</v>
      </c>
      <c r="Q456" t="s">
        <v>544</v>
      </c>
      <c r="R456" t="s">
        <v>60</v>
      </c>
      <c r="S456" t="s">
        <v>87</v>
      </c>
      <c r="T456" t="s">
        <v>160</v>
      </c>
      <c r="U456">
        <v>1154</v>
      </c>
      <c r="V456">
        <v>210</v>
      </c>
      <c r="W456">
        <v>17</v>
      </c>
      <c r="X456">
        <v>163.24</v>
      </c>
      <c r="Y456">
        <v>63.71</v>
      </c>
      <c r="Z456">
        <v>226.95</v>
      </c>
      <c r="AA456" t="s">
        <v>62</v>
      </c>
      <c r="AB456">
        <v>0</v>
      </c>
      <c r="AC456">
        <v>85.86</v>
      </c>
      <c r="AD456">
        <v>198</v>
      </c>
      <c r="AE456">
        <v>183</v>
      </c>
    </row>
    <row r="457" spans="1:31" x14ac:dyDescent="0.25">
      <c r="A457" t="s">
        <v>2242</v>
      </c>
      <c r="B457" t="s">
        <v>2243</v>
      </c>
      <c r="C457" s="1">
        <v>43849</v>
      </c>
      <c r="D457" s="1">
        <v>43852</v>
      </c>
      <c r="E457" t="s">
        <v>65</v>
      </c>
      <c r="F457" t="s">
        <v>91</v>
      </c>
      <c r="G457" t="s">
        <v>52</v>
      </c>
      <c r="H457" t="s">
        <v>147</v>
      </c>
      <c r="I457" t="s">
        <v>2244</v>
      </c>
      <c r="J457" t="s">
        <v>38</v>
      </c>
      <c r="K457" t="s">
        <v>69</v>
      </c>
      <c r="L457" t="s">
        <v>2245</v>
      </c>
      <c r="M457">
        <v>356.3</v>
      </c>
      <c r="N457">
        <v>22</v>
      </c>
      <c r="O457" t="s">
        <v>2246</v>
      </c>
      <c r="P457" t="s">
        <v>84</v>
      </c>
      <c r="Q457" t="s">
        <v>708</v>
      </c>
      <c r="R457" t="s">
        <v>60</v>
      </c>
      <c r="S457" t="s">
        <v>87</v>
      </c>
      <c r="T457" t="s">
        <v>284</v>
      </c>
      <c r="U457">
        <v>1829</v>
      </c>
      <c r="V457">
        <v>211</v>
      </c>
      <c r="W457">
        <v>26</v>
      </c>
      <c r="X457">
        <v>1418.21</v>
      </c>
      <c r="Y457">
        <v>447.3</v>
      </c>
      <c r="Z457">
        <v>1865.51</v>
      </c>
      <c r="AA457" t="s">
        <v>62</v>
      </c>
      <c r="AB457">
        <v>0</v>
      </c>
      <c r="AC457">
        <v>89.62</v>
      </c>
      <c r="AD457">
        <v>444</v>
      </c>
      <c r="AE457">
        <v>472</v>
      </c>
    </row>
    <row r="458" spans="1:31" x14ac:dyDescent="0.25">
      <c r="A458" t="s">
        <v>2247</v>
      </c>
      <c r="B458" t="s">
        <v>2248</v>
      </c>
      <c r="C458" s="1">
        <v>45406</v>
      </c>
      <c r="D458" s="1">
        <v>45071</v>
      </c>
      <c r="E458" t="s">
        <v>65</v>
      </c>
      <c r="F458" t="s">
        <v>77</v>
      </c>
      <c r="G458" t="s">
        <v>52</v>
      </c>
      <c r="H458" t="s">
        <v>221</v>
      </c>
      <c r="I458" t="s">
        <v>484</v>
      </c>
      <c r="J458" t="s">
        <v>38</v>
      </c>
      <c r="K458" t="s">
        <v>39</v>
      </c>
      <c r="L458" t="s">
        <v>485</v>
      </c>
      <c r="M458">
        <v>385.67</v>
      </c>
      <c r="N458">
        <v>53</v>
      </c>
      <c r="O458" t="s">
        <v>1137</v>
      </c>
      <c r="P458" t="s">
        <v>58</v>
      </c>
      <c r="Q458" t="s">
        <v>205</v>
      </c>
      <c r="R458" t="s">
        <v>152</v>
      </c>
      <c r="S458" t="s">
        <v>98</v>
      </c>
      <c r="T458" t="s">
        <v>192</v>
      </c>
      <c r="U458">
        <v>3164</v>
      </c>
      <c r="V458">
        <v>455</v>
      </c>
      <c r="W458">
        <v>7</v>
      </c>
      <c r="X458">
        <v>1033.48</v>
      </c>
      <c r="Y458">
        <v>33.21</v>
      </c>
      <c r="Z458">
        <v>1066.69</v>
      </c>
      <c r="AA458" t="s">
        <v>62</v>
      </c>
      <c r="AB458">
        <v>0</v>
      </c>
      <c r="AC458">
        <v>93.13</v>
      </c>
      <c r="AD458">
        <v>240</v>
      </c>
      <c r="AE458">
        <v>242</v>
      </c>
    </row>
    <row r="459" spans="1:31" x14ac:dyDescent="0.25">
      <c r="A459" t="s">
        <v>2249</v>
      </c>
      <c r="B459" t="s">
        <v>2250</v>
      </c>
      <c r="C459" s="1">
        <v>43894</v>
      </c>
      <c r="D459" s="1">
        <v>43905</v>
      </c>
      <c r="E459" t="s">
        <v>65</v>
      </c>
      <c r="F459" t="s">
        <v>91</v>
      </c>
      <c r="G459" t="s">
        <v>78</v>
      </c>
      <c r="H459" t="s">
        <v>53</v>
      </c>
      <c r="I459" t="s">
        <v>2251</v>
      </c>
      <c r="J459" t="s">
        <v>38</v>
      </c>
      <c r="K459" t="s">
        <v>81</v>
      </c>
      <c r="L459" t="s">
        <v>2252</v>
      </c>
      <c r="M459">
        <v>352.88</v>
      </c>
      <c r="N459">
        <v>92</v>
      </c>
      <c r="O459" t="s">
        <v>2253</v>
      </c>
      <c r="P459" t="s">
        <v>84</v>
      </c>
      <c r="Q459" t="s">
        <v>217</v>
      </c>
      <c r="R459" t="s">
        <v>60</v>
      </c>
      <c r="S459" t="s">
        <v>87</v>
      </c>
      <c r="T459" t="s">
        <v>675</v>
      </c>
      <c r="U459">
        <v>3445</v>
      </c>
      <c r="V459">
        <v>245</v>
      </c>
      <c r="W459">
        <v>22</v>
      </c>
      <c r="X459">
        <v>1524.73</v>
      </c>
      <c r="Y459">
        <v>27.47</v>
      </c>
      <c r="Z459">
        <v>1552.2</v>
      </c>
      <c r="AA459" t="s">
        <v>62</v>
      </c>
      <c r="AB459">
        <v>0</v>
      </c>
      <c r="AC459">
        <v>86.44</v>
      </c>
      <c r="AD459">
        <v>233</v>
      </c>
      <c r="AE459">
        <v>262</v>
      </c>
    </row>
    <row r="460" spans="1:31" x14ac:dyDescent="0.25">
      <c r="A460" t="s">
        <v>2254</v>
      </c>
      <c r="B460" t="s">
        <v>2255</v>
      </c>
      <c r="C460" s="1">
        <v>45595</v>
      </c>
      <c r="D460" s="1">
        <v>44588</v>
      </c>
      <c r="E460" t="s">
        <v>65</v>
      </c>
      <c r="F460" t="s">
        <v>91</v>
      </c>
      <c r="G460" t="s">
        <v>52</v>
      </c>
      <c r="H460" t="s">
        <v>221</v>
      </c>
      <c r="I460" t="s">
        <v>2256</v>
      </c>
      <c r="J460" t="s">
        <v>165</v>
      </c>
      <c r="K460" t="s">
        <v>202</v>
      </c>
      <c r="L460" t="s">
        <v>2257</v>
      </c>
      <c r="M460">
        <v>28.87</v>
      </c>
      <c r="N460">
        <v>45</v>
      </c>
      <c r="O460" t="s">
        <v>2258</v>
      </c>
      <c r="P460" t="s">
        <v>58</v>
      </c>
      <c r="Q460" t="s">
        <v>708</v>
      </c>
      <c r="R460" t="s">
        <v>86</v>
      </c>
      <c r="S460" t="s">
        <v>45</v>
      </c>
      <c r="T460" t="s">
        <v>910</v>
      </c>
      <c r="U460">
        <v>1804</v>
      </c>
      <c r="V460">
        <v>420</v>
      </c>
      <c r="W460">
        <v>12</v>
      </c>
      <c r="X460">
        <v>131.74</v>
      </c>
      <c r="Y460">
        <v>499.23</v>
      </c>
      <c r="Z460">
        <v>630.97</v>
      </c>
      <c r="AA460" t="s">
        <v>62</v>
      </c>
      <c r="AB460">
        <v>0</v>
      </c>
      <c r="AC460">
        <v>85.88</v>
      </c>
      <c r="AD460">
        <v>185</v>
      </c>
      <c r="AE460">
        <v>166</v>
      </c>
    </row>
    <row r="461" spans="1:31" x14ac:dyDescent="0.25">
      <c r="A461" t="s">
        <v>2259</v>
      </c>
      <c r="B461" t="s">
        <v>2260</v>
      </c>
      <c r="C461" s="1">
        <v>44485</v>
      </c>
      <c r="D461" s="1">
        <v>45296</v>
      </c>
      <c r="E461" t="s">
        <v>50</v>
      </c>
      <c r="F461" t="s">
        <v>34</v>
      </c>
      <c r="G461" t="s">
        <v>113</v>
      </c>
      <c r="H461" t="s">
        <v>53</v>
      </c>
      <c r="I461" t="s">
        <v>1736</v>
      </c>
      <c r="J461" t="s">
        <v>165</v>
      </c>
      <c r="K461" t="s">
        <v>202</v>
      </c>
      <c r="L461" t="s">
        <v>1737</v>
      </c>
      <c r="M461">
        <v>365.85</v>
      </c>
      <c r="N461">
        <v>16</v>
      </c>
      <c r="O461" t="s">
        <v>1319</v>
      </c>
      <c r="P461" t="s">
        <v>84</v>
      </c>
      <c r="Q461" t="s">
        <v>562</v>
      </c>
      <c r="R461" t="s">
        <v>86</v>
      </c>
      <c r="S461" t="s">
        <v>45</v>
      </c>
      <c r="T461" t="s">
        <v>225</v>
      </c>
      <c r="U461">
        <v>2743</v>
      </c>
      <c r="V461">
        <v>257</v>
      </c>
      <c r="W461">
        <v>2</v>
      </c>
      <c r="X461">
        <v>1019.36</v>
      </c>
      <c r="Y461">
        <v>302.61</v>
      </c>
      <c r="Z461">
        <v>1321.97</v>
      </c>
      <c r="AA461" t="s">
        <v>62</v>
      </c>
      <c r="AB461">
        <v>0</v>
      </c>
      <c r="AC461">
        <v>83</v>
      </c>
      <c r="AD461">
        <v>475</v>
      </c>
      <c r="AE461">
        <v>494</v>
      </c>
    </row>
    <row r="462" spans="1:31" x14ac:dyDescent="0.25">
      <c r="A462" t="s">
        <v>2261</v>
      </c>
      <c r="B462" t="s">
        <v>2262</v>
      </c>
      <c r="C462" s="1">
        <v>44047</v>
      </c>
      <c r="D462" s="1">
        <v>44422</v>
      </c>
      <c r="E462" t="s">
        <v>50</v>
      </c>
      <c r="F462" t="s">
        <v>34</v>
      </c>
      <c r="G462" t="s">
        <v>343</v>
      </c>
      <c r="H462" t="s">
        <v>36</v>
      </c>
      <c r="I462" t="s">
        <v>2263</v>
      </c>
      <c r="J462" t="s">
        <v>104</v>
      </c>
      <c r="K462" t="s">
        <v>229</v>
      </c>
      <c r="L462" t="s">
        <v>2264</v>
      </c>
      <c r="M462">
        <v>164.81</v>
      </c>
      <c r="N462">
        <v>87</v>
      </c>
      <c r="O462" t="s">
        <v>1175</v>
      </c>
      <c r="P462" t="s">
        <v>84</v>
      </c>
      <c r="Q462" t="s">
        <v>370</v>
      </c>
      <c r="R462" t="s">
        <v>152</v>
      </c>
      <c r="S462" t="s">
        <v>126</v>
      </c>
      <c r="T462" t="s">
        <v>916</v>
      </c>
      <c r="U462">
        <v>1779</v>
      </c>
      <c r="V462">
        <v>247</v>
      </c>
      <c r="W462">
        <v>27</v>
      </c>
      <c r="X462">
        <v>758.97</v>
      </c>
      <c r="Y462">
        <v>92.51</v>
      </c>
      <c r="Z462">
        <v>851.48</v>
      </c>
      <c r="AA462" t="s">
        <v>62</v>
      </c>
      <c r="AB462">
        <v>0</v>
      </c>
      <c r="AC462">
        <v>77.430000000000007</v>
      </c>
      <c r="AD462">
        <v>170</v>
      </c>
      <c r="AE462">
        <v>205</v>
      </c>
    </row>
    <row r="463" spans="1:31" x14ac:dyDescent="0.25">
      <c r="A463" t="s">
        <v>2265</v>
      </c>
      <c r="B463" t="s">
        <v>2266</v>
      </c>
      <c r="C463" s="1">
        <v>45112</v>
      </c>
      <c r="D463" s="1">
        <v>43999</v>
      </c>
      <c r="E463" t="s">
        <v>33</v>
      </c>
      <c r="F463" t="s">
        <v>77</v>
      </c>
      <c r="G463" t="s">
        <v>78</v>
      </c>
      <c r="H463" t="s">
        <v>163</v>
      </c>
      <c r="I463" t="s">
        <v>2267</v>
      </c>
      <c r="J463" t="s">
        <v>104</v>
      </c>
      <c r="K463" t="s">
        <v>105</v>
      </c>
      <c r="L463" t="s">
        <v>2268</v>
      </c>
      <c r="M463">
        <v>126.16</v>
      </c>
      <c r="N463">
        <v>16</v>
      </c>
      <c r="O463" t="s">
        <v>2182</v>
      </c>
      <c r="P463" t="s">
        <v>141</v>
      </c>
      <c r="Q463" t="s">
        <v>217</v>
      </c>
      <c r="R463" t="s">
        <v>86</v>
      </c>
      <c r="S463" t="s">
        <v>126</v>
      </c>
      <c r="T463" t="s">
        <v>259</v>
      </c>
      <c r="U463">
        <v>188</v>
      </c>
      <c r="V463">
        <v>143</v>
      </c>
      <c r="W463">
        <v>29</v>
      </c>
      <c r="X463">
        <v>266.73</v>
      </c>
      <c r="Y463">
        <v>109.13</v>
      </c>
      <c r="Z463">
        <v>375.86</v>
      </c>
      <c r="AA463" t="s">
        <v>62</v>
      </c>
      <c r="AB463">
        <v>0</v>
      </c>
      <c r="AC463">
        <v>95.62</v>
      </c>
      <c r="AD463">
        <v>133</v>
      </c>
      <c r="AE463">
        <v>131</v>
      </c>
    </row>
    <row r="464" spans="1:31" x14ac:dyDescent="0.25">
      <c r="A464" t="s">
        <v>2269</v>
      </c>
      <c r="B464" t="s">
        <v>2270</v>
      </c>
      <c r="C464" s="1">
        <v>45436</v>
      </c>
      <c r="D464" s="1">
        <v>44155</v>
      </c>
      <c r="E464" t="s">
        <v>65</v>
      </c>
      <c r="F464" t="s">
        <v>91</v>
      </c>
      <c r="G464" t="s">
        <v>66</v>
      </c>
      <c r="H464" t="s">
        <v>114</v>
      </c>
      <c r="I464" t="s">
        <v>2271</v>
      </c>
      <c r="J464" t="s">
        <v>38</v>
      </c>
      <c r="K464" t="s">
        <v>94</v>
      </c>
      <c r="L464" t="s">
        <v>2272</v>
      </c>
      <c r="M464">
        <v>315.12</v>
      </c>
      <c r="N464">
        <v>83</v>
      </c>
      <c r="O464" t="s">
        <v>776</v>
      </c>
      <c r="P464" t="s">
        <v>108</v>
      </c>
      <c r="Q464" t="s">
        <v>72</v>
      </c>
      <c r="R464" t="s">
        <v>60</v>
      </c>
      <c r="S464" t="s">
        <v>73</v>
      </c>
      <c r="T464" t="s">
        <v>134</v>
      </c>
      <c r="U464">
        <v>4320</v>
      </c>
      <c r="V464">
        <v>470</v>
      </c>
      <c r="W464">
        <v>28</v>
      </c>
      <c r="X464">
        <v>642.91999999999996</v>
      </c>
      <c r="Y464">
        <v>393.76</v>
      </c>
      <c r="Z464">
        <v>1036.68</v>
      </c>
      <c r="AA464" t="s">
        <v>62</v>
      </c>
      <c r="AB464">
        <v>0</v>
      </c>
      <c r="AC464">
        <v>82.4</v>
      </c>
      <c r="AD464">
        <v>318</v>
      </c>
      <c r="AE464">
        <v>324</v>
      </c>
    </row>
    <row r="465" spans="1:31" x14ac:dyDescent="0.25">
      <c r="A465" t="s">
        <v>2273</v>
      </c>
      <c r="B465" t="s">
        <v>2274</v>
      </c>
      <c r="C465" s="1">
        <v>44043</v>
      </c>
      <c r="D465" s="1">
        <v>45098</v>
      </c>
      <c r="E465" t="s">
        <v>65</v>
      </c>
      <c r="F465" t="s">
        <v>34</v>
      </c>
      <c r="G465" t="s">
        <v>92</v>
      </c>
      <c r="H465" t="s">
        <v>79</v>
      </c>
      <c r="I465" t="s">
        <v>2275</v>
      </c>
      <c r="J465" t="s">
        <v>38</v>
      </c>
      <c r="K465" t="s">
        <v>263</v>
      </c>
      <c r="L465" t="s">
        <v>2276</v>
      </c>
      <c r="M465">
        <v>286.8</v>
      </c>
      <c r="N465">
        <v>8</v>
      </c>
      <c r="O465" t="s">
        <v>2277</v>
      </c>
      <c r="P465" t="s">
        <v>108</v>
      </c>
      <c r="Q465" t="s">
        <v>295</v>
      </c>
      <c r="R465" t="s">
        <v>152</v>
      </c>
      <c r="S465" t="s">
        <v>73</v>
      </c>
      <c r="T465" t="s">
        <v>426</v>
      </c>
      <c r="U465">
        <v>3510</v>
      </c>
      <c r="V465">
        <v>68</v>
      </c>
      <c r="W465">
        <v>2</v>
      </c>
      <c r="X465">
        <v>1195.74</v>
      </c>
      <c r="Y465">
        <v>226.59</v>
      </c>
      <c r="Z465">
        <v>1422.33</v>
      </c>
      <c r="AA465" t="s">
        <v>62</v>
      </c>
      <c r="AB465">
        <v>0</v>
      </c>
      <c r="AC465">
        <v>91.35</v>
      </c>
      <c r="AD465">
        <v>477</v>
      </c>
      <c r="AE465">
        <v>466</v>
      </c>
    </row>
    <row r="466" spans="1:31" x14ac:dyDescent="0.25">
      <c r="A466" t="s">
        <v>2278</v>
      </c>
      <c r="B466" t="s">
        <v>2279</v>
      </c>
      <c r="C466" s="1">
        <v>44649</v>
      </c>
      <c r="D466" s="1">
        <v>45575</v>
      </c>
      <c r="E466" t="s">
        <v>33</v>
      </c>
      <c r="F466" t="s">
        <v>91</v>
      </c>
      <c r="G466" t="s">
        <v>113</v>
      </c>
      <c r="H466" t="s">
        <v>221</v>
      </c>
      <c r="I466" t="s">
        <v>2280</v>
      </c>
      <c r="J466" t="s">
        <v>38</v>
      </c>
      <c r="K466" t="s">
        <v>39</v>
      </c>
      <c r="L466" t="s">
        <v>2281</v>
      </c>
      <c r="M466">
        <v>179.15</v>
      </c>
      <c r="N466">
        <v>99</v>
      </c>
      <c r="O466" t="s">
        <v>685</v>
      </c>
      <c r="P466" t="s">
        <v>108</v>
      </c>
      <c r="Q466" t="s">
        <v>377</v>
      </c>
      <c r="R466" t="s">
        <v>86</v>
      </c>
      <c r="S466" t="s">
        <v>45</v>
      </c>
      <c r="T466" t="s">
        <v>134</v>
      </c>
      <c r="U466">
        <v>4548</v>
      </c>
      <c r="V466">
        <v>404</v>
      </c>
      <c r="W466">
        <v>5</v>
      </c>
      <c r="X466">
        <v>1875.03</v>
      </c>
      <c r="Y466">
        <v>476.77</v>
      </c>
      <c r="Z466">
        <v>2351.8000000000002</v>
      </c>
      <c r="AA466" t="s">
        <v>62</v>
      </c>
      <c r="AB466">
        <v>0</v>
      </c>
      <c r="AC466">
        <v>85.82</v>
      </c>
      <c r="AD466">
        <v>408</v>
      </c>
      <c r="AE466">
        <v>407</v>
      </c>
    </row>
    <row r="467" spans="1:31" x14ac:dyDescent="0.25">
      <c r="A467" t="s">
        <v>2282</v>
      </c>
      <c r="B467" t="s">
        <v>2283</v>
      </c>
      <c r="C467" s="1">
        <v>45337</v>
      </c>
      <c r="D467" s="1">
        <v>45063</v>
      </c>
      <c r="E467" t="s">
        <v>50</v>
      </c>
      <c r="F467" t="s">
        <v>91</v>
      </c>
      <c r="G467" t="s">
        <v>35</v>
      </c>
      <c r="H467" t="s">
        <v>53</v>
      </c>
      <c r="I467" t="s">
        <v>2284</v>
      </c>
      <c r="J467" t="s">
        <v>38</v>
      </c>
      <c r="K467" t="s">
        <v>735</v>
      </c>
      <c r="L467" t="s">
        <v>2285</v>
      </c>
      <c r="M467">
        <v>331.51</v>
      </c>
      <c r="N467">
        <v>57</v>
      </c>
      <c r="O467" t="s">
        <v>2286</v>
      </c>
      <c r="P467" t="s">
        <v>58</v>
      </c>
      <c r="Q467" t="s">
        <v>980</v>
      </c>
      <c r="R467" t="s">
        <v>44</v>
      </c>
      <c r="S467" t="s">
        <v>98</v>
      </c>
      <c r="T467" t="s">
        <v>916</v>
      </c>
      <c r="U467">
        <v>949</v>
      </c>
      <c r="V467">
        <v>436</v>
      </c>
      <c r="W467">
        <v>14</v>
      </c>
      <c r="X467">
        <v>1670.01</v>
      </c>
      <c r="Y467">
        <v>192.58</v>
      </c>
      <c r="Z467">
        <v>1862.59</v>
      </c>
      <c r="AA467" t="s">
        <v>62</v>
      </c>
      <c r="AB467">
        <v>0</v>
      </c>
      <c r="AC467">
        <v>81.709999999999994</v>
      </c>
      <c r="AD467">
        <v>220</v>
      </c>
      <c r="AE467">
        <v>229</v>
      </c>
    </row>
    <row r="468" spans="1:31" x14ac:dyDescent="0.25">
      <c r="A468" t="s">
        <v>2287</v>
      </c>
      <c r="B468" t="s">
        <v>2288</v>
      </c>
      <c r="C468" s="1">
        <v>44301</v>
      </c>
      <c r="D468" s="1">
        <v>45156</v>
      </c>
      <c r="E468" t="s">
        <v>65</v>
      </c>
      <c r="F468" t="s">
        <v>77</v>
      </c>
      <c r="G468" t="s">
        <v>52</v>
      </c>
      <c r="H468" t="s">
        <v>53</v>
      </c>
      <c r="I468" t="s">
        <v>2289</v>
      </c>
      <c r="J468" t="s">
        <v>165</v>
      </c>
      <c r="K468" t="s">
        <v>166</v>
      </c>
      <c r="L468" t="s">
        <v>2290</v>
      </c>
      <c r="M468">
        <v>282.26</v>
      </c>
      <c r="N468">
        <v>40</v>
      </c>
      <c r="O468" t="s">
        <v>2291</v>
      </c>
      <c r="P468" t="s">
        <v>141</v>
      </c>
      <c r="Q468" t="s">
        <v>217</v>
      </c>
      <c r="R468" t="s">
        <v>86</v>
      </c>
      <c r="S468" t="s">
        <v>98</v>
      </c>
      <c r="T468" t="s">
        <v>206</v>
      </c>
      <c r="U468">
        <v>2737</v>
      </c>
      <c r="V468">
        <v>387</v>
      </c>
      <c r="W468">
        <v>1</v>
      </c>
      <c r="X468">
        <v>1610.79</v>
      </c>
      <c r="Y468">
        <v>422.92</v>
      </c>
      <c r="Z468">
        <v>2033.71</v>
      </c>
      <c r="AA468" t="s">
        <v>62</v>
      </c>
      <c r="AB468">
        <v>0</v>
      </c>
      <c r="AC468">
        <v>70.37</v>
      </c>
      <c r="AD468">
        <v>189</v>
      </c>
      <c r="AE468">
        <v>219</v>
      </c>
    </row>
    <row r="469" spans="1:31" x14ac:dyDescent="0.25">
      <c r="A469" t="s">
        <v>2292</v>
      </c>
      <c r="B469" t="s">
        <v>2293</v>
      </c>
      <c r="C469" s="1">
        <v>45182</v>
      </c>
      <c r="D469" s="1">
        <v>44682</v>
      </c>
      <c r="E469" t="s">
        <v>65</v>
      </c>
      <c r="F469" t="s">
        <v>146</v>
      </c>
      <c r="G469" t="s">
        <v>35</v>
      </c>
      <c r="H469" t="s">
        <v>221</v>
      </c>
      <c r="I469" t="s">
        <v>2294</v>
      </c>
      <c r="J469" t="s">
        <v>165</v>
      </c>
      <c r="K469" t="s">
        <v>166</v>
      </c>
      <c r="L469" t="s">
        <v>2295</v>
      </c>
      <c r="M469">
        <v>199.45</v>
      </c>
      <c r="N469">
        <v>25</v>
      </c>
      <c r="O469" t="s">
        <v>294</v>
      </c>
      <c r="P469" t="s">
        <v>58</v>
      </c>
      <c r="Q469" t="s">
        <v>702</v>
      </c>
      <c r="R469" t="s">
        <v>86</v>
      </c>
      <c r="S469" t="s">
        <v>73</v>
      </c>
      <c r="T469" t="s">
        <v>302</v>
      </c>
      <c r="U469">
        <v>1816</v>
      </c>
      <c r="V469">
        <v>169</v>
      </c>
      <c r="W469">
        <v>27</v>
      </c>
      <c r="X469">
        <v>1208.9100000000001</v>
      </c>
      <c r="Y469">
        <v>389.94</v>
      </c>
      <c r="Z469">
        <v>1598.85</v>
      </c>
      <c r="AA469" t="s">
        <v>62</v>
      </c>
      <c r="AB469">
        <v>0</v>
      </c>
      <c r="AC469">
        <v>72.680000000000007</v>
      </c>
      <c r="AD469">
        <v>243</v>
      </c>
      <c r="AE469">
        <v>196</v>
      </c>
    </row>
    <row r="470" spans="1:31" x14ac:dyDescent="0.25">
      <c r="A470" t="s">
        <v>2296</v>
      </c>
      <c r="B470" t="s">
        <v>2297</v>
      </c>
      <c r="C470" s="1">
        <v>43913</v>
      </c>
      <c r="D470" s="1">
        <v>44877</v>
      </c>
      <c r="E470" t="s">
        <v>65</v>
      </c>
      <c r="F470" t="s">
        <v>77</v>
      </c>
      <c r="G470" t="s">
        <v>35</v>
      </c>
      <c r="H470" t="s">
        <v>114</v>
      </c>
      <c r="I470" t="s">
        <v>2298</v>
      </c>
      <c r="J470" t="s">
        <v>104</v>
      </c>
      <c r="K470" t="s">
        <v>105</v>
      </c>
      <c r="L470" t="s">
        <v>2299</v>
      </c>
      <c r="M470">
        <v>90.32</v>
      </c>
      <c r="N470">
        <v>49</v>
      </c>
      <c r="O470" t="s">
        <v>1000</v>
      </c>
      <c r="P470" t="s">
        <v>42</v>
      </c>
      <c r="Q470" t="s">
        <v>327</v>
      </c>
      <c r="R470" t="s">
        <v>86</v>
      </c>
      <c r="S470" t="s">
        <v>45</v>
      </c>
      <c r="T470" t="s">
        <v>308</v>
      </c>
      <c r="U470">
        <v>2203</v>
      </c>
      <c r="V470">
        <v>365</v>
      </c>
      <c r="W470">
        <v>7</v>
      </c>
      <c r="X470">
        <v>1815.82</v>
      </c>
      <c r="Y470">
        <v>474.61</v>
      </c>
      <c r="Z470">
        <v>2290.4299999999998</v>
      </c>
      <c r="AA470" t="s">
        <v>62</v>
      </c>
      <c r="AB470">
        <v>0</v>
      </c>
      <c r="AC470">
        <v>92.87</v>
      </c>
      <c r="AD470">
        <v>422</v>
      </c>
      <c r="AE470">
        <v>469</v>
      </c>
    </row>
    <row r="471" spans="1:31" x14ac:dyDescent="0.25">
      <c r="A471" t="s">
        <v>2300</v>
      </c>
      <c r="B471" t="s">
        <v>2301</v>
      </c>
      <c r="C471" s="1">
        <v>45424</v>
      </c>
      <c r="D471" s="1">
        <v>44752</v>
      </c>
      <c r="E471" t="s">
        <v>65</v>
      </c>
      <c r="F471" t="s">
        <v>34</v>
      </c>
      <c r="G471" t="s">
        <v>102</v>
      </c>
      <c r="H471" t="s">
        <v>53</v>
      </c>
      <c r="I471" t="s">
        <v>2302</v>
      </c>
      <c r="J471" t="s">
        <v>104</v>
      </c>
      <c r="K471" t="s">
        <v>181</v>
      </c>
      <c r="L471" t="s">
        <v>2303</v>
      </c>
      <c r="M471">
        <v>42.44</v>
      </c>
      <c r="N471">
        <v>88</v>
      </c>
      <c r="O471" t="s">
        <v>1794</v>
      </c>
      <c r="P471" t="s">
        <v>141</v>
      </c>
      <c r="Q471" t="s">
        <v>151</v>
      </c>
      <c r="R471" t="s">
        <v>60</v>
      </c>
      <c r="S471" t="s">
        <v>73</v>
      </c>
      <c r="T471" t="s">
        <v>409</v>
      </c>
      <c r="U471">
        <v>1724</v>
      </c>
      <c r="V471">
        <v>380</v>
      </c>
      <c r="W471">
        <v>11</v>
      </c>
      <c r="X471">
        <v>170.86</v>
      </c>
      <c r="Y471">
        <v>297.38</v>
      </c>
      <c r="Z471">
        <v>468.24</v>
      </c>
      <c r="AA471" t="s">
        <v>62</v>
      </c>
      <c r="AB471">
        <v>0</v>
      </c>
      <c r="AC471">
        <v>98.46</v>
      </c>
      <c r="AD471">
        <v>155</v>
      </c>
      <c r="AE471">
        <v>125</v>
      </c>
    </row>
    <row r="472" spans="1:31" x14ac:dyDescent="0.25">
      <c r="A472" t="s">
        <v>2304</v>
      </c>
      <c r="B472" t="s">
        <v>2305</v>
      </c>
      <c r="C472" s="1">
        <v>44926</v>
      </c>
      <c r="D472" s="1">
        <v>45576</v>
      </c>
      <c r="E472" t="s">
        <v>65</v>
      </c>
      <c r="F472" t="s">
        <v>34</v>
      </c>
      <c r="G472" t="s">
        <v>78</v>
      </c>
      <c r="H472" t="s">
        <v>79</v>
      </c>
      <c r="I472" t="s">
        <v>2306</v>
      </c>
      <c r="J472" t="s">
        <v>38</v>
      </c>
      <c r="K472" t="s">
        <v>338</v>
      </c>
      <c r="L472" t="s">
        <v>2307</v>
      </c>
      <c r="M472">
        <v>119</v>
      </c>
      <c r="N472">
        <v>62</v>
      </c>
      <c r="O472" t="s">
        <v>71</v>
      </c>
      <c r="P472" t="s">
        <v>42</v>
      </c>
      <c r="Q472" t="s">
        <v>491</v>
      </c>
      <c r="R472" t="s">
        <v>60</v>
      </c>
      <c r="S472" t="s">
        <v>126</v>
      </c>
      <c r="T472" t="s">
        <v>177</v>
      </c>
      <c r="U472">
        <v>133</v>
      </c>
      <c r="V472">
        <v>58</v>
      </c>
      <c r="W472">
        <v>13</v>
      </c>
      <c r="X472">
        <v>1466.69</v>
      </c>
      <c r="Y472">
        <v>214.32</v>
      </c>
      <c r="Z472">
        <v>1681.01</v>
      </c>
      <c r="AA472" t="s">
        <v>62</v>
      </c>
      <c r="AB472">
        <v>0</v>
      </c>
      <c r="AC472">
        <v>92.52</v>
      </c>
      <c r="AD472">
        <v>97</v>
      </c>
      <c r="AE472">
        <v>61</v>
      </c>
    </row>
    <row r="473" spans="1:31" x14ac:dyDescent="0.25">
      <c r="A473" t="s">
        <v>2308</v>
      </c>
      <c r="B473" t="s">
        <v>2309</v>
      </c>
      <c r="C473" s="1">
        <v>43904</v>
      </c>
      <c r="D473" s="1">
        <v>45290</v>
      </c>
      <c r="E473" t="s">
        <v>65</v>
      </c>
      <c r="F473" t="s">
        <v>77</v>
      </c>
      <c r="G473" t="s">
        <v>343</v>
      </c>
      <c r="H473" t="s">
        <v>221</v>
      </c>
      <c r="I473" t="s">
        <v>2310</v>
      </c>
      <c r="J473" t="s">
        <v>38</v>
      </c>
      <c r="K473" t="s">
        <v>55</v>
      </c>
      <c r="L473" t="s">
        <v>2311</v>
      </c>
      <c r="M473">
        <v>16.850000000000001</v>
      </c>
      <c r="N473">
        <v>73</v>
      </c>
      <c r="O473" t="s">
        <v>2312</v>
      </c>
      <c r="P473" t="s">
        <v>108</v>
      </c>
      <c r="Q473" t="s">
        <v>72</v>
      </c>
      <c r="R473" t="s">
        <v>152</v>
      </c>
      <c r="S473" t="s">
        <v>73</v>
      </c>
      <c r="T473" t="s">
        <v>910</v>
      </c>
      <c r="U473">
        <v>2259</v>
      </c>
      <c r="V473">
        <v>336</v>
      </c>
      <c r="W473">
        <v>24</v>
      </c>
      <c r="X473">
        <v>1138.67</v>
      </c>
      <c r="Y473">
        <v>345.16</v>
      </c>
      <c r="Z473">
        <v>1483.83</v>
      </c>
      <c r="AA473" t="s">
        <v>62</v>
      </c>
      <c r="AB473">
        <v>0</v>
      </c>
      <c r="AC473">
        <v>89.55</v>
      </c>
      <c r="AD473">
        <v>489</v>
      </c>
      <c r="AE473">
        <v>526</v>
      </c>
    </row>
    <row r="474" spans="1:31" x14ac:dyDescent="0.25">
      <c r="A474" t="s">
        <v>2313</v>
      </c>
      <c r="B474" t="s">
        <v>2314</v>
      </c>
      <c r="C474" s="1">
        <v>45618</v>
      </c>
      <c r="D474" s="1">
        <v>44781</v>
      </c>
      <c r="E474" t="s">
        <v>65</v>
      </c>
      <c r="F474" t="s">
        <v>91</v>
      </c>
      <c r="G474" t="s">
        <v>66</v>
      </c>
      <c r="H474" t="s">
        <v>67</v>
      </c>
      <c r="I474" t="s">
        <v>845</v>
      </c>
      <c r="J474" t="s">
        <v>38</v>
      </c>
      <c r="K474" t="s">
        <v>39</v>
      </c>
      <c r="L474" t="s">
        <v>846</v>
      </c>
      <c r="M474">
        <v>189.09</v>
      </c>
      <c r="N474">
        <v>27</v>
      </c>
      <c r="O474" t="s">
        <v>2315</v>
      </c>
      <c r="P474" t="s">
        <v>58</v>
      </c>
      <c r="Q474" t="s">
        <v>133</v>
      </c>
      <c r="R474" t="s">
        <v>44</v>
      </c>
      <c r="S474" t="s">
        <v>45</v>
      </c>
      <c r="T474" t="s">
        <v>533</v>
      </c>
      <c r="U474">
        <v>1333</v>
      </c>
      <c r="V474">
        <v>267</v>
      </c>
      <c r="W474">
        <v>9</v>
      </c>
      <c r="X474">
        <v>193.72</v>
      </c>
      <c r="Y474">
        <v>444.36</v>
      </c>
      <c r="Z474">
        <v>638.08000000000004</v>
      </c>
      <c r="AA474" t="s">
        <v>62</v>
      </c>
      <c r="AB474">
        <v>0</v>
      </c>
      <c r="AC474">
        <v>76.08</v>
      </c>
      <c r="AD474">
        <v>316</v>
      </c>
      <c r="AE474">
        <v>273</v>
      </c>
    </row>
    <row r="475" spans="1:31" x14ac:dyDescent="0.25">
      <c r="A475" t="s">
        <v>2316</v>
      </c>
      <c r="B475" t="s">
        <v>2317</v>
      </c>
      <c r="C475" s="1">
        <v>45632</v>
      </c>
      <c r="D475" s="1">
        <v>45067</v>
      </c>
      <c r="E475" t="s">
        <v>33</v>
      </c>
      <c r="F475" t="s">
        <v>51</v>
      </c>
      <c r="G475" t="s">
        <v>78</v>
      </c>
      <c r="H475" t="s">
        <v>53</v>
      </c>
      <c r="I475" t="s">
        <v>2318</v>
      </c>
      <c r="J475" t="s">
        <v>165</v>
      </c>
      <c r="K475" t="s">
        <v>202</v>
      </c>
      <c r="L475" t="s">
        <v>2319</v>
      </c>
      <c r="M475">
        <v>84.29</v>
      </c>
      <c r="N475">
        <v>28</v>
      </c>
      <c r="O475" t="s">
        <v>175</v>
      </c>
      <c r="P475" t="s">
        <v>84</v>
      </c>
      <c r="Q475" t="s">
        <v>238</v>
      </c>
      <c r="R475" t="s">
        <v>86</v>
      </c>
      <c r="S475" t="s">
        <v>98</v>
      </c>
      <c r="T475" t="s">
        <v>170</v>
      </c>
      <c r="U475">
        <v>3734</v>
      </c>
      <c r="V475">
        <v>460</v>
      </c>
      <c r="W475">
        <v>2</v>
      </c>
      <c r="X475">
        <v>1368.88</v>
      </c>
      <c r="Y475">
        <v>137.86000000000001</v>
      </c>
      <c r="Z475">
        <v>1506.74</v>
      </c>
      <c r="AA475" t="s">
        <v>47</v>
      </c>
      <c r="AB475">
        <v>5</v>
      </c>
      <c r="AC475">
        <v>84.16</v>
      </c>
      <c r="AD475">
        <v>493</v>
      </c>
      <c r="AE475">
        <v>542</v>
      </c>
    </row>
    <row r="476" spans="1:31" x14ac:dyDescent="0.25">
      <c r="A476" t="s">
        <v>2320</v>
      </c>
      <c r="B476" t="s">
        <v>834</v>
      </c>
      <c r="C476" s="1">
        <v>43977</v>
      </c>
      <c r="D476" s="1">
        <v>45254</v>
      </c>
      <c r="E476" t="s">
        <v>50</v>
      </c>
      <c r="F476" t="s">
        <v>51</v>
      </c>
      <c r="G476" t="s">
        <v>52</v>
      </c>
      <c r="H476" t="s">
        <v>147</v>
      </c>
      <c r="I476" t="s">
        <v>2321</v>
      </c>
      <c r="J476" t="s">
        <v>165</v>
      </c>
      <c r="K476" t="s">
        <v>202</v>
      </c>
      <c r="L476" t="s">
        <v>2322</v>
      </c>
      <c r="M476">
        <v>188.82</v>
      </c>
      <c r="N476">
        <v>25</v>
      </c>
      <c r="O476" t="s">
        <v>2323</v>
      </c>
      <c r="P476" t="s">
        <v>58</v>
      </c>
      <c r="Q476" t="s">
        <v>377</v>
      </c>
      <c r="R476" t="s">
        <v>86</v>
      </c>
      <c r="S476" t="s">
        <v>126</v>
      </c>
      <c r="T476" t="s">
        <v>185</v>
      </c>
      <c r="U476">
        <v>314</v>
      </c>
      <c r="V476">
        <v>271</v>
      </c>
      <c r="W476">
        <v>26</v>
      </c>
      <c r="X476">
        <v>1527.75</v>
      </c>
      <c r="Y476">
        <v>197.17</v>
      </c>
      <c r="Z476">
        <v>1724.92</v>
      </c>
      <c r="AA476" t="s">
        <v>62</v>
      </c>
      <c r="AB476">
        <v>0</v>
      </c>
      <c r="AC476">
        <v>93.04</v>
      </c>
      <c r="AD476">
        <v>228</v>
      </c>
      <c r="AE476">
        <v>197</v>
      </c>
    </row>
    <row r="477" spans="1:31" x14ac:dyDescent="0.25">
      <c r="A477" t="s">
        <v>2324</v>
      </c>
      <c r="B477" t="s">
        <v>2325</v>
      </c>
      <c r="C477" s="1">
        <v>45291</v>
      </c>
      <c r="D477" s="1">
        <v>43961</v>
      </c>
      <c r="E477" t="s">
        <v>50</v>
      </c>
      <c r="F477" t="s">
        <v>146</v>
      </c>
      <c r="G477" t="s">
        <v>35</v>
      </c>
      <c r="H477" t="s">
        <v>147</v>
      </c>
      <c r="I477" t="s">
        <v>2326</v>
      </c>
      <c r="J477" t="s">
        <v>165</v>
      </c>
      <c r="K477" t="s">
        <v>166</v>
      </c>
      <c r="L477" t="s">
        <v>2327</v>
      </c>
      <c r="M477">
        <v>150.4</v>
      </c>
      <c r="N477">
        <v>86</v>
      </c>
      <c r="O477" t="s">
        <v>2328</v>
      </c>
      <c r="P477" t="s">
        <v>42</v>
      </c>
      <c r="Q477" t="s">
        <v>464</v>
      </c>
      <c r="R477" t="s">
        <v>86</v>
      </c>
      <c r="S477" t="s">
        <v>73</v>
      </c>
      <c r="T477" t="s">
        <v>239</v>
      </c>
      <c r="U477">
        <v>4766</v>
      </c>
      <c r="V477">
        <v>153</v>
      </c>
      <c r="W477">
        <v>25</v>
      </c>
      <c r="X477">
        <v>1327.16</v>
      </c>
      <c r="Y477">
        <v>267.2</v>
      </c>
      <c r="Z477">
        <v>1594.36</v>
      </c>
      <c r="AA477" t="s">
        <v>62</v>
      </c>
      <c r="AB477">
        <v>0</v>
      </c>
      <c r="AC477">
        <v>96.04</v>
      </c>
      <c r="AD477">
        <v>179</v>
      </c>
      <c r="AE477">
        <v>188</v>
      </c>
    </row>
    <row r="478" spans="1:31" x14ac:dyDescent="0.25">
      <c r="A478" t="s">
        <v>2329</v>
      </c>
      <c r="B478" t="s">
        <v>2330</v>
      </c>
      <c r="C478" s="1">
        <v>44676</v>
      </c>
      <c r="D478" s="1">
        <v>44398</v>
      </c>
      <c r="E478" t="s">
        <v>65</v>
      </c>
      <c r="F478" t="s">
        <v>34</v>
      </c>
      <c r="G478" t="s">
        <v>35</v>
      </c>
      <c r="H478" t="s">
        <v>114</v>
      </c>
      <c r="I478" t="s">
        <v>222</v>
      </c>
      <c r="J478" t="s">
        <v>104</v>
      </c>
      <c r="K478" t="s">
        <v>181</v>
      </c>
      <c r="L478" t="s">
        <v>223</v>
      </c>
      <c r="M478">
        <v>315.18</v>
      </c>
      <c r="N478">
        <v>13</v>
      </c>
      <c r="O478" t="s">
        <v>463</v>
      </c>
      <c r="P478" t="s">
        <v>108</v>
      </c>
      <c r="Q478" t="s">
        <v>389</v>
      </c>
      <c r="R478" t="s">
        <v>60</v>
      </c>
      <c r="S478" t="s">
        <v>126</v>
      </c>
      <c r="T478" t="s">
        <v>225</v>
      </c>
      <c r="U478">
        <v>1623</v>
      </c>
      <c r="V478">
        <v>221</v>
      </c>
      <c r="W478">
        <v>16</v>
      </c>
      <c r="X478">
        <v>1797.74</v>
      </c>
      <c r="Y478">
        <v>90.27</v>
      </c>
      <c r="Z478">
        <v>1888.01</v>
      </c>
      <c r="AA478" t="s">
        <v>62</v>
      </c>
      <c r="AB478">
        <v>0</v>
      </c>
      <c r="AC478">
        <v>90.12</v>
      </c>
      <c r="AD478">
        <v>116</v>
      </c>
      <c r="AE478">
        <v>110</v>
      </c>
    </row>
    <row r="479" spans="1:31" x14ac:dyDescent="0.25">
      <c r="A479" t="s">
        <v>2331</v>
      </c>
      <c r="B479" t="s">
        <v>1915</v>
      </c>
      <c r="C479" s="1">
        <v>45648</v>
      </c>
      <c r="D479" s="1">
        <v>44055</v>
      </c>
      <c r="E479" t="s">
        <v>33</v>
      </c>
      <c r="F479" t="s">
        <v>51</v>
      </c>
      <c r="G479" t="s">
        <v>66</v>
      </c>
      <c r="H479" t="s">
        <v>36</v>
      </c>
      <c r="I479" t="s">
        <v>2332</v>
      </c>
      <c r="J479" t="s">
        <v>104</v>
      </c>
      <c r="K479" t="s">
        <v>554</v>
      </c>
      <c r="L479" t="s">
        <v>2333</v>
      </c>
      <c r="M479">
        <v>319.33</v>
      </c>
      <c r="N479">
        <v>14</v>
      </c>
      <c r="O479" t="s">
        <v>2334</v>
      </c>
      <c r="P479" t="s">
        <v>84</v>
      </c>
      <c r="Q479" t="s">
        <v>389</v>
      </c>
      <c r="R479" t="s">
        <v>152</v>
      </c>
      <c r="S479" t="s">
        <v>73</v>
      </c>
      <c r="T479" t="s">
        <v>170</v>
      </c>
      <c r="U479">
        <v>2196</v>
      </c>
      <c r="V479">
        <v>108</v>
      </c>
      <c r="W479">
        <v>27</v>
      </c>
      <c r="X479">
        <v>1277.3800000000001</v>
      </c>
      <c r="Y479">
        <v>480.67</v>
      </c>
      <c r="Z479">
        <v>1758.05</v>
      </c>
      <c r="AA479" t="s">
        <v>62</v>
      </c>
      <c r="AB479">
        <v>0</v>
      </c>
      <c r="AC479">
        <v>87.37</v>
      </c>
      <c r="AD479">
        <v>229</v>
      </c>
      <c r="AE479">
        <v>242</v>
      </c>
    </row>
    <row r="480" spans="1:31" x14ac:dyDescent="0.25">
      <c r="A480" t="s">
        <v>2335</v>
      </c>
      <c r="B480" t="s">
        <v>2336</v>
      </c>
      <c r="C480" s="1">
        <v>44025</v>
      </c>
      <c r="D480" s="1">
        <v>44202</v>
      </c>
      <c r="E480" t="s">
        <v>65</v>
      </c>
      <c r="F480" t="s">
        <v>34</v>
      </c>
      <c r="G480" t="s">
        <v>113</v>
      </c>
      <c r="H480" t="s">
        <v>67</v>
      </c>
      <c r="I480" t="s">
        <v>1392</v>
      </c>
      <c r="J480" t="s">
        <v>104</v>
      </c>
      <c r="K480" t="s">
        <v>105</v>
      </c>
      <c r="L480" t="s">
        <v>1393</v>
      </c>
      <c r="M480">
        <v>123.71</v>
      </c>
      <c r="N480">
        <v>20</v>
      </c>
      <c r="O480" t="s">
        <v>2337</v>
      </c>
      <c r="P480" t="s">
        <v>141</v>
      </c>
      <c r="Q480" t="s">
        <v>43</v>
      </c>
      <c r="R480" t="s">
        <v>44</v>
      </c>
      <c r="S480" t="s">
        <v>87</v>
      </c>
      <c r="T480" t="s">
        <v>738</v>
      </c>
      <c r="U480">
        <v>4151</v>
      </c>
      <c r="V480">
        <v>94</v>
      </c>
      <c r="W480">
        <v>23</v>
      </c>
      <c r="X480">
        <v>336.65</v>
      </c>
      <c r="Y480">
        <v>399.02</v>
      </c>
      <c r="Z480">
        <v>735.67</v>
      </c>
      <c r="AA480" t="s">
        <v>62</v>
      </c>
      <c r="AB480">
        <v>0</v>
      </c>
      <c r="AC480">
        <v>93.03</v>
      </c>
      <c r="AD480">
        <v>371</v>
      </c>
      <c r="AE480">
        <v>390</v>
      </c>
    </row>
    <row r="481" spans="1:31" x14ac:dyDescent="0.25">
      <c r="A481" t="s">
        <v>2338</v>
      </c>
      <c r="B481" t="s">
        <v>2339</v>
      </c>
      <c r="C481" s="1">
        <v>44790</v>
      </c>
      <c r="D481" s="1">
        <v>45537</v>
      </c>
      <c r="E481" t="s">
        <v>65</v>
      </c>
      <c r="F481" t="s">
        <v>51</v>
      </c>
      <c r="G481" t="s">
        <v>92</v>
      </c>
      <c r="H481" t="s">
        <v>163</v>
      </c>
      <c r="I481" t="s">
        <v>2340</v>
      </c>
      <c r="J481" t="s">
        <v>38</v>
      </c>
      <c r="K481" t="s">
        <v>55</v>
      </c>
      <c r="L481" t="s">
        <v>2341</v>
      </c>
      <c r="M481">
        <v>428.82</v>
      </c>
      <c r="N481">
        <v>77</v>
      </c>
      <c r="O481" t="s">
        <v>1949</v>
      </c>
      <c r="P481" t="s">
        <v>141</v>
      </c>
      <c r="Q481" t="s">
        <v>432</v>
      </c>
      <c r="R481" t="s">
        <v>60</v>
      </c>
      <c r="S481" t="s">
        <v>45</v>
      </c>
      <c r="T481" t="s">
        <v>170</v>
      </c>
      <c r="U481">
        <v>4746</v>
      </c>
      <c r="V481">
        <v>219</v>
      </c>
      <c r="W481">
        <v>1</v>
      </c>
      <c r="X481">
        <v>1851.85</v>
      </c>
      <c r="Y481">
        <v>447.23</v>
      </c>
      <c r="Z481">
        <v>2299.08</v>
      </c>
      <c r="AA481" t="s">
        <v>62</v>
      </c>
      <c r="AB481">
        <v>0</v>
      </c>
      <c r="AC481">
        <v>88.52</v>
      </c>
      <c r="AD481">
        <v>308</v>
      </c>
      <c r="AE481">
        <v>299</v>
      </c>
    </row>
    <row r="482" spans="1:31" x14ac:dyDescent="0.25">
      <c r="A482" t="s">
        <v>2342</v>
      </c>
      <c r="B482" t="s">
        <v>2343</v>
      </c>
      <c r="C482" s="1">
        <v>44168</v>
      </c>
      <c r="D482" s="1">
        <v>44505</v>
      </c>
      <c r="E482" t="s">
        <v>65</v>
      </c>
      <c r="F482" t="s">
        <v>77</v>
      </c>
      <c r="G482" t="s">
        <v>78</v>
      </c>
      <c r="H482" t="s">
        <v>147</v>
      </c>
      <c r="I482" t="s">
        <v>2344</v>
      </c>
      <c r="J482" t="s">
        <v>38</v>
      </c>
      <c r="K482" t="s">
        <v>138</v>
      </c>
      <c r="L482" t="s">
        <v>601</v>
      </c>
      <c r="M482">
        <v>435.82</v>
      </c>
      <c r="N482">
        <v>41</v>
      </c>
      <c r="O482" t="s">
        <v>685</v>
      </c>
      <c r="P482" t="s">
        <v>141</v>
      </c>
      <c r="Q482" t="s">
        <v>333</v>
      </c>
      <c r="R482" t="s">
        <v>86</v>
      </c>
      <c r="S482" t="s">
        <v>87</v>
      </c>
      <c r="T482" t="s">
        <v>359</v>
      </c>
      <c r="U482">
        <v>4306</v>
      </c>
      <c r="V482">
        <v>100</v>
      </c>
      <c r="W482">
        <v>15</v>
      </c>
      <c r="X482">
        <v>705.18</v>
      </c>
      <c r="Y482">
        <v>489.78</v>
      </c>
      <c r="Z482">
        <v>1194.96</v>
      </c>
      <c r="AA482" t="s">
        <v>62</v>
      </c>
      <c r="AB482">
        <v>0</v>
      </c>
      <c r="AC482">
        <v>73.2</v>
      </c>
      <c r="AD482">
        <v>413</v>
      </c>
      <c r="AE482">
        <v>440</v>
      </c>
    </row>
    <row r="483" spans="1:31" x14ac:dyDescent="0.25">
      <c r="A483" t="s">
        <v>2345</v>
      </c>
      <c r="B483" t="s">
        <v>2346</v>
      </c>
      <c r="C483" s="1">
        <v>43985</v>
      </c>
      <c r="D483" s="1">
        <v>44094</v>
      </c>
      <c r="E483" t="s">
        <v>50</v>
      </c>
      <c r="F483" t="s">
        <v>34</v>
      </c>
      <c r="G483" t="s">
        <v>66</v>
      </c>
      <c r="H483" t="s">
        <v>36</v>
      </c>
      <c r="I483" t="s">
        <v>1202</v>
      </c>
      <c r="J483" t="s">
        <v>38</v>
      </c>
      <c r="K483" t="s">
        <v>39</v>
      </c>
      <c r="L483" t="s">
        <v>1203</v>
      </c>
      <c r="M483">
        <v>255.19</v>
      </c>
      <c r="N483">
        <v>41</v>
      </c>
      <c r="O483" t="s">
        <v>716</v>
      </c>
      <c r="P483" t="s">
        <v>141</v>
      </c>
      <c r="Q483" t="s">
        <v>245</v>
      </c>
      <c r="R483" t="s">
        <v>86</v>
      </c>
      <c r="S483" t="s">
        <v>45</v>
      </c>
      <c r="T483" t="s">
        <v>426</v>
      </c>
      <c r="U483">
        <v>392</v>
      </c>
      <c r="V483">
        <v>124</v>
      </c>
      <c r="W483">
        <v>14</v>
      </c>
      <c r="X483">
        <v>1740.88</v>
      </c>
      <c r="Y483">
        <v>497.84</v>
      </c>
      <c r="Z483">
        <v>2238.7199999999998</v>
      </c>
      <c r="AA483" t="s">
        <v>62</v>
      </c>
      <c r="AB483">
        <v>0</v>
      </c>
      <c r="AC483">
        <v>90.94</v>
      </c>
      <c r="AD483">
        <v>62</v>
      </c>
      <c r="AE483">
        <v>45</v>
      </c>
    </row>
    <row r="484" spans="1:31" x14ac:dyDescent="0.25">
      <c r="A484" t="s">
        <v>2347</v>
      </c>
      <c r="B484" t="s">
        <v>2348</v>
      </c>
      <c r="C484" s="1">
        <v>44430</v>
      </c>
      <c r="D484" s="1">
        <v>44969</v>
      </c>
      <c r="E484" t="s">
        <v>50</v>
      </c>
      <c r="F484" t="s">
        <v>146</v>
      </c>
      <c r="G484" t="s">
        <v>35</v>
      </c>
      <c r="H484" t="s">
        <v>79</v>
      </c>
      <c r="I484" t="s">
        <v>2251</v>
      </c>
      <c r="J484" t="s">
        <v>38</v>
      </c>
      <c r="K484" t="s">
        <v>81</v>
      </c>
      <c r="L484" t="s">
        <v>2252</v>
      </c>
      <c r="M484">
        <v>420.93</v>
      </c>
      <c r="N484">
        <v>90</v>
      </c>
      <c r="O484" t="s">
        <v>307</v>
      </c>
      <c r="P484" t="s">
        <v>58</v>
      </c>
      <c r="Q484" t="s">
        <v>702</v>
      </c>
      <c r="R484" t="s">
        <v>60</v>
      </c>
      <c r="S484" t="s">
        <v>126</v>
      </c>
      <c r="T484" t="s">
        <v>563</v>
      </c>
      <c r="U484">
        <v>4365</v>
      </c>
      <c r="V484">
        <v>54</v>
      </c>
      <c r="W484">
        <v>27</v>
      </c>
      <c r="X484">
        <v>1462.86</v>
      </c>
      <c r="Y484">
        <v>61.59</v>
      </c>
      <c r="Z484">
        <v>1524.45</v>
      </c>
      <c r="AA484" t="s">
        <v>62</v>
      </c>
      <c r="AB484">
        <v>0</v>
      </c>
      <c r="AC484">
        <v>91.68</v>
      </c>
      <c r="AD484">
        <v>155</v>
      </c>
      <c r="AE484">
        <v>142</v>
      </c>
    </row>
    <row r="485" spans="1:31" x14ac:dyDescent="0.25">
      <c r="A485" t="s">
        <v>2349</v>
      </c>
      <c r="B485" t="s">
        <v>2350</v>
      </c>
      <c r="C485" s="1">
        <v>44219</v>
      </c>
      <c r="D485" s="1">
        <v>44226</v>
      </c>
      <c r="E485" t="s">
        <v>65</v>
      </c>
      <c r="F485" t="s">
        <v>146</v>
      </c>
      <c r="G485" t="s">
        <v>78</v>
      </c>
      <c r="H485" t="s">
        <v>221</v>
      </c>
      <c r="I485" t="s">
        <v>2351</v>
      </c>
      <c r="J485" t="s">
        <v>165</v>
      </c>
      <c r="K485" t="s">
        <v>202</v>
      </c>
      <c r="L485" t="s">
        <v>2352</v>
      </c>
      <c r="M485">
        <v>481.59</v>
      </c>
      <c r="N485">
        <v>49</v>
      </c>
      <c r="O485" t="s">
        <v>2353</v>
      </c>
      <c r="P485" t="s">
        <v>108</v>
      </c>
      <c r="Q485" t="s">
        <v>43</v>
      </c>
      <c r="R485" t="s">
        <v>86</v>
      </c>
      <c r="S485" t="s">
        <v>87</v>
      </c>
      <c r="T485" t="s">
        <v>447</v>
      </c>
      <c r="U485">
        <v>2088</v>
      </c>
      <c r="V485">
        <v>410</v>
      </c>
      <c r="W485">
        <v>24</v>
      </c>
      <c r="X485">
        <v>790.15</v>
      </c>
      <c r="Y485">
        <v>435.46</v>
      </c>
      <c r="Z485">
        <v>1225.6099999999999</v>
      </c>
      <c r="AA485" t="s">
        <v>47</v>
      </c>
      <c r="AB485">
        <v>6</v>
      </c>
      <c r="AC485">
        <v>79.84</v>
      </c>
      <c r="AD485">
        <v>160</v>
      </c>
      <c r="AE485">
        <v>192</v>
      </c>
    </row>
    <row r="486" spans="1:31" x14ac:dyDescent="0.25">
      <c r="A486" t="s">
        <v>2354</v>
      </c>
      <c r="B486" t="s">
        <v>2355</v>
      </c>
      <c r="C486" s="1">
        <v>44859</v>
      </c>
      <c r="D486" s="1">
        <v>44975</v>
      </c>
      <c r="E486" t="s">
        <v>65</v>
      </c>
      <c r="F486" t="s">
        <v>51</v>
      </c>
      <c r="G486" t="s">
        <v>102</v>
      </c>
      <c r="H486" t="s">
        <v>114</v>
      </c>
      <c r="I486" t="s">
        <v>2356</v>
      </c>
      <c r="J486" t="s">
        <v>104</v>
      </c>
      <c r="K486" t="s">
        <v>181</v>
      </c>
      <c r="L486" t="s">
        <v>2357</v>
      </c>
      <c r="M486">
        <v>474</v>
      </c>
      <c r="N486">
        <v>84</v>
      </c>
      <c r="O486" t="s">
        <v>1961</v>
      </c>
      <c r="P486" t="s">
        <v>108</v>
      </c>
      <c r="Q486" t="s">
        <v>97</v>
      </c>
      <c r="R486" t="s">
        <v>152</v>
      </c>
      <c r="S486" t="s">
        <v>98</v>
      </c>
      <c r="T486" t="s">
        <v>916</v>
      </c>
      <c r="U486">
        <v>1064</v>
      </c>
      <c r="V486">
        <v>348</v>
      </c>
      <c r="W486">
        <v>2</v>
      </c>
      <c r="X486">
        <v>1156.3900000000001</v>
      </c>
      <c r="Y486">
        <v>409.1</v>
      </c>
      <c r="Z486">
        <v>1565.49</v>
      </c>
      <c r="AA486" t="s">
        <v>62</v>
      </c>
      <c r="AB486">
        <v>0</v>
      </c>
      <c r="AC486">
        <v>81.87</v>
      </c>
      <c r="AD486">
        <v>330</v>
      </c>
      <c r="AE486">
        <v>345</v>
      </c>
    </row>
    <row r="487" spans="1:31" x14ac:dyDescent="0.25">
      <c r="A487" t="s">
        <v>2358</v>
      </c>
      <c r="B487" t="s">
        <v>824</v>
      </c>
      <c r="C487" s="1">
        <v>43929</v>
      </c>
      <c r="D487" s="1">
        <v>45483</v>
      </c>
      <c r="E487" t="s">
        <v>65</v>
      </c>
      <c r="F487" t="s">
        <v>34</v>
      </c>
      <c r="G487" t="s">
        <v>113</v>
      </c>
      <c r="H487" t="s">
        <v>163</v>
      </c>
      <c r="I487" t="s">
        <v>1392</v>
      </c>
      <c r="J487" t="s">
        <v>104</v>
      </c>
      <c r="K487" t="s">
        <v>105</v>
      </c>
      <c r="L487" t="s">
        <v>1393</v>
      </c>
      <c r="M487">
        <v>393.5</v>
      </c>
      <c r="N487">
        <v>73</v>
      </c>
      <c r="O487" t="s">
        <v>817</v>
      </c>
      <c r="P487" t="s">
        <v>108</v>
      </c>
      <c r="Q487" t="s">
        <v>562</v>
      </c>
      <c r="R487" t="s">
        <v>86</v>
      </c>
      <c r="S487" t="s">
        <v>87</v>
      </c>
      <c r="T487" t="s">
        <v>225</v>
      </c>
      <c r="U487">
        <v>3238</v>
      </c>
      <c r="V487">
        <v>379</v>
      </c>
      <c r="W487">
        <v>14</v>
      </c>
      <c r="X487">
        <v>414.27</v>
      </c>
      <c r="Y487">
        <v>292.99</v>
      </c>
      <c r="Z487">
        <v>707.26</v>
      </c>
      <c r="AA487" t="s">
        <v>62</v>
      </c>
      <c r="AB487">
        <v>0</v>
      </c>
      <c r="AC487">
        <v>91.38</v>
      </c>
      <c r="AD487">
        <v>338</v>
      </c>
      <c r="AE487">
        <v>367</v>
      </c>
    </row>
    <row r="488" spans="1:31" x14ac:dyDescent="0.25">
      <c r="A488" t="s">
        <v>2359</v>
      </c>
      <c r="B488" t="s">
        <v>2360</v>
      </c>
      <c r="C488" s="1">
        <v>45090</v>
      </c>
      <c r="D488" s="1">
        <v>44456</v>
      </c>
      <c r="E488" t="s">
        <v>65</v>
      </c>
      <c r="F488" t="s">
        <v>34</v>
      </c>
      <c r="G488" t="s">
        <v>92</v>
      </c>
      <c r="H488" t="s">
        <v>163</v>
      </c>
      <c r="I488" t="s">
        <v>2361</v>
      </c>
      <c r="J488" t="s">
        <v>165</v>
      </c>
      <c r="K488" t="s">
        <v>202</v>
      </c>
      <c r="L488" t="s">
        <v>2362</v>
      </c>
      <c r="M488">
        <v>97.86</v>
      </c>
      <c r="N488">
        <v>1</v>
      </c>
      <c r="O488" t="s">
        <v>2363</v>
      </c>
      <c r="P488" t="s">
        <v>84</v>
      </c>
      <c r="Q488" t="s">
        <v>295</v>
      </c>
      <c r="R488" t="s">
        <v>152</v>
      </c>
      <c r="S488" t="s">
        <v>98</v>
      </c>
      <c r="T488" t="s">
        <v>246</v>
      </c>
      <c r="U488">
        <v>3557</v>
      </c>
      <c r="V488">
        <v>132</v>
      </c>
      <c r="W488">
        <v>18</v>
      </c>
      <c r="X488">
        <v>839.16</v>
      </c>
      <c r="Y488">
        <v>469.93</v>
      </c>
      <c r="Z488">
        <v>1309.0899999999999</v>
      </c>
      <c r="AA488" t="s">
        <v>62</v>
      </c>
      <c r="AB488">
        <v>0</v>
      </c>
      <c r="AC488">
        <v>99.73</v>
      </c>
      <c r="AD488">
        <v>193</v>
      </c>
      <c r="AE488">
        <v>152</v>
      </c>
    </row>
    <row r="489" spans="1:31" x14ac:dyDescent="0.25">
      <c r="A489" t="s">
        <v>2364</v>
      </c>
      <c r="B489" t="s">
        <v>2365</v>
      </c>
      <c r="C489" s="1">
        <v>45439</v>
      </c>
      <c r="D489" s="1">
        <v>44561</v>
      </c>
      <c r="E489" t="s">
        <v>65</v>
      </c>
      <c r="F489" t="s">
        <v>77</v>
      </c>
      <c r="G489" t="s">
        <v>35</v>
      </c>
      <c r="H489" t="s">
        <v>147</v>
      </c>
      <c r="I489" t="s">
        <v>595</v>
      </c>
      <c r="J489" t="s">
        <v>38</v>
      </c>
      <c r="K489" t="s">
        <v>55</v>
      </c>
      <c r="L489" t="s">
        <v>596</v>
      </c>
      <c r="M489">
        <v>106.86</v>
      </c>
      <c r="N489">
        <v>77</v>
      </c>
      <c r="O489" t="s">
        <v>2366</v>
      </c>
      <c r="P489" t="s">
        <v>141</v>
      </c>
      <c r="Q489" t="s">
        <v>517</v>
      </c>
      <c r="R489" t="s">
        <v>86</v>
      </c>
      <c r="S489" t="s">
        <v>45</v>
      </c>
      <c r="T489" t="s">
        <v>170</v>
      </c>
      <c r="U489">
        <v>4899</v>
      </c>
      <c r="V489">
        <v>247</v>
      </c>
      <c r="W489">
        <v>21</v>
      </c>
      <c r="X489">
        <v>1680.98</v>
      </c>
      <c r="Y489">
        <v>324.3</v>
      </c>
      <c r="Z489">
        <v>2005.28</v>
      </c>
      <c r="AA489" t="s">
        <v>62</v>
      </c>
      <c r="AB489">
        <v>0</v>
      </c>
      <c r="AC489">
        <v>78.489999999999995</v>
      </c>
      <c r="AD489">
        <v>68</v>
      </c>
      <c r="AE489">
        <v>108</v>
      </c>
    </row>
    <row r="490" spans="1:31" x14ac:dyDescent="0.25">
      <c r="A490" t="s">
        <v>2367</v>
      </c>
      <c r="B490" t="s">
        <v>1241</v>
      </c>
      <c r="C490" s="1">
        <v>44078</v>
      </c>
      <c r="D490" s="1">
        <v>45661</v>
      </c>
      <c r="E490" t="s">
        <v>65</v>
      </c>
      <c r="F490" t="s">
        <v>77</v>
      </c>
      <c r="G490" t="s">
        <v>102</v>
      </c>
      <c r="H490" t="s">
        <v>79</v>
      </c>
      <c r="I490" t="s">
        <v>2368</v>
      </c>
      <c r="J490" t="s">
        <v>104</v>
      </c>
      <c r="K490" t="s">
        <v>181</v>
      </c>
      <c r="L490" t="s">
        <v>2369</v>
      </c>
      <c r="M490">
        <v>265.22000000000003</v>
      </c>
      <c r="N490">
        <v>16</v>
      </c>
      <c r="O490" t="s">
        <v>2370</v>
      </c>
      <c r="P490" t="s">
        <v>58</v>
      </c>
      <c r="Q490" t="s">
        <v>142</v>
      </c>
      <c r="R490" t="s">
        <v>86</v>
      </c>
      <c r="S490" t="s">
        <v>126</v>
      </c>
      <c r="T490" t="s">
        <v>910</v>
      </c>
      <c r="U490">
        <v>4215</v>
      </c>
      <c r="V490">
        <v>499</v>
      </c>
      <c r="W490">
        <v>23</v>
      </c>
      <c r="X490">
        <v>952.63</v>
      </c>
      <c r="Y490">
        <v>268.48</v>
      </c>
      <c r="Z490">
        <v>1221.1099999999999</v>
      </c>
      <c r="AA490" t="s">
        <v>62</v>
      </c>
      <c r="AB490">
        <v>0</v>
      </c>
      <c r="AC490">
        <v>80.040000000000006</v>
      </c>
      <c r="AD490">
        <v>128</v>
      </c>
      <c r="AE490">
        <v>139</v>
      </c>
    </row>
    <row r="491" spans="1:31" x14ac:dyDescent="0.25">
      <c r="A491" t="s">
        <v>2371</v>
      </c>
      <c r="B491" t="s">
        <v>2372</v>
      </c>
      <c r="C491" s="1">
        <v>44279</v>
      </c>
      <c r="D491" s="1">
        <v>44170</v>
      </c>
      <c r="E491" t="s">
        <v>65</v>
      </c>
      <c r="F491" t="s">
        <v>34</v>
      </c>
      <c r="G491" t="s">
        <v>113</v>
      </c>
      <c r="H491" t="s">
        <v>147</v>
      </c>
      <c r="I491" t="s">
        <v>2373</v>
      </c>
      <c r="J491" t="s">
        <v>38</v>
      </c>
      <c r="K491" t="s">
        <v>39</v>
      </c>
      <c r="L491" t="s">
        <v>2374</v>
      </c>
      <c r="M491">
        <v>407.79</v>
      </c>
      <c r="N491">
        <v>52</v>
      </c>
      <c r="O491" t="s">
        <v>1746</v>
      </c>
      <c r="P491" t="s">
        <v>58</v>
      </c>
      <c r="Q491" t="s">
        <v>217</v>
      </c>
      <c r="R491" t="s">
        <v>86</v>
      </c>
      <c r="S491" t="s">
        <v>45</v>
      </c>
      <c r="T491" t="s">
        <v>153</v>
      </c>
      <c r="U491">
        <v>1003</v>
      </c>
      <c r="V491">
        <v>303</v>
      </c>
      <c r="W491">
        <v>8</v>
      </c>
      <c r="X491">
        <v>1468.85</v>
      </c>
      <c r="Y491">
        <v>280.55</v>
      </c>
      <c r="Z491">
        <v>1749.4</v>
      </c>
      <c r="AA491" t="s">
        <v>62</v>
      </c>
      <c r="AB491">
        <v>0</v>
      </c>
      <c r="AC491">
        <v>83.05</v>
      </c>
      <c r="AD491">
        <v>126</v>
      </c>
      <c r="AE491">
        <v>147</v>
      </c>
    </row>
    <row r="492" spans="1:31" x14ac:dyDescent="0.25">
      <c r="A492" t="s">
        <v>2375</v>
      </c>
      <c r="B492" t="s">
        <v>2376</v>
      </c>
      <c r="C492" s="1">
        <v>45574</v>
      </c>
      <c r="D492" s="1">
        <v>45522</v>
      </c>
      <c r="E492" t="s">
        <v>33</v>
      </c>
      <c r="F492" t="s">
        <v>34</v>
      </c>
      <c r="G492" t="s">
        <v>343</v>
      </c>
      <c r="H492" t="s">
        <v>147</v>
      </c>
      <c r="I492" t="s">
        <v>2373</v>
      </c>
      <c r="J492" t="s">
        <v>38</v>
      </c>
      <c r="K492" t="s">
        <v>39</v>
      </c>
      <c r="L492" t="s">
        <v>2374</v>
      </c>
      <c r="M492">
        <v>407.83</v>
      </c>
      <c r="N492">
        <v>38</v>
      </c>
      <c r="O492" t="s">
        <v>1829</v>
      </c>
      <c r="P492" t="s">
        <v>108</v>
      </c>
      <c r="Q492" t="s">
        <v>333</v>
      </c>
      <c r="R492" t="s">
        <v>60</v>
      </c>
      <c r="S492" t="s">
        <v>87</v>
      </c>
      <c r="T492" t="s">
        <v>253</v>
      </c>
      <c r="U492">
        <v>340</v>
      </c>
      <c r="V492">
        <v>229</v>
      </c>
      <c r="W492">
        <v>17</v>
      </c>
      <c r="X492">
        <v>994.65</v>
      </c>
      <c r="Y492">
        <v>410.69</v>
      </c>
      <c r="Z492">
        <v>1405.34</v>
      </c>
      <c r="AA492" t="s">
        <v>62</v>
      </c>
      <c r="AB492">
        <v>0</v>
      </c>
      <c r="AC492">
        <v>72.02</v>
      </c>
      <c r="AD492">
        <v>217</v>
      </c>
      <c r="AE492">
        <v>252</v>
      </c>
    </row>
    <row r="493" spans="1:31" x14ac:dyDescent="0.25">
      <c r="A493" t="s">
        <v>2377</v>
      </c>
      <c r="B493" t="s">
        <v>2378</v>
      </c>
      <c r="C493" s="1">
        <v>45301</v>
      </c>
      <c r="D493" s="1">
        <v>45570</v>
      </c>
      <c r="E493" t="s">
        <v>50</v>
      </c>
      <c r="F493" t="s">
        <v>91</v>
      </c>
      <c r="G493" t="s">
        <v>78</v>
      </c>
      <c r="H493" t="s">
        <v>114</v>
      </c>
      <c r="I493" t="s">
        <v>2379</v>
      </c>
      <c r="J493" t="s">
        <v>165</v>
      </c>
      <c r="K493" t="s">
        <v>166</v>
      </c>
      <c r="L493" t="s">
        <v>2380</v>
      </c>
      <c r="M493">
        <v>138.97</v>
      </c>
      <c r="N493">
        <v>63</v>
      </c>
      <c r="O493" t="s">
        <v>2381</v>
      </c>
      <c r="P493" t="s">
        <v>141</v>
      </c>
      <c r="Q493" t="s">
        <v>232</v>
      </c>
      <c r="R493" t="s">
        <v>86</v>
      </c>
      <c r="S493" t="s">
        <v>126</v>
      </c>
      <c r="T493" t="s">
        <v>314</v>
      </c>
      <c r="U493">
        <v>791</v>
      </c>
      <c r="V493">
        <v>297</v>
      </c>
      <c r="W493">
        <v>25</v>
      </c>
      <c r="X493">
        <v>1845.32</v>
      </c>
      <c r="Y493">
        <v>159.11000000000001</v>
      </c>
      <c r="Z493">
        <v>2004.43</v>
      </c>
      <c r="AA493" t="s">
        <v>47</v>
      </c>
      <c r="AB493">
        <v>1</v>
      </c>
      <c r="AC493">
        <v>82.27</v>
      </c>
      <c r="AD493">
        <v>416</v>
      </c>
      <c r="AE493">
        <v>416</v>
      </c>
    </row>
    <row r="494" spans="1:31" x14ac:dyDescent="0.25">
      <c r="A494" t="s">
        <v>2382</v>
      </c>
      <c r="B494" t="s">
        <v>2383</v>
      </c>
      <c r="C494" s="1">
        <v>44280</v>
      </c>
      <c r="D494" s="1">
        <v>44600</v>
      </c>
      <c r="E494" t="s">
        <v>65</v>
      </c>
      <c r="F494" t="s">
        <v>146</v>
      </c>
      <c r="G494" t="s">
        <v>35</v>
      </c>
      <c r="H494" t="s">
        <v>163</v>
      </c>
      <c r="I494" t="s">
        <v>2384</v>
      </c>
      <c r="J494" t="s">
        <v>38</v>
      </c>
      <c r="K494" t="s">
        <v>55</v>
      </c>
      <c r="L494" t="s">
        <v>2385</v>
      </c>
      <c r="M494">
        <v>366.62</v>
      </c>
      <c r="N494">
        <v>54</v>
      </c>
      <c r="O494" t="s">
        <v>2386</v>
      </c>
      <c r="P494" t="s">
        <v>42</v>
      </c>
      <c r="Q494" t="s">
        <v>408</v>
      </c>
      <c r="R494" t="s">
        <v>44</v>
      </c>
      <c r="S494" t="s">
        <v>126</v>
      </c>
      <c r="T494" t="s">
        <v>278</v>
      </c>
      <c r="U494">
        <v>4442</v>
      </c>
      <c r="V494">
        <v>281</v>
      </c>
      <c r="W494">
        <v>15</v>
      </c>
      <c r="X494">
        <v>127.91</v>
      </c>
      <c r="Y494">
        <v>440.97</v>
      </c>
      <c r="Z494">
        <v>568.88</v>
      </c>
      <c r="AA494" t="s">
        <v>62</v>
      </c>
      <c r="AB494">
        <v>0</v>
      </c>
      <c r="AC494">
        <v>94.97</v>
      </c>
      <c r="AD494">
        <v>296</v>
      </c>
      <c r="AE494">
        <v>302</v>
      </c>
    </row>
    <row r="495" spans="1:31" x14ac:dyDescent="0.25">
      <c r="A495" t="s">
        <v>2387</v>
      </c>
      <c r="B495" t="s">
        <v>2388</v>
      </c>
      <c r="C495" s="1">
        <v>44493</v>
      </c>
      <c r="D495" s="1">
        <v>44517</v>
      </c>
      <c r="E495" t="s">
        <v>50</v>
      </c>
      <c r="F495" t="s">
        <v>77</v>
      </c>
      <c r="G495" t="s">
        <v>52</v>
      </c>
      <c r="H495" t="s">
        <v>221</v>
      </c>
      <c r="I495" t="s">
        <v>2284</v>
      </c>
      <c r="J495" t="s">
        <v>38</v>
      </c>
      <c r="K495" t="s">
        <v>735</v>
      </c>
      <c r="L495" t="s">
        <v>2285</v>
      </c>
      <c r="M495">
        <v>263.49</v>
      </c>
      <c r="N495">
        <v>25</v>
      </c>
      <c r="O495" t="s">
        <v>2389</v>
      </c>
      <c r="P495" t="s">
        <v>141</v>
      </c>
      <c r="Q495" t="s">
        <v>169</v>
      </c>
      <c r="R495" t="s">
        <v>60</v>
      </c>
      <c r="S495" t="s">
        <v>98</v>
      </c>
      <c r="T495" t="s">
        <v>153</v>
      </c>
      <c r="U495">
        <v>117</v>
      </c>
      <c r="V495">
        <v>154</v>
      </c>
      <c r="W495">
        <v>11</v>
      </c>
      <c r="X495">
        <v>1371.52</v>
      </c>
      <c r="Y495">
        <v>495.05</v>
      </c>
      <c r="Z495">
        <v>1866.57</v>
      </c>
      <c r="AA495" t="s">
        <v>62</v>
      </c>
      <c r="AB495">
        <v>0</v>
      </c>
      <c r="AC495">
        <v>76.05</v>
      </c>
      <c r="AD495">
        <v>398</v>
      </c>
      <c r="AE495">
        <v>417</v>
      </c>
    </row>
    <row r="496" spans="1:31" x14ac:dyDescent="0.25">
      <c r="A496" t="s">
        <v>2390</v>
      </c>
      <c r="B496" t="s">
        <v>2391</v>
      </c>
      <c r="C496" s="1">
        <v>45164</v>
      </c>
      <c r="D496" s="1">
        <v>45512</v>
      </c>
      <c r="E496" t="s">
        <v>50</v>
      </c>
      <c r="F496" t="s">
        <v>91</v>
      </c>
      <c r="G496" t="s">
        <v>343</v>
      </c>
      <c r="H496" t="s">
        <v>53</v>
      </c>
      <c r="I496" t="s">
        <v>2392</v>
      </c>
      <c r="J496" t="s">
        <v>104</v>
      </c>
      <c r="K496" t="s">
        <v>181</v>
      </c>
      <c r="L496" t="s">
        <v>2393</v>
      </c>
      <c r="M496">
        <v>360.35</v>
      </c>
      <c r="N496">
        <v>38</v>
      </c>
      <c r="O496" t="s">
        <v>1724</v>
      </c>
      <c r="P496" t="s">
        <v>58</v>
      </c>
      <c r="Q496" t="s">
        <v>142</v>
      </c>
      <c r="R496" t="s">
        <v>44</v>
      </c>
      <c r="S496" t="s">
        <v>126</v>
      </c>
      <c r="T496" t="s">
        <v>160</v>
      </c>
      <c r="U496">
        <v>174</v>
      </c>
      <c r="V496">
        <v>92</v>
      </c>
      <c r="W496">
        <v>16</v>
      </c>
      <c r="X496">
        <v>1045.9000000000001</v>
      </c>
      <c r="Y496">
        <v>242.11</v>
      </c>
      <c r="Z496">
        <v>1288.01</v>
      </c>
      <c r="AA496" t="s">
        <v>62</v>
      </c>
      <c r="AB496">
        <v>0</v>
      </c>
      <c r="AC496">
        <v>88.78</v>
      </c>
      <c r="AD496">
        <v>237</v>
      </c>
      <c r="AE496">
        <v>265</v>
      </c>
    </row>
    <row r="497" spans="1:31" x14ac:dyDescent="0.25">
      <c r="A497" t="s">
        <v>2394</v>
      </c>
      <c r="B497" t="s">
        <v>2395</v>
      </c>
      <c r="C497" s="1">
        <v>44158</v>
      </c>
      <c r="D497" s="1">
        <v>44599</v>
      </c>
      <c r="E497" t="s">
        <v>65</v>
      </c>
      <c r="F497" t="s">
        <v>51</v>
      </c>
      <c r="G497" t="s">
        <v>35</v>
      </c>
      <c r="H497" t="s">
        <v>163</v>
      </c>
      <c r="I497" t="s">
        <v>2396</v>
      </c>
      <c r="J497" t="s">
        <v>104</v>
      </c>
      <c r="K497" t="s">
        <v>181</v>
      </c>
      <c r="L497" t="s">
        <v>2397</v>
      </c>
      <c r="M497">
        <v>265.64999999999998</v>
      </c>
      <c r="N497">
        <v>17</v>
      </c>
      <c r="O497" t="s">
        <v>1234</v>
      </c>
      <c r="P497" t="s">
        <v>108</v>
      </c>
      <c r="Q497" t="s">
        <v>43</v>
      </c>
      <c r="R497" t="s">
        <v>44</v>
      </c>
      <c r="S497" t="s">
        <v>87</v>
      </c>
      <c r="T497" t="s">
        <v>192</v>
      </c>
      <c r="U497">
        <v>2669</v>
      </c>
      <c r="V497">
        <v>57</v>
      </c>
      <c r="W497">
        <v>5</v>
      </c>
      <c r="X497">
        <v>927.98</v>
      </c>
      <c r="Y497">
        <v>423.01</v>
      </c>
      <c r="Z497">
        <v>1350.99</v>
      </c>
      <c r="AA497" t="s">
        <v>47</v>
      </c>
      <c r="AB497">
        <v>14</v>
      </c>
      <c r="AC497">
        <v>83.16</v>
      </c>
      <c r="AD497">
        <v>317</v>
      </c>
      <c r="AE497">
        <v>296</v>
      </c>
    </row>
    <row r="498" spans="1:31" x14ac:dyDescent="0.25">
      <c r="A498" t="s">
        <v>2398</v>
      </c>
      <c r="B498" t="s">
        <v>2399</v>
      </c>
      <c r="C498" s="1">
        <v>44757</v>
      </c>
      <c r="D498" s="1">
        <v>45562</v>
      </c>
      <c r="E498" t="s">
        <v>50</v>
      </c>
      <c r="F498" t="s">
        <v>146</v>
      </c>
      <c r="G498" t="s">
        <v>35</v>
      </c>
      <c r="H498" t="s">
        <v>53</v>
      </c>
      <c r="I498" t="s">
        <v>2400</v>
      </c>
      <c r="J498" t="s">
        <v>38</v>
      </c>
      <c r="K498" t="s">
        <v>338</v>
      </c>
      <c r="L498" t="s">
        <v>2401</v>
      </c>
      <c r="M498">
        <v>94.64</v>
      </c>
      <c r="N498">
        <v>3</v>
      </c>
      <c r="O498" t="s">
        <v>2402</v>
      </c>
      <c r="P498" t="s">
        <v>42</v>
      </c>
      <c r="Q498" t="s">
        <v>266</v>
      </c>
      <c r="R498" t="s">
        <v>44</v>
      </c>
      <c r="S498" t="s">
        <v>87</v>
      </c>
      <c r="T498" t="s">
        <v>314</v>
      </c>
      <c r="U498">
        <v>2681</v>
      </c>
      <c r="V498">
        <v>468</v>
      </c>
      <c r="W498">
        <v>28</v>
      </c>
      <c r="X498">
        <v>72.5</v>
      </c>
      <c r="Y498">
        <v>17.04</v>
      </c>
      <c r="Z498">
        <v>89.539999999999992</v>
      </c>
      <c r="AA498" t="s">
        <v>62</v>
      </c>
      <c r="AB498">
        <v>0</v>
      </c>
      <c r="AC498">
        <v>71.22</v>
      </c>
      <c r="AD498">
        <v>253</v>
      </c>
      <c r="AE498">
        <v>282</v>
      </c>
    </row>
    <row r="499" spans="1:31" x14ac:dyDescent="0.25">
      <c r="A499" t="s">
        <v>2403</v>
      </c>
      <c r="B499" t="s">
        <v>2404</v>
      </c>
      <c r="C499" s="1">
        <v>45007</v>
      </c>
      <c r="D499" s="1">
        <v>44425</v>
      </c>
      <c r="E499" t="s">
        <v>65</v>
      </c>
      <c r="F499" t="s">
        <v>51</v>
      </c>
      <c r="G499" t="s">
        <v>35</v>
      </c>
      <c r="H499" t="s">
        <v>114</v>
      </c>
      <c r="I499" t="s">
        <v>2405</v>
      </c>
      <c r="J499" t="s">
        <v>38</v>
      </c>
      <c r="K499" t="s">
        <v>94</v>
      </c>
      <c r="L499" t="s">
        <v>2406</v>
      </c>
      <c r="M499">
        <v>335.11</v>
      </c>
      <c r="N499">
        <v>23</v>
      </c>
      <c r="O499" t="s">
        <v>2407</v>
      </c>
      <c r="P499" t="s">
        <v>108</v>
      </c>
      <c r="Q499" t="s">
        <v>408</v>
      </c>
      <c r="R499" t="s">
        <v>60</v>
      </c>
      <c r="S499" t="s">
        <v>73</v>
      </c>
      <c r="T499" t="s">
        <v>177</v>
      </c>
      <c r="U499">
        <v>2377</v>
      </c>
      <c r="V499">
        <v>105</v>
      </c>
      <c r="W499">
        <v>10</v>
      </c>
      <c r="X499">
        <v>721.62</v>
      </c>
      <c r="Y499">
        <v>388.06</v>
      </c>
      <c r="Z499">
        <v>1109.68</v>
      </c>
      <c r="AA499" t="s">
        <v>47</v>
      </c>
      <c r="AB499">
        <v>9</v>
      </c>
      <c r="AC499">
        <v>91.14</v>
      </c>
      <c r="AD499">
        <v>235</v>
      </c>
      <c r="AE499">
        <v>231</v>
      </c>
    </row>
    <row r="500" spans="1:31" x14ac:dyDescent="0.25">
      <c r="A500" t="s">
        <v>2408</v>
      </c>
      <c r="B500" t="s">
        <v>2409</v>
      </c>
      <c r="C500" s="1">
        <v>45168</v>
      </c>
      <c r="D500" s="1">
        <v>43872</v>
      </c>
      <c r="E500" t="s">
        <v>50</v>
      </c>
      <c r="F500" t="s">
        <v>77</v>
      </c>
      <c r="G500" t="s">
        <v>78</v>
      </c>
      <c r="H500" t="s">
        <v>79</v>
      </c>
      <c r="I500" t="s">
        <v>1853</v>
      </c>
      <c r="J500" t="s">
        <v>38</v>
      </c>
      <c r="K500" t="s">
        <v>39</v>
      </c>
      <c r="L500" t="s">
        <v>1854</v>
      </c>
      <c r="M500">
        <v>347.43</v>
      </c>
      <c r="N500">
        <v>90</v>
      </c>
      <c r="O500" t="s">
        <v>1024</v>
      </c>
      <c r="P500" t="s">
        <v>58</v>
      </c>
      <c r="Q500" t="s">
        <v>191</v>
      </c>
      <c r="R500" t="s">
        <v>152</v>
      </c>
      <c r="S500" t="s">
        <v>87</v>
      </c>
      <c r="T500" t="s">
        <v>511</v>
      </c>
      <c r="U500">
        <v>4810</v>
      </c>
      <c r="V500">
        <v>360</v>
      </c>
      <c r="W500">
        <v>27</v>
      </c>
      <c r="X500">
        <v>1442.79</v>
      </c>
      <c r="Y500">
        <v>196.81</v>
      </c>
      <c r="Z500">
        <v>1639.6</v>
      </c>
      <c r="AA500" t="s">
        <v>62</v>
      </c>
      <c r="AB500">
        <v>0</v>
      </c>
      <c r="AC500">
        <v>85.29</v>
      </c>
      <c r="AD500">
        <v>452</v>
      </c>
      <c r="AE500">
        <v>463</v>
      </c>
    </row>
    <row r="501" spans="1:31" x14ac:dyDescent="0.25">
      <c r="A501" t="s">
        <v>2410</v>
      </c>
      <c r="B501" t="s">
        <v>2411</v>
      </c>
      <c r="C501" s="1">
        <v>44790</v>
      </c>
      <c r="D501" s="1">
        <v>44434</v>
      </c>
      <c r="E501" t="s">
        <v>50</v>
      </c>
      <c r="F501" t="s">
        <v>146</v>
      </c>
      <c r="G501" t="s">
        <v>78</v>
      </c>
      <c r="H501" t="s">
        <v>36</v>
      </c>
      <c r="I501" t="s">
        <v>1557</v>
      </c>
      <c r="J501" t="s">
        <v>38</v>
      </c>
      <c r="K501" t="s">
        <v>81</v>
      </c>
      <c r="L501" t="s">
        <v>1558</v>
      </c>
      <c r="M501">
        <v>234.09</v>
      </c>
      <c r="N501">
        <v>31</v>
      </c>
      <c r="O501" t="s">
        <v>2412</v>
      </c>
      <c r="P501" t="s">
        <v>141</v>
      </c>
      <c r="Q501" t="s">
        <v>333</v>
      </c>
      <c r="R501" t="s">
        <v>152</v>
      </c>
      <c r="S501" t="s">
        <v>73</v>
      </c>
      <c r="T501" t="s">
        <v>437</v>
      </c>
      <c r="U501">
        <v>2087</v>
      </c>
      <c r="V501">
        <v>384</v>
      </c>
      <c r="W501">
        <v>24</v>
      </c>
      <c r="X501">
        <v>1985.63</v>
      </c>
      <c r="Y501">
        <v>453.1</v>
      </c>
      <c r="Z501">
        <v>2438.73</v>
      </c>
      <c r="AA501" t="s">
        <v>62</v>
      </c>
      <c r="AB501">
        <v>0</v>
      </c>
      <c r="AC501">
        <v>77.53</v>
      </c>
      <c r="AD501">
        <v>457</v>
      </c>
      <c r="AE501">
        <v>408</v>
      </c>
    </row>
    <row r="502" spans="1:31" x14ac:dyDescent="0.25">
      <c r="A502" t="s">
        <v>2413</v>
      </c>
      <c r="B502" t="s">
        <v>2414</v>
      </c>
      <c r="C502" s="1">
        <v>45380</v>
      </c>
      <c r="D502" s="1">
        <v>44781</v>
      </c>
      <c r="E502" t="s">
        <v>65</v>
      </c>
      <c r="F502" t="s">
        <v>146</v>
      </c>
      <c r="G502" t="s">
        <v>35</v>
      </c>
      <c r="H502" t="s">
        <v>53</v>
      </c>
      <c r="I502" t="s">
        <v>2415</v>
      </c>
      <c r="J502" t="s">
        <v>165</v>
      </c>
      <c r="K502" t="s">
        <v>202</v>
      </c>
      <c r="L502" t="s">
        <v>2416</v>
      </c>
      <c r="M502">
        <v>362.52</v>
      </c>
      <c r="N502">
        <v>69</v>
      </c>
      <c r="O502" t="s">
        <v>1000</v>
      </c>
      <c r="P502" t="s">
        <v>58</v>
      </c>
      <c r="Q502" t="s">
        <v>97</v>
      </c>
      <c r="R502" t="s">
        <v>44</v>
      </c>
      <c r="S502" t="s">
        <v>73</v>
      </c>
      <c r="T502" t="s">
        <v>239</v>
      </c>
      <c r="U502">
        <v>3557</v>
      </c>
      <c r="V502">
        <v>178</v>
      </c>
      <c r="W502">
        <v>27</v>
      </c>
      <c r="X502">
        <v>262.18</v>
      </c>
      <c r="Y502">
        <v>472.97</v>
      </c>
      <c r="Z502">
        <v>735.15000000000009</v>
      </c>
      <c r="AA502" t="s">
        <v>62</v>
      </c>
      <c r="AB502">
        <v>0</v>
      </c>
      <c r="AC502">
        <v>82.29</v>
      </c>
      <c r="AD502">
        <v>453</v>
      </c>
      <c r="AE502">
        <v>446</v>
      </c>
    </row>
    <row r="503" spans="1:31" x14ac:dyDescent="0.25">
      <c r="A503" t="s">
        <v>2417</v>
      </c>
      <c r="B503" t="s">
        <v>2418</v>
      </c>
      <c r="C503" s="1">
        <v>45551</v>
      </c>
      <c r="D503" s="1">
        <v>44793</v>
      </c>
      <c r="E503" t="s">
        <v>65</v>
      </c>
      <c r="F503" t="s">
        <v>77</v>
      </c>
      <c r="G503" t="s">
        <v>113</v>
      </c>
      <c r="H503" t="s">
        <v>67</v>
      </c>
      <c r="I503" t="s">
        <v>719</v>
      </c>
      <c r="J503" t="s">
        <v>104</v>
      </c>
      <c r="K503" t="s">
        <v>105</v>
      </c>
      <c r="L503" t="s">
        <v>720</v>
      </c>
      <c r="M503">
        <v>349.56</v>
      </c>
      <c r="N503">
        <v>31</v>
      </c>
      <c r="O503" t="s">
        <v>2419</v>
      </c>
      <c r="P503" t="s">
        <v>84</v>
      </c>
      <c r="Q503" t="s">
        <v>252</v>
      </c>
      <c r="R503" t="s">
        <v>86</v>
      </c>
      <c r="S503" t="s">
        <v>45</v>
      </c>
      <c r="T503" t="s">
        <v>419</v>
      </c>
      <c r="U503">
        <v>3491</v>
      </c>
      <c r="V503">
        <v>90</v>
      </c>
      <c r="W503">
        <v>18</v>
      </c>
      <c r="X503">
        <v>146.91999999999999</v>
      </c>
      <c r="Y503">
        <v>483.51</v>
      </c>
      <c r="Z503">
        <v>630.42999999999995</v>
      </c>
      <c r="AA503" t="s">
        <v>62</v>
      </c>
      <c r="AB503">
        <v>0</v>
      </c>
      <c r="AC503">
        <v>80.8</v>
      </c>
      <c r="AD503">
        <v>252</v>
      </c>
      <c r="AE503">
        <v>237</v>
      </c>
    </row>
    <row r="504" spans="1:31" x14ac:dyDescent="0.25">
      <c r="A504" t="s">
        <v>2420</v>
      </c>
      <c r="B504" t="s">
        <v>2421</v>
      </c>
      <c r="C504" s="1">
        <v>45601</v>
      </c>
      <c r="D504" s="1">
        <v>45065</v>
      </c>
      <c r="E504" t="s">
        <v>33</v>
      </c>
      <c r="F504" t="s">
        <v>51</v>
      </c>
      <c r="G504" t="s">
        <v>66</v>
      </c>
      <c r="H504" t="s">
        <v>147</v>
      </c>
      <c r="I504" t="s">
        <v>1988</v>
      </c>
      <c r="J504" t="s">
        <v>104</v>
      </c>
      <c r="K504" t="s">
        <v>181</v>
      </c>
      <c r="L504" t="s">
        <v>1989</v>
      </c>
      <c r="M504">
        <v>261.39</v>
      </c>
      <c r="N504">
        <v>52</v>
      </c>
      <c r="O504" t="s">
        <v>431</v>
      </c>
      <c r="P504" t="s">
        <v>141</v>
      </c>
      <c r="Q504" t="s">
        <v>686</v>
      </c>
      <c r="R504" t="s">
        <v>44</v>
      </c>
      <c r="S504" t="s">
        <v>73</v>
      </c>
      <c r="T504" t="s">
        <v>654</v>
      </c>
      <c r="U504">
        <v>3685</v>
      </c>
      <c r="V504">
        <v>315</v>
      </c>
      <c r="W504">
        <v>11</v>
      </c>
      <c r="X504">
        <v>1671.5</v>
      </c>
      <c r="Y504">
        <v>356.7</v>
      </c>
      <c r="Z504">
        <v>2028.2</v>
      </c>
      <c r="AA504" t="s">
        <v>62</v>
      </c>
      <c r="AB504">
        <v>0</v>
      </c>
      <c r="AC504">
        <v>93.23</v>
      </c>
      <c r="AD504">
        <v>218</v>
      </c>
      <c r="AE504">
        <v>194</v>
      </c>
    </row>
    <row r="505" spans="1:31" x14ac:dyDescent="0.25">
      <c r="A505" t="s">
        <v>2422</v>
      </c>
      <c r="B505" t="s">
        <v>2423</v>
      </c>
      <c r="C505" s="1">
        <v>44977</v>
      </c>
      <c r="D505" s="1">
        <v>45571</v>
      </c>
      <c r="E505" t="s">
        <v>65</v>
      </c>
      <c r="F505" t="s">
        <v>77</v>
      </c>
      <c r="G505" t="s">
        <v>66</v>
      </c>
      <c r="H505" t="s">
        <v>114</v>
      </c>
      <c r="I505" t="s">
        <v>2424</v>
      </c>
      <c r="J505" t="s">
        <v>165</v>
      </c>
      <c r="K505" t="s">
        <v>1098</v>
      </c>
      <c r="L505" t="s">
        <v>2425</v>
      </c>
      <c r="M505">
        <v>461.25</v>
      </c>
      <c r="N505">
        <v>81</v>
      </c>
      <c r="O505" t="s">
        <v>2426</v>
      </c>
      <c r="P505" t="s">
        <v>141</v>
      </c>
      <c r="Q505" t="s">
        <v>142</v>
      </c>
      <c r="R505" t="s">
        <v>152</v>
      </c>
      <c r="S505" t="s">
        <v>87</v>
      </c>
      <c r="T505" t="s">
        <v>321</v>
      </c>
      <c r="U505">
        <v>3397</v>
      </c>
      <c r="V505">
        <v>280</v>
      </c>
      <c r="W505">
        <v>17</v>
      </c>
      <c r="X505">
        <v>1044.22</v>
      </c>
      <c r="Y505">
        <v>247.75</v>
      </c>
      <c r="Z505">
        <v>1291.97</v>
      </c>
      <c r="AA505" t="s">
        <v>62</v>
      </c>
      <c r="AB505">
        <v>0</v>
      </c>
      <c r="AC505">
        <v>86.18</v>
      </c>
      <c r="AD505">
        <v>244</v>
      </c>
      <c r="AE505">
        <v>285</v>
      </c>
    </row>
    <row r="506" spans="1:31" x14ac:dyDescent="0.25">
      <c r="A506" t="s">
        <v>2427</v>
      </c>
      <c r="B506" t="s">
        <v>2428</v>
      </c>
      <c r="C506" s="1">
        <v>45063</v>
      </c>
      <c r="D506" s="1">
        <v>44292</v>
      </c>
      <c r="E506" t="s">
        <v>65</v>
      </c>
      <c r="F506" t="s">
        <v>77</v>
      </c>
      <c r="G506" t="s">
        <v>102</v>
      </c>
      <c r="H506" t="s">
        <v>147</v>
      </c>
      <c r="I506" t="s">
        <v>2429</v>
      </c>
      <c r="J506" t="s">
        <v>104</v>
      </c>
      <c r="K506" t="s">
        <v>105</v>
      </c>
      <c r="L506" t="s">
        <v>2430</v>
      </c>
      <c r="M506">
        <v>298.87</v>
      </c>
      <c r="N506">
        <v>29</v>
      </c>
      <c r="O506" t="s">
        <v>2431</v>
      </c>
      <c r="P506" t="s">
        <v>84</v>
      </c>
      <c r="Q506" t="s">
        <v>432</v>
      </c>
      <c r="R506" t="s">
        <v>86</v>
      </c>
      <c r="S506" t="s">
        <v>87</v>
      </c>
      <c r="T506" t="s">
        <v>738</v>
      </c>
      <c r="U506">
        <v>3112</v>
      </c>
      <c r="V506">
        <v>437</v>
      </c>
      <c r="W506">
        <v>11</v>
      </c>
      <c r="X506">
        <v>226.89</v>
      </c>
      <c r="Y506">
        <v>489.57</v>
      </c>
      <c r="Z506">
        <v>716.46</v>
      </c>
      <c r="AA506" t="s">
        <v>62</v>
      </c>
      <c r="AB506">
        <v>0</v>
      </c>
      <c r="AC506">
        <v>82.23</v>
      </c>
      <c r="AD506">
        <v>225</v>
      </c>
      <c r="AE506">
        <v>182</v>
      </c>
    </row>
    <row r="507" spans="1:31" x14ac:dyDescent="0.25">
      <c r="A507" t="s">
        <v>2432</v>
      </c>
      <c r="B507" t="s">
        <v>2433</v>
      </c>
      <c r="C507" s="1">
        <v>43874</v>
      </c>
      <c r="D507" s="1">
        <v>45588</v>
      </c>
      <c r="E507" t="s">
        <v>65</v>
      </c>
      <c r="F507" t="s">
        <v>91</v>
      </c>
      <c r="G507" t="s">
        <v>113</v>
      </c>
      <c r="H507" t="s">
        <v>79</v>
      </c>
      <c r="I507" t="s">
        <v>724</v>
      </c>
      <c r="J507" t="s">
        <v>38</v>
      </c>
      <c r="K507" t="s">
        <v>338</v>
      </c>
      <c r="L507" t="s">
        <v>725</v>
      </c>
      <c r="M507">
        <v>469.98</v>
      </c>
      <c r="N507">
        <v>35</v>
      </c>
      <c r="O507" t="s">
        <v>2434</v>
      </c>
      <c r="P507" t="s">
        <v>42</v>
      </c>
      <c r="Q507" t="s">
        <v>491</v>
      </c>
      <c r="R507" t="s">
        <v>86</v>
      </c>
      <c r="S507" t="s">
        <v>126</v>
      </c>
      <c r="T507" t="s">
        <v>1294</v>
      </c>
      <c r="U507">
        <v>3235</v>
      </c>
      <c r="V507">
        <v>190</v>
      </c>
      <c r="W507">
        <v>11</v>
      </c>
      <c r="X507">
        <v>1699.56</v>
      </c>
      <c r="Y507">
        <v>495.05</v>
      </c>
      <c r="Z507">
        <v>2194.61</v>
      </c>
      <c r="AA507" t="s">
        <v>62</v>
      </c>
      <c r="AB507">
        <v>0</v>
      </c>
      <c r="AC507">
        <v>92.89</v>
      </c>
      <c r="AD507">
        <v>453</v>
      </c>
      <c r="AE507">
        <v>482</v>
      </c>
    </row>
    <row r="508" spans="1:31" x14ac:dyDescent="0.25">
      <c r="A508" t="s">
        <v>2435</v>
      </c>
      <c r="B508" t="s">
        <v>2436</v>
      </c>
      <c r="C508" s="1">
        <v>44187</v>
      </c>
      <c r="D508" s="1">
        <v>45429</v>
      </c>
      <c r="E508" t="s">
        <v>50</v>
      </c>
      <c r="F508" t="s">
        <v>34</v>
      </c>
      <c r="G508" t="s">
        <v>102</v>
      </c>
      <c r="H508" t="s">
        <v>221</v>
      </c>
      <c r="I508" t="s">
        <v>242</v>
      </c>
      <c r="J508" t="s">
        <v>38</v>
      </c>
      <c r="K508" t="s">
        <v>94</v>
      </c>
      <c r="L508" t="s">
        <v>243</v>
      </c>
      <c r="M508">
        <v>329.81</v>
      </c>
      <c r="N508">
        <v>10</v>
      </c>
      <c r="O508" t="s">
        <v>2437</v>
      </c>
      <c r="P508" t="s">
        <v>141</v>
      </c>
      <c r="Q508" t="s">
        <v>544</v>
      </c>
      <c r="R508" t="s">
        <v>60</v>
      </c>
      <c r="S508" t="s">
        <v>45</v>
      </c>
      <c r="T508" t="s">
        <v>922</v>
      </c>
      <c r="U508">
        <v>287</v>
      </c>
      <c r="V508">
        <v>221</v>
      </c>
      <c r="W508">
        <v>16</v>
      </c>
      <c r="X508">
        <v>1298.98</v>
      </c>
      <c r="Y508">
        <v>172.38</v>
      </c>
      <c r="Z508">
        <v>1471.36</v>
      </c>
      <c r="AA508" t="s">
        <v>62</v>
      </c>
      <c r="AB508">
        <v>0</v>
      </c>
      <c r="AC508">
        <v>81.05</v>
      </c>
      <c r="AD508">
        <v>278</v>
      </c>
      <c r="AE508">
        <v>322</v>
      </c>
    </row>
    <row r="509" spans="1:31" x14ac:dyDescent="0.25">
      <c r="A509" t="s">
        <v>2438</v>
      </c>
      <c r="B509" t="s">
        <v>2439</v>
      </c>
      <c r="C509" s="1">
        <v>44258</v>
      </c>
      <c r="D509" s="1">
        <v>45316</v>
      </c>
      <c r="E509" t="s">
        <v>50</v>
      </c>
      <c r="F509" t="s">
        <v>77</v>
      </c>
      <c r="G509" t="s">
        <v>113</v>
      </c>
      <c r="H509" t="s">
        <v>114</v>
      </c>
      <c r="I509" t="s">
        <v>2440</v>
      </c>
      <c r="J509" t="s">
        <v>38</v>
      </c>
      <c r="K509" t="s">
        <v>55</v>
      </c>
      <c r="L509" t="s">
        <v>2441</v>
      </c>
      <c r="M509">
        <v>155.25</v>
      </c>
      <c r="N509">
        <v>66</v>
      </c>
      <c r="O509" t="s">
        <v>2442</v>
      </c>
      <c r="P509" t="s">
        <v>108</v>
      </c>
      <c r="Q509" t="s">
        <v>320</v>
      </c>
      <c r="R509" t="s">
        <v>152</v>
      </c>
      <c r="S509" t="s">
        <v>98</v>
      </c>
      <c r="T509" t="s">
        <v>192</v>
      </c>
      <c r="U509">
        <v>858</v>
      </c>
      <c r="V509">
        <v>437</v>
      </c>
      <c r="W509">
        <v>24</v>
      </c>
      <c r="X509">
        <v>1164.81</v>
      </c>
      <c r="Y509">
        <v>254.17</v>
      </c>
      <c r="Z509">
        <v>1418.98</v>
      </c>
      <c r="AA509" t="s">
        <v>47</v>
      </c>
      <c r="AB509">
        <v>2</v>
      </c>
      <c r="AC509">
        <v>92.7</v>
      </c>
      <c r="AD509">
        <v>226</v>
      </c>
      <c r="AE509">
        <v>221</v>
      </c>
    </row>
    <row r="510" spans="1:31" x14ac:dyDescent="0.25">
      <c r="A510" t="s">
        <v>2443</v>
      </c>
      <c r="B510" t="s">
        <v>2444</v>
      </c>
      <c r="C510" s="1">
        <v>45352</v>
      </c>
      <c r="D510" s="1">
        <v>44633</v>
      </c>
      <c r="E510" t="s">
        <v>65</v>
      </c>
      <c r="F510" t="s">
        <v>91</v>
      </c>
      <c r="G510" t="s">
        <v>92</v>
      </c>
      <c r="H510" t="s">
        <v>163</v>
      </c>
      <c r="I510" t="s">
        <v>2445</v>
      </c>
      <c r="J510" t="s">
        <v>38</v>
      </c>
      <c r="K510" t="s">
        <v>55</v>
      </c>
      <c r="L510" t="s">
        <v>2446</v>
      </c>
      <c r="M510">
        <v>485.7</v>
      </c>
      <c r="N510">
        <v>63</v>
      </c>
      <c r="O510" t="s">
        <v>2447</v>
      </c>
      <c r="P510" t="s">
        <v>108</v>
      </c>
      <c r="Q510" t="s">
        <v>408</v>
      </c>
      <c r="R510" t="s">
        <v>152</v>
      </c>
      <c r="S510" t="s">
        <v>126</v>
      </c>
      <c r="T510" t="s">
        <v>284</v>
      </c>
      <c r="U510">
        <v>4886</v>
      </c>
      <c r="V510">
        <v>263</v>
      </c>
      <c r="W510">
        <v>12</v>
      </c>
      <c r="X510">
        <v>666.52</v>
      </c>
      <c r="Y510">
        <v>187.03</v>
      </c>
      <c r="Z510">
        <v>853.55</v>
      </c>
      <c r="AA510" t="s">
        <v>62</v>
      </c>
      <c r="AB510">
        <v>0</v>
      </c>
      <c r="AC510">
        <v>82.68</v>
      </c>
      <c r="AD510">
        <v>100</v>
      </c>
      <c r="AE510">
        <v>106</v>
      </c>
    </row>
    <row r="511" spans="1:31" x14ac:dyDescent="0.25">
      <c r="A511" t="s">
        <v>2448</v>
      </c>
      <c r="B511" t="s">
        <v>2449</v>
      </c>
      <c r="C511" s="1">
        <v>45467</v>
      </c>
      <c r="D511" s="1">
        <v>45653</v>
      </c>
      <c r="E511" t="s">
        <v>50</v>
      </c>
      <c r="F511" t="s">
        <v>91</v>
      </c>
      <c r="G511" t="s">
        <v>113</v>
      </c>
      <c r="H511" t="s">
        <v>147</v>
      </c>
      <c r="I511" t="s">
        <v>2450</v>
      </c>
      <c r="J511" t="s">
        <v>38</v>
      </c>
      <c r="K511" t="s">
        <v>55</v>
      </c>
      <c r="L511" t="s">
        <v>2451</v>
      </c>
      <c r="M511">
        <v>489.95</v>
      </c>
      <c r="N511">
        <v>41</v>
      </c>
      <c r="O511" t="s">
        <v>2452</v>
      </c>
      <c r="P511" t="s">
        <v>42</v>
      </c>
      <c r="Q511" t="s">
        <v>159</v>
      </c>
      <c r="R511" t="s">
        <v>86</v>
      </c>
      <c r="S511" t="s">
        <v>73</v>
      </c>
      <c r="T511" t="s">
        <v>308</v>
      </c>
      <c r="U511">
        <v>3410</v>
      </c>
      <c r="V511">
        <v>499</v>
      </c>
      <c r="W511">
        <v>13</v>
      </c>
      <c r="X511">
        <v>1855.33</v>
      </c>
      <c r="Y511">
        <v>303</v>
      </c>
      <c r="Z511">
        <v>2158.33</v>
      </c>
      <c r="AA511" t="s">
        <v>62</v>
      </c>
      <c r="AB511">
        <v>0</v>
      </c>
      <c r="AC511">
        <v>93</v>
      </c>
      <c r="AD511">
        <v>87</v>
      </c>
      <c r="AE511">
        <v>80</v>
      </c>
    </row>
    <row r="512" spans="1:31" x14ac:dyDescent="0.25">
      <c r="A512" t="s">
        <v>2453</v>
      </c>
      <c r="B512" t="s">
        <v>2454</v>
      </c>
      <c r="C512" s="1">
        <v>44625</v>
      </c>
      <c r="D512" s="1">
        <v>45584</v>
      </c>
      <c r="E512" t="s">
        <v>65</v>
      </c>
      <c r="F512" t="s">
        <v>91</v>
      </c>
      <c r="G512" t="s">
        <v>52</v>
      </c>
      <c r="H512" t="s">
        <v>67</v>
      </c>
      <c r="I512" t="s">
        <v>2455</v>
      </c>
      <c r="J512" t="s">
        <v>38</v>
      </c>
      <c r="K512" t="s">
        <v>263</v>
      </c>
      <c r="L512" t="s">
        <v>271</v>
      </c>
      <c r="M512">
        <v>299.81</v>
      </c>
      <c r="N512">
        <v>27</v>
      </c>
      <c r="O512" t="s">
        <v>2456</v>
      </c>
      <c r="P512" t="s">
        <v>141</v>
      </c>
      <c r="Q512" t="s">
        <v>491</v>
      </c>
      <c r="R512" t="s">
        <v>152</v>
      </c>
      <c r="S512" t="s">
        <v>126</v>
      </c>
      <c r="T512" t="s">
        <v>110</v>
      </c>
      <c r="U512">
        <v>210</v>
      </c>
      <c r="V512">
        <v>481</v>
      </c>
      <c r="W512">
        <v>2</v>
      </c>
      <c r="X512">
        <v>781.61</v>
      </c>
      <c r="Y512">
        <v>418.42</v>
      </c>
      <c r="Z512">
        <v>1200.03</v>
      </c>
      <c r="AA512" t="s">
        <v>62</v>
      </c>
      <c r="AB512">
        <v>0</v>
      </c>
      <c r="AC512">
        <v>79.75</v>
      </c>
      <c r="AD512">
        <v>323</v>
      </c>
      <c r="AE512">
        <v>300</v>
      </c>
    </row>
    <row r="513" spans="1:31" x14ac:dyDescent="0.25">
      <c r="A513" t="s">
        <v>2457</v>
      </c>
      <c r="B513" t="s">
        <v>2458</v>
      </c>
      <c r="C513" s="1">
        <v>44703</v>
      </c>
      <c r="D513" s="1">
        <v>44808</v>
      </c>
      <c r="E513" t="s">
        <v>50</v>
      </c>
      <c r="F513" t="s">
        <v>77</v>
      </c>
      <c r="G513" t="s">
        <v>66</v>
      </c>
      <c r="H513" t="s">
        <v>36</v>
      </c>
      <c r="I513" t="s">
        <v>2459</v>
      </c>
      <c r="J513" t="s">
        <v>38</v>
      </c>
      <c r="K513" t="s">
        <v>39</v>
      </c>
      <c r="L513" t="s">
        <v>2460</v>
      </c>
      <c r="M513">
        <v>412.26</v>
      </c>
      <c r="N513">
        <v>39</v>
      </c>
      <c r="O513" t="s">
        <v>2461</v>
      </c>
      <c r="P513" t="s">
        <v>84</v>
      </c>
      <c r="Q513" t="s">
        <v>702</v>
      </c>
      <c r="R513" t="s">
        <v>86</v>
      </c>
      <c r="S513" t="s">
        <v>126</v>
      </c>
      <c r="T513" t="s">
        <v>119</v>
      </c>
      <c r="U513">
        <v>3650</v>
      </c>
      <c r="V513">
        <v>408</v>
      </c>
      <c r="W513">
        <v>27</v>
      </c>
      <c r="X513">
        <v>1728.03</v>
      </c>
      <c r="Y513">
        <v>49.34</v>
      </c>
      <c r="Z513">
        <v>1777.37</v>
      </c>
      <c r="AA513" t="s">
        <v>62</v>
      </c>
      <c r="AB513">
        <v>0</v>
      </c>
      <c r="AC513">
        <v>90.54</v>
      </c>
      <c r="AD513">
        <v>307</v>
      </c>
      <c r="AE513">
        <v>341</v>
      </c>
    </row>
    <row r="514" spans="1:31" x14ac:dyDescent="0.25">
      <c r="A514" t="s">
        <v>2462</v>
      </c>
      <c r="B514" t="s">
        <v>2463</v>
      </c>
      <c r="C514" s="1">
        <v>43988</v>
      </c>
      <c r="D514" s="1">
        <v>44289</v>
      </c>
      <c r="E514" t="s">
        <v>65</v>
      </c>
      <c r="F514" t="s">
        <v>146</v>
      </c>
      <c r="G514" t="s">
        <v>113</v>
      </c>
      <c r="H514" t="s">
        <v>221</v>
      </c>
      <c r="I514" t="s">
        <v>2464</v>
      </c>
      <c r="J514" t="s">
        <v>38</v>
      </c>
      <c r="K514" t="s">
        <v>39</v>
      </c>
      <c r="L514" t="s">
        <v>2465</v>
      </c>
      <c r="M514">
        <v>318.23</v>
      </c>
      <c r="N514">
        <v>68</v>
      </c>
      <c r="O514" t="s">
        <v>2229</v>
      </c>
      <c r="P514" t="s">
        <v>42</v>
      </c>
      <c r="Q514" t="s">
        <v>43</v>
      </c>
      <c r="R514" t="s">
        <v>86</v>
      </c>
      <c r="S514" t="s">
        <v>45</v>
      </c>
      <c r="T514" t="s">
        <v>378</v>
      </c>
      <c r="U514">
        <v>491</v>
      </c>
      <c r="V514">
        <v>242</v>
      </c>
      <c r="W514">
        <v>6</v>
      </c>
      <c r="X514">
        <v>145.46</v>
      </c>
      <c r="Y514">
        <v>135.18</v>
      </c>
      <c r="Z514">
        <v>280.64</v>
      </c>
      <c r="AA514" t="s">
        <v>62</v>
      </c>
      <c r="AB514">
        <v>0</v>
      </c>
      <c r="AC514">
        <v>84.62</v>
      </c>
      <c r="AD514">
        <v>305</v>
      </c>
      <c r="AE514">
        <v>303</v>
      </c>
    </row>
    <row r="515" spans="1:31" x14ac:dyDescent="0.25">
      <c r="A515" t="s">
        <v>2466</v>
      </c>
      <c r="B515" t="s">
        <v>2467</v>
      </c>
      <c r="C515" s="1">
        <v>44098</v>
      </c>
      <c r="D515" s="1">
        <v>44041</v>
      </c>
      <c r="E515" t="s">
        <v>50</v>
      </c>
      <c r="F515" t="s">
        <v>146</v>
      </c>
      <c r="G515" t="s">
        <v>113</v>
      </c>
      <c r="H515" t="s">
        <v>221</v>
      </c>
      <c r="I515" t="s">
        <v>2468</v>
      </c>
      <c r="J515" t="s">
        <v>165</v>
      </c>
      <c r="K515" t="s">
        <v>166</v>
      </c>
      <c r="L515" t="s">
        <v>2469</v>
      </c>
      <c r="M515">
        <v>326.58999999999997</v>
      </c>
      <c r="N515">
        <v>7</v>
      </c>
      <c r="O515" t="s">
        <v>808</v>
      </c>
      <c r="P515" t="s">
        <v>42</v>
      </c>
      <c r="Q515" t="s">
        <v>184</v>
      </c>
      <c r="R515" t="s">
        <v>86</v>
      </c>
      <c r="S515" t="s">
        <v>126</v>
      </c>
      <c r="T515" t="s">
        <v>192</v>
      </c>
      <c r="U515">
        <v>4932</v>
      </c>
      <c r="V515">
        <v>209</v>
      </c>
      <c r="W515">
        <v>28</v>
      </c>
      <c r="X515">
        <v>348.55</v>
      </c>
      <c r="Y515">
        <v>134.19999999999999</v>
      </c>
      <c r="Z515">
        <v>482.75</v>
      </c>
      <c r="AA515" t="s">
        <v>62</v>
      </c>
      <c r="AB515">
        <v>0</v>
      </c>
      <c r="AC515">
        <v>95.92</v>
      </c>
      <c r="AD515">
        <v>495</v>
      </c>
      <c r="AE515">
        <v>506</v>
      </c>
    </row>
    <row r="516" spans="1:31" x14ac:dyDescent="0.25">
      <c r="A516" t="s">
        <v>2470</v>
      </c>
      <c r="B516" t="s">
        <v>2471</v>
      </c>
      <c r="C516" s="1">
        <v>45532</v>
      </c>
      <c r="D516" s="1">
        <v>45018</v>
      </c>
      <c r="E516" t="s">
        <v>65</v>
      </c>
      <c r="F516" t="s">
        <v>51</v>
      </c>
      <c r="G516" t="s">
        <v>102</v>
      </c>
      <c r="H516" t="s">
        <v>53</v>
      </c>
      <c r="I516" t="s">
        <v>724</v>
      </c>
      <c r="J516" t="s">
        <v>38</v>
      </c>
      <c r="K516" t="s">
        <v>338</v>
      </c>
      <c r="L516" t="s">
        <v>725</v>
      </c>
      <c r="M516">
        <v>366.12</v>
      </c>
      <c r="N516">
        <v>47</v>
      </c>
      <c r="O516" t="s">
        <v>2472</v>
      </c>
      <c r="P516" t="s">
        <v>42</v>
      </c>
      <c r="Q516" t="s">
        <v>980</v>
      </c>
      <c r="R516" t="s">
        <v>44</v>
      </c>
      <c r="S516" t="s">
        <v>98</v>
      </c>
      <c r="T516" t="s">
        <v>738</v>
      </c>
      <c r="U516">
        <v>357</v>
      </c>
      <c r="V516">
        <v>464</v>
      </c>
      <c r="W516">
        <v>2</v>
      </c>
      <c r="X516">
        <v>1015.74</v>
      </c>
      <c r="Y516">
        <v>73.2</v>
      </c>
      <c r="Z516">
        <v>1088.94</v>
      </c>
      <c r="AA516" t="s">
        <v>62</v>
      </c>
      <c r="AB516">
        <v>0</v>
      </c>
      <c r="AC516">
        <v>95.87</v>
      </c>
      <c r="AD516">
        <v>456</v>
      </c>
      <c r="AE516">
        <v>482</v>
      </c>
    </row>
    <row r="517" spans="1:31" x14ac:dyDescent="0.25">
      <c r="A517" t="s">
        <v>2473</v>
      </c>
      <c r="B517" t="s">
        <v>2474</v>
      </c>
      <c r="C517" s="1">
        <v>45373</v>
      </c>
      <c r="D517" s="1">
        <v>45448</v>
      </c>
      <c r="E517" t="s">
        <v>65</v>
      </c>
      <c r="F517" t="s">
        <v>91</v>
      </c>
      <c r="G517" t="s">
        <v>343</v>
      </c>
      <c r="H517" t="s">
        <v>114</v>
      </c>
      <c r="I517" t="s">
        <v>2445</v>
      </c>
      <c r="J517" t="s">
        <v>38</v>
      </c>
      <c r="K517" t="s">
        <v>55</v>
      </c>
      <c r="L517" t="s">
        <v>2446</v>
      </c>
      <c r="M517">
        <v>152.36000000000001</v>
      </c>
      <c r="N517">
        <v>85</v>
      </c>
      <c r="O517" t="s">
        <v>490</v>
      </c>
      <c r="P517" t="s">
        <v>58</v>
      </c>
      <c r="Q517" t="s">
        <v>169</v>
      </c>
      <c r="R517" t="s">
        <v>86</v>
      </c>
      <c r="S517" t="s">
        <v>126</v>
      </c>
      <c r="T517" t="s">
        <v>910</v>
      </c>
      <c r="U517">
        <v>669</v>
      </c>
      <c r="V517">
        <v>101</v>
      </c>
      <c r="W517">
        <v>6</v>
      </c>
      <c r="X517">
        <v>1097.06</v>
      </c>
      <c r="Y517">
        <v>487</v>
      </c>
      <c r="Z517">
        <v>1584.06</v>
      </c>
      <c r="AA517" t="s">
        <v>62</v>
      </c>
      <c r="AB517">
        <v>0</v>
      </c>
      <c r="AC517">
        <v>80.650000000000006</v>
      </c>
      <c r="AD517">
        <v>413</v>
      </c>
      <c r="AE517">
        <v>414</v>
      </c>
    </row>
    <row r="518" spans="1:31" x14ac:dyDescent="0.25">
      <c r="A518" t="s">
        <v>2475</v>
      </c>
      <c r="B518" t="s">
        <v>2476</v>
      </c>
      <c r="C518" s="1">
        <v>44135</v>
      </c>
      <c r="D518" s="1">
        <v>44742</v>
      </c>
      <c r="E518" t="s">
        <v>50</v>
      </c>
      <c r="F518" t="s">
        <v>51</v>
      </c>
      <c r="G518" t="s">
        <v>66</v>
      </c>
      <c r="H518" t="s">
        <v>114</v>
      </c>
      <c r="I518" t="s">
        <v>2464</v>
      </c>
      <c r="J518" t="s">
        <v>38</v>
      </c>
      <c r="K518" t="s">
        <v>39</v>
      </c>
      <c r="L518" t="s">
        <v>2465</v>
      </c>
      <c r="M518">
        <v>237.21</v>
      </c>
      <c r="N518">
        <v>53</v>
      </c>
      <c r="O518" t="s">
        <v>2477</v>
      </c>
      <c r="P518" t="s">
        <v>84</v>
      </c>
      <c r="Q518" t="s">
        <v>408</v>
      </c>
      <c r="R518" t="s">
        <v>60</v>
      </c>
      <c r="S518" t="s">
        <v>126</v>
      </c>
      <c r="T518" t="s">
        <v>198</v>
      </c>
      <c r="U518">
        <v>2243</v>
      </c>
      <c r="V518">
        <v>107</v>
      </c>
      <c r="W518">
        <v>10</v>
      </c>
      <c r="X518">
        <v>535.33000000000004</v>
      </c>
      <c r="Y518">
        <v>262.31</v>
      </c>
      <c r="Z518">
        <v>797.6400000000001</v>
      </c>
      <c r="AA518" t="s">
        <v>62</v>
      </c>
      <c r="AB518">
        <v>0</v>
      </c>
      <c r="AC518">
        <v>86</v>
      </c>
      <c r="AD518">
        <v>196</v>
      </c>
      <c r="AE518">
        <v>150</v>
      </c>
    </row>
    <row r="519" spans="1:31" x14ac:dyDescent="0.25">
      <c r="A519" t="s">
        <v>2478</v>
      </c>
      <c r="B519" t="s">
        <v>1887</v>
      </c>
      <c r="C519" s="1">
        <v>44149</v>
      </c>
      <c r="D519" s="1">
        <v>44670</v>
      </c>
      <c r="E519" t="s">
        <v>50</v>
      </c>
      <c r="F519" t="s">
        <v>77</v>
      </c>
      <c r="G519" t="s">
        <v>52</v>
      </c>
      <c r="H519" t="s">
        <v>221</v>
      </c>
      <c r="I519" t="s">
        <v>2479</v>
      </c>
      <c r="J519" t="s">
        <v>165</v>
      </c>
      <c r="K519" t="s">
        <v>166</v>
      </c>
      <c r="L519" t="s">
        <v>2480</v>
      </c>
      <c r="M519">
        <v>6.86</v>
      </c>
      <c r="N519">
        <v>65</v>
      </c>
      <c r="O519" t="s">
        <v>2481</v>
      </c>
      <c r="P519" t="s">
        <v>108</v>
      </c>
      <c r="Q519" t="s">
        <v>151</v>
      </c>
      <c r="R519" t="s">
        <v>152</v>
      </c>
      <c r="S519" t="s">
        <v>98</v>
      </c>
      <c r="T519" t="s">
        <v>1229</v>
      </c>
      <c r="U519">
        <v>4859</v>
      </c>
      <c r="V519">
        <v>342</v>
      </c>
      <c r="W519">
        <v>19</v>
      </c>
      <c r="X519">
        <v>770.51</v>
      </c>
      <c r="Y519">
        <v>51.78</v>
      </c>
      <c r="Z519">
        <v>822.29</v>
      </c>
      <c r="AA519" t="s">
        <v>62</v>
      </c>
      <c r="AB519">
        <v>0</v>
      </c>
      <c r="AC519">
        <v>88.27</v>
      </c>
      <c r="AD519">
        <v>386</v>
      </c>
      <c r="AE519">
        <v>359</v>
      </c>
    </row>
    <row r="520" spans="1:31" x14ac:dyDescent="0.25">
      <c r="A520" t="s">
        <v>2482</v>
      </c>
      <c r="B520" t="s">
        <v>2483</v>
      </c>
      <c r="C520" s="1">
        <v>44412</v>
      </c>
      <c r="D520" s="1">
        <v>45114</v>
      </c>
      <c r="E520" t="s">
        <v>50</v>
      </c>
      <c r="F520" t="s">
        <v>146</v>
      </c>
      <c r="G520" t="s">
        <v>92</v>
      </c>
      <c r="H520" t="s">
        <v>147</v>
      </c>
      <c r="I520" t="s">
        <v>2484</v>
      </c>
      <c r="J520" t="s">
        <v>165</v>
      </c>
      <c r="K520" t="s">
        <v>166</v>
      </c>
      <c r="L520" t="s">
        <v>2485</v>
      </c>
      <c r="M520">
        <v>178.29</v>
      </c>
      <c r="N520">
        <v>39</v>
      </c>
      <c r="O520" t="s">
        <v>2486</v>
      </c>
      <c r="P520" t="s">
        <v>42</v>
      </c>
      <c r="Q520" t="s">
        <v>238</v>
      </c>
      <c r="R520" t="s">
        <v>44</v>
      </c>
      <c r="S520" t="s">
        <v>98</v>
      </c>
      <c r="T520" t="s">
        <v>721</v>
      </c>
      <c r="U520">
        <v>4093</v>
      </c>
      <c r="V520">
        <v>95</v>
      </c>
      <c r="W520">
        <v>3</v>
      </c>
      <c r="X520">
        <v>1690.7</v>
      </c>
      <c r="Y520">
        <v>479.76</v>
      </c>
      <c r="Z520">
        <v>2170.46</v>
      </c>
      <c r="AA520" t="s">
        <v>62</v>
      </c>
      <c r="AB520">
        <v>0</v>
      </c>
      <c r="AC520">
        <v>88.9</v>
      </c>
      <c r="AD520">
        <v>455</v>
      </c>
      <c r="AE520">
        <v>470</v>
      </c>
    </row>
    <row r="521" spans="1:31" x14ac:dyDescent="0.25">
      <c r="A521" t="s">
        <v>2487</v>
      </c>
      <c r="B521" t="s">
        <v>2488</v>
      </c>
      <c r="C521" s="1">
        <v>45587</v>
      </c>
      <c r="D521" s="1">
        <v>45366</v>
      </c>
      <c r="E521" t="s">
        <v>65</v>
      </c>
      <c r="F521" t="s">
        <v>91</v>
      </c>
      <c r="G521" t="s">
        <v>78</v>
      </c>
      <c r="H521" t="s">
        <v>79</v>
      </c>
      <c r="I521" t="s">
        <v>2489</v>
      </c>
      <c r="J521" t="s">
        <v>38</v>
      </c>
      <c r="K521" t="s">
        <v>338</v>
      </c>
      <c r="L521" t="s">
        <v>2490</v>
      </c>
      <c r="M521">
        <v>137.11000000000001</v>
      </c>
      <c r="N521">
        <v>7</v>
      </c>
      <c r="O521" t="s">
        <v>2491</v>
      </c>
      <c r="P521" t="s">
        <v>42</v>
      </c>
      <c r="Q521" t="s">
        <v>266</v>
      </c>
      <c r="R521" t="s">
        <v>152</v>
      </c>
      <c r="S521" t="s">
        <v>45</v>
      </c>
      <c r="T521" t="s">
        <v>259</v>
      </c>
      <c r="U521">
        <v>4524</v>
      </c>
      <c r="V521">
        <v>242</v>
      </c>
      <c r="W521">
        <v>1</v>
      </c>
      <c r="X521">
        <v>879.67</v>
      </c>
      <c r="Y521">
        <v>420.16</v>
      </c>
      <c r="Z521">
        <v>1299.83</v>
      </c>
      <c r="AA521" t="s">
        <v>62</v>
      </c>
      <c r="AB521">
        <v>0</v>
      </c>
      <c r="AC521">
        <v>72.59</v>
      </c>
      <c r="AD521">
        <v>318</v>
      </c>
      <c r="AE521">
        <v>340</v>
      </c>
    </row>
    <row r="522" spans="1:31" x14ac:dyDescent="0.25">
      <c r="A522" t="s">
        <v>2492</v>
      </c>
      <c r="B522" t="s">
        <v>2493</v>
      </c>
      <c r="C522" s="1">
        <v>43912</v>
      </c>
      <c r="D522" s="1">
        <v>44598</v>
      </c>
      <c r="E522" t="s">
        <v>50</v>
      </c>
      <c r="F522" t="s">
        <v>91</v>
      </c>
      <c r="G522" t="s">
        <v>92</v>
      </c>
      <c r="H522" t="s">
        <v>53</v>
      </c>
      <c r="I522" t="s">
        <v>2494</v>
      </c>
      <c r="J522" t="s">
        <v>38</v>
      </c>
      <c r="K522" t="s">
        <v>94</v>
      </c>
      <c r="L522" t="s">
        <v>2495</v>
      </c>
      <c r="M522">
        <v>46.79</v>
      </c>
      <c r="N522">
        <v>11</v>
      </c>
      <c r="O522" t="s">
        <v>2496</v>
      </c>
      <c r="P522" t="s">
        <v>58</v>
      </c>
      <c r="Q522" t="s">
        <v>191</v>
      </c>
      <c r="R522" t="s">
        <v>86</v>
      </c>
      <c r="S522" t="s">
        <v>87</v>
      </c>
      <c r="T522" t="s">
        <v>127</v>
      </c>
      <c r="U522">
        <v>4661</v>
      </c>
      <c r="V522">
        <v>345</v>
      </c>
      <c r="W522">
        <v>28</v>
      </c>
      <c r="X522">
        <v>1396.91</v>
      </c>
      <c r="Y522">
        <v>190.68</v>
      </c>
      <c r="Z522">
        <v>1587.59</v>
      </c>
      <c r="AA522" t="s">
        <v>62</v>
      </c>
      <c r="AB522">
        <v>0</v>
      </c>
      <c r="AC522">
        <v>84.07</v>
      </c>
      <c r="AD522">
        <v>309</v>
      </c>
      <c r="AE522">
        <v>296</v>
      </c>
    </row>
    <row r="523" spans="1:31" x14ac:dyDescent="0.25">
      <c r="A523" t="s">
        <v>2497</v>
      </c>
      <c r="B523" t="s">
        <v>2498</v>
      </c>
      <c r="C523" s="1">
        <v>44646</v>
      </c>
      <c r="D523" s="1">
        <v>45432</v>
      </c>
      <c r="E523" t="s">
        <v>50</v>
      </c>
      <c r="F523" t="s">
        <v>77</v>
      </c>
      <c r="G523" t="s">
        <v>78</v>
      </c>
      <c r="H523" t="s">
        <v>36</v>
      </c>
      <c r="I523" t="s">
        <v>2499</v>
      </c>
      <c r="J523" t="s">
        <v>38</v>
      </c>
      <c r="K523" t="s">
        <v>55</v>
      </c>
      <c r="L523" t="s">
        <v>1612</v>
      </c>
      <c r="M523">
        <v>68.64</v>
      </c>
      <c r="N523">
        <v>73</v>
      </c>
      <c r="O523" t="s">
        <v>921</v>
      </c>
      <c r="P523" t="s">
        <v>58</v>
      </c>
      <c r="Q523" t="s">
        <v>295</v>
      </c>
      <c r="R523" t="s">
        <v>86</v>
      </c>
      <c r="S523" t="s">
        <v>45</v>
      </c>
      <c r="T523" t="s">
        <v>644</v>
      </c>
      <c r="U523">
        <v>216</v>
      </c>
      <c r="V523">
        <v>242</v>
      </c>
      <c r="W523">
        <v>15</v>
      </c>
      <c r="X523">
        <v>464.35</v>
      </c>
      <c r="Y523">
        <v>121.07</v>
      </c>
      <c r="Z523">
        <v>585.42000000000007</v>
      </c>
      <c r="AA523" t="s">
        <v>62</v>
      </c>
      <c r="AB523">
        <v>0</v>
      </c>
      <c r="AC523">
        <v>80.599999999999994</v>
      </c>
      <c r="AD523">
        <v>353</v>
      </c>
      <c r="AE523">
        <v>348</v>
      </c>
    </row>
    <row r="524" spans="1:31" x14ac:dyDescent="0.25">
      <c r="A524" t="s">
        <v>2500</v>
      </c>
      <c r="B524" t="s">
        <v>2501</v>
      </c>
      <c r="C524" s="1">
        <v>45591</v>
      </c>
      <c r="D524" s="1">
        <v>43905</v>
      </c>
      <c r="E524" t="s">
        <v>50</v>
      </c>
      <c r="F524" t="s">
        <v>77</v>
      </c>
      <c r="G524" t="s">
        <v>52</v>
      </c>
      <c r="H524" t="s">
        <v>114</v>
      </c>
      <c r="I524" t="s">
        <v>2502</v>
      </c>
      <c r="J524" t="s">
        <v>38</v>
      </c>
      <c r="K524" t="s">
        <v>55</v>
      </c>
      <c r="L524" t="s">
        <v>2503</v>
      </c>
      <c r="M524">
        <v>410.55</v>
      </c>
      <c r="N524">
        <v>87</v>
      </c>
      <c r="O524" t="s">
        <v>1157</v>
      </c>
      <c r="P524" t="s">
        <v>108</v>
      </c>
      <c r="Q524" t="s">
        <v>708</v>
      </c>
      <c r="R524" t="s">
        <v>152</v>
      </c>
      <c r="S524" t="s">
        <v>73</v>
      </c>
      <c r="T524" t="s">
        <v>74</v>
      </c>
      <c r="U524">
        <v>3231</v>
      </c>
      <c r="V524">
        <v>267</v>
      </c>
      <c r="W524">
        <v>29</v>
      </c>
      <c r="X524">
        <v>673.93</v>
      </c>
      <c r="Y524">
        <v>321</v>
      </c>
      <c r="Z524">
        <v>994.93</v>
      </c>
      <c r="AA524" t="s">
        <v>62</v>
      </c>
      <c r="AB524">
        <v>0</v>
      </c>
      <c r="AC524">
        <v>89.43</v>
      </c>
      <c r="AD524">
        <v>244</v>
      </c>
      <c r="AE524">
        <v>264</v>
      </c>
    </row>
    <row r="525" spans="1:31" x14ac:dyDescent="0.25">
      <c r="A525" t="s">
        <v>2504</v>
      </c>
      <c r="B525" t="s">
        <v>2505</v>
      </c>
      <c r="C525" s="1">
        <v>45422</v>
      </c>
      <c r="D525" s="1">
        <v>44441</v>
      </c>
      <c r="E525" t="s">
        <v>50</v>
      </c>
      <c r="F525" t="s">
        <v>146</v>
      </c>
      <c r="G525" t="s">
        <v>102</v>
      </c>
      <c r="H525" t="s">
        <v>114</v>
      </c>
      <c r="I525" t="s">
        <v>2506</v>
      </c>
      <c r="J525" t="s">
        <v>38</v>
      </c>
      <c r="K525" t="s">
        <v>39</v>
      </c>
      <c r="L525" t="s">
        <v>2507</v>
      </c>
      <c r="M525">
        <v>248.01</v>
      </c>
      <c r="N525">
        <v>93</v>
      </c>
      <c r="O525" t="s">
        <v>2456</v>
      </c>
      <c r="P525" t="s">
        <v>141</v>
      </c>
      <c r="Q525" t="s">
        <v>1244</v>
      </c>
      <c r="R525" t="s">
        <v>60</v>
      </c>
      <c r="S525" t="s">
        <v>126</v>
      </c>
      <c r="T525" t="s">
        <v>192</v>
      </c>
      <c r="U525">
        <v>4709</v>
      </c>
      <c r="V525">
        <v>402</v>
      </c>
      <c r="W525">
        <v>2</v>
      </c>
      <c r="X525">
        <v>1913.58</v>
      </c>
      <c r="Y525">
        <v>261.77</v>
      </c>
      <c r="Z525">
        <v>2175.35</v>
      </c>
      <c r="AA525" t="s">
        <v>62</v>
      </c>
      <c r="AB525">
        <v>0</v>
      </c>
      <c r="AC525">
        <v>79.900000000000006</v>
      </c>
      <c r="AD525">
        <v>490</v>
      </c>
      <c r="AE525">
        <v>482</v>
      </c>
    </row>
    <row r="526" spans="1:31" x14ac:dyDescent="0.25">
      <c r="A526" t="s">
        <v>2508</v>
      </c>
      <c r="B526" t="s">
        <v>2509</v>
      </c>
      <c r="C526" s="1">
        <v>45000</v>
      </c>
      <c r="D526" s="1">
        <v>43973</v>
      </c>
      <c r="E526" t="s">
        <v>65</v>
      </c>
      <c r="F526" t="s">
        <v>77</v>
      </c>
      <c r="G526" t="s">
        <v>66</v>
      </c>
      <c r="H526" t="s">
        <v>36</v>
      </c>
      <c r="I526" t="s">
        <v>2510</v>
      </c>
      <c r="J526" t="s">
        <v>38</v>
      </c>
      <c r="K526" t="s">
        <v>735</v>
      </c>
      <c r="L526" t="s">
        <v>2511</v>
      </c>
      <c r="M526">
        <v>224.71</v>
      </c>
      <c r="N526">
        <v>40</v>
      </c>
      <c r="O526" t="s">
        <v>527</v>
      </c>
      <c r="P526" t="s">
        <v>84</v>
      </c>
      <c r="Q526" t="s">
        <v>245</v>
      </c>
      <c r="R526" t="s">
        <v>86</v>
      </c>
      <c r="S526" t="s">
        <v>45</v>
      </c>
      <c r="T526" t="s">
        <v>916</v>
      </c>
      <c r="U526">
        <v>3512</v>
      </c>
      <c r="V526">
        <v>448</v>
      </c>
      <c r="W526">
        <v>8</v>
      </c>
      <c r="X526">
        <v>628.76</v>
      </c>
      <c r="Y526">
        <v>381.04</v>
      </c>
      <c r="Z526">
        <v>1009.8</v>
      </c>
      <c r="AA526" t="s">
        <v>62</v>
      </c>
      <c r="AB526">
        <v>0</v>
      </c>
      <c r="AC526">
        <v>81.87</v>
      </c>
      <c r="AD526">
        <v>254</v>
      </c>
      <c r="AE526">
        <v>301</v>
      </c>
    </row>
    <row r="527" spans="1:31" x14ac:dyDescent="0.25">
      <c r="A527" t="s">
        <v>2512</v>
      </c>
      <c r="B527" t="s">
        <v>2513</v>
      </c>
      <c r="C527" s="1">
        <v>44565</v>
      </c>
      <c r="D527" s="1">
        <v>45413</v>
      </c>
      <c r="E527" t="s">
        <v>50</v>
      </c>
      <c r="F527" t="s">
        <v>51</v>
      </c>
      <c r="G527" t="s">
        <v>35</v>
      </c>
      <c r="H527" t="s">
        <v>36</v>
      </c>
      <c r="I527" t="s">
        <v>2514</v>
      </c>
      <c r="J527" t="s">
        <v>165</v>
      </c>
      <c r="K527" t="s">
        <v>166</v>
      </c>
      <c r="L527" t="s">
        <v>2515</v>
      </c>
      <c r="M527">
        <v>319.88</v>
      </c>
      <c r="N527">
        <v>43</v>
      </c>
      <c r="O527" t="s">
        <v>2516</v>
      </c>
      <c r="P527" t="s">
        <v>108</v>
      </c>
      <c r="Q527" t="s">
        <v>109</v>
      </c>
      <c r="R527" t="s">
        <v>60</v>
      </c>
      <c r="S527" t="s">
        <v>87</v>
      </c>
      <c r="T527" t="s">
        <v>225</v>
      </c>
      <c r="U527">
        <v>4374</v>
      </c>
      <c r="V527">
        <v>70</v>
      </c>
      <c r="W527">
        <v>10</v>
      </c>
      <c r="X527">
        <v>1546.92</v>
      </c>
      <c r="Y527">
        <v>410.16</v>
      </c>
      <c r="Z527">
        <v>1957.08</v>
      </c>
      <c r="AA527" t="s">
        <v>62</v>
      </c>
      <c r="AB527">
        <v>0</v>
      </c>
      <c r="AC527">
        <v>70.62</v>
      </c>
      <c r="AD527">
        <v>77</v>
      </c>
      <c r="AE527">
        <v>61</v>
      </c>
    </row>
    <row r="528" spans="1:31" x14ac:dyDescent="0.25">
      <c r="A528" t="s">
        <v>2517</v>
      </c>
      <c r="B528" t="s">
        <v>2518</v>
      </c>
      <c r="C528" s="1">
        <v>44687</v>
      </c>
      <c r="D528" s="1">
        <v>44337</v>
      </c>
      <c r="E528" t="s">
        <v>65</v>
      </c>
      <c r="F528" t="s">
        <v>91</v>
      </c>
      <c r="G528" t="s">
        <v>35</v>
      </c>
      <c r="H528" t="s">
        <v>53</v>
      </c>
      <c r="I528" t="s">
        <v>2519</v>
      </c>
      <c r="J528" t="s">
        <v>38</v>
      </c>
      <c r="K528" t="s">
        <v>39</v>
      </c>
      <c r="L528" t="s">
        <v>2520</v>
      </c>
      <c r="M528">
        <v>386.09</v>
      </c>
      <c r="N528">
        <v>92</v>
      </c>
      <c r="O528" t="s">
        <v>2521</v>
      </c>
      <c r="P528" t="s">
        <v>42</v>
      </c>
      <c r="Q528" t="s">
        <v>191</v>
      </c>
      <c r="R528" t="s">
        <v>86</v>
      </c>
      <c r="S528" t="s">
        <v>73</v>
      </c>
      <c r="T528" t="s">
        <v>1004</v>
      </c>
      <c r="U528">
        <v>3737</v>
      </c>
      <c r="V528">
        <v>55</v>
      </c>
      <c r="W528">
        <v>19</v>
      </c>
      <c r="X528">
        <v>407.74</v>
      </c>
      <c r="Y528">
        <v>78.53</v>
      </c>
      <c r="Z528">
        <v>486.27</v>
      </c>
      <c r="AA528" t="s">
        <v>62</v>
      </c>
      <c r="AB528">
        <v>0</v>
      </c>
      <c r="AC528">
        <v>81.290000000000006</v>
      </c>
      <c r="AD528">
        <v>184</v>
      </c>
      <c r="AE528">
        <v>229</v>
      </c>
    </row>
    <row r="529" spans="1:31" x14ac:dyDescent="0.25">
      <c r="A529" t="s">
        <v>2522</v>
      </c>
      <c r="B529" t="s">
        <v>2523</v>
      </c>
      <c r="C529" s="1">
        <v>44306</v>
      </c>
      <c r="D529" s="1">
        <v>44474</v>
      </c>
      <c r="E529" t="s">
        <v>33</v>
      </c>
      <c r="F529" t="s">
        <v>77</v>
      </c>
      <c r="G529" t="s">
        <v>66</v>
      </c>
      <c r="H529" t="s">
        <v>163</v>
      </c>
      <c r="I529" t="s">
        <v>2524</v>
      </c>
      <c r="J529" t="s">
        <v>104</v>
      </c>
      <c r="K529" t="s">
        <v>181</v>
      </c>
      <c r="L529" t="s">
        <v>2525</v>
      </c>
      <c r="M529">
        <v>481.24</v>
      </c>
      <c r="N529">
        <v>29</v>
      </c>
      <c r="O529" t="s">
        <v>2526</v>
      </c>
      <c r="P529" t="s">
        <v>141</v>
      </c>
      <c r="Q529" t="s">
        <v>109</v>
      </c>
      <c r="R529" t="s">
        <v>44</v>
      </c>
      <c r="S529" t="s">
        <v>45</v>
      </c>
      <c r="T529" t="s">
        <v>644</v>
      </c>
      <c r="U529">
        <v>3630</v>
      </c>
      <c r="V529">
        <v>243</v>
      </c>
      <c r="W529">
        <v>7</v>
      </c>
      <c r="X529">
        <v>1066.9100000000001</v>
      </c>
      <c r="Y529">
        <v>325.58</v>
      </c>
      <c r="Z529">
        <v>1392.49</v>
      </c>
      <c r="AA529" t="s">
        <v>62</v>
      </c>
      <c r="AB529">
        <v>0</v>
      </c>
      <c r="AC529">
        <v>98.37</v>
      </c>
      <c r="AD529">
        <v>198</v>
      </c>
      <c r="AE529">
        <v>159</v>
      </c>
    </row>
    <row r="530" spans="1:31" x14ac:dyDescent="0.25">
      <c r="A530" t="s">
        <v>2527</v>
      </c>
      <c r="B530" t="s">
        <v>2528</v>
      </c>
      <c r="C530" s="1">
        <v>44413</v>
      </c>
      <c r="D530" s="1">
        <v>44550</v>
      </c>
      <c r="E530" t="s">
        <v>65</v>
      </c>
      <c r="F530" t="s">
        <v>51</v>
      </c>
      <c r="G530" t="s">
        <v>113</v>
      </c>
      <c r="H530" t="s">
        <v>221</v>
      </c>
      <c r="I530" t="s">
        <v>2529</v>
      </c>
      <c r="J530" t="s">
        <v>38</v>
      </c>
      <c r="K530" t="s">
        <v>338</v>
      </c>
      <c r="L530" t="s">
        <v>2530</v>
      </c>
      <c r="M530">
        <v>41.7</v>
      </c>
      <c r="N530">
        <v>93</v>
      </c>
      <c r="O530" t="s">
        <v>2187</v>
      </c>
      <c r="P530" t="s">
        <v>58</v>
      </c>
      <c r="Q530" t="s">
        <v>205</v>
      </c>
      <c r="R530" t="s">
        <v>60</v>
      </c>
      <c r="S530" t="s">
        <v>87</v>
      </c>
      <c r="T530" t="s">
        <v>296</v>
      </c>
      <c r="U530">
        <v>3258</v>
      </c>
      <c r="V530">
        <v>64</v>
      </c>
      <c r="W530">
        <v>14</v>
      </c>
      <c r="X530">
        <v>1318.52</v>
      </c>
      <c r="Y530">
        <v>464.98</v>
      </c>
      <c r="Z530">
        <v>1783.5</v>
      </c>
      <c r="AA530" t="s">
        <v>62</v>
      </c>
      <c r="AB530">
        <v>0</v>
      </c>
      <c r="AC530">
        <v>81.150000000000006</v>
      </c>
      <c r="AD530">
        <v>213</v>
      </c>
      <c r="AE530">
        <v>180</v>
      </c>
    </row>
    <row r="531" spans="1:31" x14ac:dyDescent="0.25">
      <c r="A531" t="s">
        <v>2531</v>
      </c>
      <c r="B531" t="s">
        <v>2532</v>
      </c>
      <c r="C531" s="1">
        <v>44605</v>
      </c>
      <c r="D531" s="1">
        <v>45460</v>
      </c>
      <c r="E531" t="s">
        <v>50</v>
      </c>
      <c r="F531" t="s">
        <v>91</v>
      </c>
      <c r="G531" t="s">
        <v>113</v>
      </c>
      <c r="H531" t="s">
        <v>221</v>
      </c>
      <c r="I531" t="s">
        <v>2533</v>
      </c>
      <c r="J531" t="s">
        <v>38</v>
      </c>
      <c r="K531" t="s">
        <v>39</v>
      </c>
      <c r="L531" t="s">
        <v>2534</v>
      </c>
      <c r="M531">
        <v>178.03</v>
      </c>
      <c r="N531">
        <v>57</v>
      </c>
      <c r="O531" t="s">
        <v>2535</v>
      </c>
      <c r="P531" t="s">
        <v>42</v>
      </c>
      <c r="Q531" t="s">
        <v>464</v>
      </c>
      <c r="R531" t="s">
        <v>44</v>
      </c>
      <c r="S531" t="s">
        <v>45</v>
      </c>
      <c r="T531" t="s">
        <v>426</v>
      </c>
      <c r="U531">
        <v>859</v>
      </c>
      <c r="V531">
        <v>414</v>
      </c>
      <c r="W531">
        <v>16</v>
      </c>
      <c r="X531">
        <v>945.05</v>
      </c>
      <c r="Y531">
        <v>257.05</v>
      </c>
      <c r="Z531">
        <v>1202.0999999999999</v>
      </c>
      <c r="AA531" t="s">
        <v>62</v>
      </c>
      <c r="AB531">
        <v>0</v>
      </c>
      <c r="AC531">
        <v>98.5</v>
      </c>
      <c r="AD531">
        <v>391</v>
      </c>
      <c r="AE531">
        <v>439</v>
      </c>
    </row>
    <row r="532" spans="1:31" x14ac:dyDescent="0.25">
      <c r="A532" t="s">
        <v>2536</v>
      </c>
      <c r="B532" t="s">
        <v>2537</v>
      </c>
      <c r="C532" s="1">
        <v>44887</v>
      </c>
      <c r="D532" s="1">
        <v>44128</v>
      </c>
      <c r="E532" t="s">
        <v>33</v>
      </c>
      <c r="F532" t="s">
        <v>146</v>
      </c>
      <c r="G532" t="s">
        <v>92</v>
      </c>
      <c r="H532" t="s">
        <v>221</v>
      </c>
      <c r="I532" t="s">
        <v>2538</v>
      </c>
      <c r="J532" t="s">
        <v>104</v>
      </c>
      <c r="K532" t="s">
        <v>229</v>
      </c>
      <c r="L532" t="s">
        <v>2539</v>
      </c>
      <c r="M532">
        <v>249.47</v>
      </c>
      <c r="N532">
        <v>90</v>
      </c>
      <c r="O532" t="s">
        <v>1697</v>
      </c>
      <c r="P532" t="s">
        <v>141</v>
      </c>
      <c r="Q532" t="s">
        <v>389</v>
      </c>
      <c r="R532" t="s">
        <v>152</v>
      </c>
      <c r="S532" t="s">
        <v>87</v>
      </c>
      <c r="T532" t="s">
        <v>916</v>
      </c>
      <c r="U532">
        <v>1496</v>
      </c>
      <c r="V532">
        <v>486</v>
      </c>
      <c r="W532">
        <v>6</v>
      </c>
      <c r="X532">
        <v>1092.22</v>
      </c>
      <c r="Y532">
        <v>289.64999999999998</v>
      </c>
      <c r="Z532">
        <v>1381.87</v>
      </c>
      <c r="AA532" t="s">
        <v>62</v>
      </c>
      <c r="AB532">
        <v>0</v>
      </c>
      <c r="AC532">
        <v>98.87</v>
      </c>
      <c r="AD532">
        <v>468</v>
      </c>
      <c r="AE532">
        <v>509</v>
      </c>
    </row>
    <row r="533" spans="1:31" x14ac:dyDescent="0.25">
      <c r="A533" t="s">
        <v>2540</v>
      </c>
      <c r="B533" t="s">
        <v>2541</v>
      </c>
      <c r="C533" s="1">
        <v>45512</v>
      </c>
      <c r="D533" s="1">
        <v>45506</v>
      </c>
      <c r="E533" t="s">
        <v>65</v>
      </c>
      <c r="F533" t="s">
        <v>34</v>
      </c>
      <c r="G533" t="s">
        <v>66</v>
      </c>
      <c r="H533" t="s">
        <v>79</v>
      </c>
      <c r="I533" t="s">
        <v>2542</v>
      </c>
      <c r="J533" t="s">
        <v>104</v>
      </c>
      <c r="K533" t="s">
        <v>105</v>
      </c>
      <c r="L533" t="s">
        <v>2543</v>
      </c>
      <c r="M533">
        <v>277.82</v>
      </c>
      <c r="N533">
        <v>79</v>
      </c>
      <c r="O533" t="s">
        <v>2544</v>
      </c>
      <c r="P533" t="s">
        <v>42</v>
      </c>
      <c r="Q533" t="s">
        <v>425</v>
      </c>
      <c r="R533" t="s">
        <v>60</v>
      </c>
      <c r="S533" t="s">
        <v>45</v>
      </c>
      <c r="T533" t="s">
        <v>153</v>
      </c>
      <c r="U533">
        <v>4467</v>
      </c>
      <c r="V533">
        <v>276</v>
      </c>
      <c r="W533">
        <v>20</v>
      </c>
      <c r="X533">
        <v>120.24</v>
      </c>
      <c r="Y533">
        <v>243.77</v>
      </c>
      <c r="Z533">
        <v>364.01</v>
      </c>
      <c r="AA533" t="s">
        <v>62</v>
      </c>
      <c r="AB533">
        <v>0</v>
      </c>
      <c r="AC533">
        <v>78.260000000000005</v>
      </c>
      <c r="AD533">
        <v>222</v>
      </c>
      <c r="AE533">
        <v>213</v>
      </c>
    </row>
    <row r="534" spans="1:31" x14ac:dyDescent="0.25">
      <c r="A534" t="s">
        <v>2545</v>
      </c>
      <c r="B534" t="s">
        <v>2546</v>
      </c>
      <c r="C534" s="1">
        <v>44929</v>
      </c>
      <c r="D534" s="1">
        <v>45593</v>
      </c>
      <c r="E534" t="s">
        <v>65</v>
      </c>
      <c r="F534" t="s">
        <v>77</v>
      </c>
      <c r="G534" t="s">
        <v>66</v>
      </c>
      <c r="H534" t="s">
        <v>53</v>
      </c>
      <c r="I534" t="s">
        <v>2547</v>
      </c>
      <c r="J534" t="s">
        <v>104</v>
      </c>
      <c r="K534" t="s">
        <v>105</v>
      </c>
      <c r="L534" t="s">
        <v>2548</v>
      </c>
      <c r="M534">
        <v>364.94</v>
      </c>
      <c r="N534">
        <v>93</v>
      </c>
      <c r="O534" t="s">
        <v>1293</v>
      </c>
      <c r="P534" t="s">
        <v>58</v>
      </c>
      <c r="Q534" t="s">
        <v>327</v>
      </c>
      <c r="R534" t="s">
        <v>86</v>
      </c>
      <c r="S534" t="s">
        <v>45</v>
      </c>
      <c r="T534" t="s">
        <v>334</v>
      </c>
      <c r="U534">
        <v>4825</v>
      </c>
      <c r="V534">
        <v>445</v>
      </c>
      <c r="W534">
        <v>21</v>
      </c>
      <c r="X534">
        <v>639.24</v>
      </c>
      <c r="Y534">
        <v>467.98</v>
      </c>
      <c r="Z534">
        <v>1107.22</v>
      </c>
      <c r="AA534" t="s">
        <v>62</v>
      </c>
      <c r="AB534">
        <v>0</v>
      </c>
      <c r="AC534">
        <v>96.7</v>
      </c>
      <c r="AD534">
        <v>495</v>
      </c>
      <c r="AE534">
        <v>506</v>
      </c>
    </row>
    <row r="535" spans="1:31" x14ac:dyDescent="0.25">
      <c r="A535" t="s">
        <v>2549</v>
      </c>
      <c r="B535" t="s">
        <v>2550</v>
      </c>
      <c r="C535" s="1">
        <v>44448</v>
      </c>
      <c r="D535" s="1">
        <v>45538</v>
      </c>
      <c r="E535" t="s">
        <v>65</v>
      </c>
      <c r="F535" t="s">
        <v>77</v>
      </c>
      <c r="G535" t="s">
        <v>52</v>
      </c>
      <c r="H535" t="s">
        <v>53</v>
      </c>
      <c r="I535" t="s">
        <v>2271</v>
      </c>
      <c r="J535" t="s">
        <v>38</v>
      </c>
      <c r="K535" t="s">
        <v>94</v>
      </c>
      <c r="L535" t="s">
        <v>2272</v>
      </c>
      <c r="M535">
        <v>156.07</v>
      </c>
      <c r="N535">
        <v>23</v>
      </c>
      <c r="O535" t="s">
        <v>2551</v>
      </c>
      <c r="P535" t="s">
        <v>84</v>
      </c>
      <c r="Q535" t="s">
        <v>613</v>
      </c>
      <c r="R535" t="s">
        <v>60</v>
      </c>
      <c r="S535" t="s">
        <v>98</v>
      </c>
      <c r="T535" t="s">
        <v>321</v>
      </c>
      <c r="U535">
        <v>151</v>
      </c>
      <c r="V535">
        <v>206</v>
      </c>
      <c r="W535">
        <v>9</v>
      </c>
      <c r="X535">
        <v>392.77</v>
      </c>
      <c r="Y535">
        <v>109.12</v>
      </c>
      <c r="Z535">
        <v>501.89</v>
      </c>
      <c r="AA535" t="s">
        <v>62</v>
      </c>
      <c r="AB535">
        <v>0</v>
      </c>
      <c r="AC535">
        <v>74.42</v>
      </c>
      <c r="AD535">
        <v>437</v>
      </c>
      <c r="AE535">
        <v>478</v>
      </c>
    </row>
    <row r="536" spans="1:31" x14ac:dyDescent="0.25">
      <c r="A536" t="s">
        <v>2552</v>
      </c>
      <c r="B536" t="s">
        <v>2553</v>
      </c>
      <c r="C536" s="1">
        <v>45030</v>
      </c>
      <c r="D536" s="1">
        <v>45473</v>
      </c>
      <c r="E536" t="s">
        <v>33</v>
      </c>
      <c r="F536" t="s">
        <v>34</v>
      </c>
      <c r="G536" t="s">
        <v>102</v>
      </c>
      <c r="H536" t="s">
        <v>36</v>
      </c>
      <c r="I536" t="s">
        <v>440</v>
      </c>
      <c r="J536" t="s">
        <v>38</v>
      </c>
      <c r="K536" t="s">
        <v>39</v>
      </c>
      <c r="L536" t="s">
        <v>441</v>
      </c>
      <c r="M536">
        <v>155.88</v>
      </c>
      <c r="N536">
        <v>60</v>
      </c>
      <c r="O536" t="s">
        <v>1407</v>
      </c>
      <c r="P536" t="s">
        <v>58</v>
      </c>
      <c r="Q536" t="s">
        <v>191</v>
      </c>
      <c r="R536" t="s">
        <v>44</v>
      </c>
      <c r="S536" t="s">
        <v>45</v>
      </c>
      <c r="T536" t="s">
        <v>347</v>
      </c>
      <c r="U536">
        <v>422</v>
      </c>
      <c r="V536">
        <v>401</v>
      </c>
      <c r="W536">
        <v>26</v>
      </c>
      <c r="X536">
        <v>573.34</v>
      </c>
      <c r="Y536">
        <v>147.33000000000001</v>
      </c>
      <c r="Z536">
        <v>720.67000000000007</v>
      </c>
      <c r="AA536" t="s">
        <v>62</v>
      </c>
      <c r="AB536">
        <v>0</v>
      </c>
      <c r="AC536">
        <v>89.32</v>
      </c>
      <c r="AD536">
        <v>452</v>
      </c>
      <c r="AE536">
        <v>433</v>
      </c>
    </row>
    <row r="537" spans="1:31" x14ac:dyDescent="0.25">
      <c r="A537" t="s">
        <v>2554</v>
      </c>
      <c r="B537" t="s">
        <v>2555</v>
      </c>
      <c r="C537" s="1">
        <v>44111</v>
      </c>
      <c r="D537" s="1">
        <v>44797</v>
      </c>
      <c r="E537" t="s">
        <v>65</v>
      </c>
      <c r="F537" t="s">
        <v>77</v>
      </c>
      <c r="G537" t="s">
        <v>52</v>
      </c>
      <c r="H537" t="s">
        <v>221</v>
      </c>
      <c r="I537" t="s">
        <v>2556</v>
      </c>
      <c r="J537" t="s">
        <v>38</v>
      </c>
      <c r="K537" t="s">
        <v>81</v>
      </c>
      <c r="L537" t="s">
        <v>2557</v>
      </c>
      <c r="M537">
        <v>129.77000000000001</v>
      </c>
      <c r="N537">
        <v>56</v>
      </c>
      <c r="O537" t="s">
        <v>2442</v>
      </c>
      <c r="P537" t="s">
        <v>108</v>
      </c>
      <c r="Q537" t="s">
        <v>295</v>
      </c>
      <c r="R537" t="s">
        <v>60</v>
      </c>
      <c r="S537" t="s">
        <v>126</v>
      </c>
      <c r="T537" t="s">
        <v>481</v>
      </c>
      <c r="U537">
        <v>58</v>
      </c>
      <c r="V537">
        <v>110</v>
      </c>
      <c r="W537">
        <v>16</v>
      </c>
      <c r="X537">
        <v>229.33</v>
      </c>
      <c r="Y537">
        <v>205.34</v>
      </c>
      <c r="Z537">
        <v>434.67</v>
      </c>
      <c r="AA537" t="s">
        <v>62</v>
      </c>
      <c r="AB537">
        <v>0</v>
      </c>
      <c r="AC537">
        <v>76.48</v>
      </c>
      <c r="AD537">
        <v>301</v>
      </c>
      <c r="AE537">
        <v>315</v>
      </c>
    </row>
    <row r="538" spans="1:31" x14ac:dyDescent="0.25">
      <c r="A538" t="s">
        <v>2558</v>
      </c>
      <c r="B538" t="s">
        <v>2336</v>
      </c>
      <c r="C538" s="1">
        <v>45180</v>
      </c>
      <c r="D538" s="1">
        <v>45640</v>
      </c>
      <c r="E538" t="s">
        <v>65</v>
      </c>
      <c r="F538" t="s">
        <v>146</v>
      </c>
      <c r="G538" t="s">
        <v>102</v>
      </c>
      <c r="H538" t="s">
        <v>221</v>
      </c>
      <c r="I538" t="s">
        <v>2559</v>
      </c>
      <c r="J538" t="s">
        <v>165</v>
      </c>
      <c r="K538" t="s">
        <v>166</v>
      </c>
      <c r="L538" t="s">
        <v>2560</v>
      </c>
      <c r="M538">
        <v>187.55</v>
      </c>
      <c r="N538">
        <v>80</v>
      </c>
      <c r="O538" t="s">
        <v>1243</v>
      </c>
      <c r="P538" t="s">
        <v>141</v>
      </c>
      <c r="Q538" t="s">
        <v>151</v>
      </c>
      <c r="R538" t="s">
        <v>152</v>
      </c>
      <c r="S538" t="s">
        <v>126</v>
      </c>
      <c r="T538" t="s">
        <v>308</v>
      </c>
      <c r="U538">
        <v>339</v>
      </c>
      <c r="V538">
        <v>80</v>
      </c>
      <c r="W538">
        <v>6</v>
      </c>
      <c r="X538">
        <v>1498.36</v>
      </c>
      <c r="Y538">
        <v>30.38</v>
      </c>
      <c r="Z538">
        <v>1528.74</v>
      </c>
      <c r="AA538" t="s">
        <v>62</v>
      </c>
      <c r="AB538">
        <v>0</v>
      </c>
      <c r="AC538">
        <v>71.95</v>
      </c>
      <c r="AD538">
        <v>366</v>
      </c>
      <c r="AE538">
        <v>375</v>
      </c>
    </row>
    <row r="539" spans="1:31" x14ac:dyDescent="0.25">
      <c r="A539" t="s">
        <v>2561</v>
      </c>
      <c r="B539" t="s">
        <v>2562</v>
      </c>
      <c r="C539" s="1">
        <v>45195</v>
      </c>
      <c r="D539" s="1">
        <v>45593</v>
      </c>
      <c r="E539" t="s">
        <v>65</v>
      </c>
      <c r="F539" t="s">
        <v>146</v>
      </c>
      <c r="G539" t="s">
        <v>78</v>
      </c>
      <c r="H539" t="s">
        <v>79</v>
      </c>
      <c r="I539" t="s">
        <v>2563</v>
      </c>
      <c r="J539" t="s">
        <v>165</v>
      </c>
      <c r="K539" t="s">
        <v>166</v>
      </c>
      <c r="L539" t="s">
        <v>2564</v>
      </c>
      <c r="M539">
        <v>191.76</v>
      </c>
      <c r="N539">
        <v>91</v>
      </c>
      <c r="O539" t="s">
        <v>2150</v>
      </c>
      <c r="P539" t="s">
        <v>141</v>
      </c>
      <c r="Q539" t="s">
        <v>408</v>
      </c>
      <c r="R539" t="s">
        <v>60</v>
      </c>
      <c r="S539" t="s">
        <v>45</v>
      </c>
      <c r="T539" t="s">
        <v>1168</v>
      </c>
      <c r="U539">
        <v>1014</v>
      </c>
      <c r="V539">
        <v>91</v>
      </c>
      <c r="W539">
        <v>7</v>
      </c>
      <c r="X539">
        <v>762.61</v>
      </c>
      <c r="Y539">
        <v>354.78</v>
      </c>
      <c r="Z539">
        <v>1117.3900000000001</v>
      </c>
      <c r="AA539" t="s">
        <v>62</v>
      </c>
      <c r="AB539">
        <v>0</v>
      </c>
      <c r="AC539">
        <v>95.74</v>
      </c>
      <c r="AD539">
        <v>90</v>
      </c>
      <c r="AE539">
        <v>119</v>
      </c>
    </row>
    <row r="540" spans="1:31" x14ac:dyDescent="0.25">
      <c r="A540" t="s">
        <v>2565</v>
      </c>
      <c r="B540" t="s">
        <v>2566</v>
      </c>
      <c r="C540" s="1">
        <v>44642</v>
      </c>
      <c r="D540" s="1">
        <v>44012</v>
      </c>
      <c r="E540" t="s">
        <v>65</v>
      </c>
      <c r="F540" t="s">
        <v>51</v>
      </c>
      <c r="G540" t="s">
        <v>78</v>
      </c>
      <c r="H540" t="s">
        <v>67</v>
      </c>
      <c r="I540" t="s">
        <v>2567</v>
      </c>
      <c r="J540" t="s">
        <v>104</v>
      </c>
      <c r="K540" t="s">
        <v>554</v>
      </c>
      <c r="L540" t="s">
        <v>2568</v>
      </c>
      <c r="M540">
        <v>214.07</v>
      </c>
      <c r="N540">
        <v>58</v>
      </c>
      <c r="O540" t="s">
        <v>2569</v>
      </c>
      <c r="P540" t="s">
        <v>42</v>
      </c>
      <c r="Q540" t="s">
        <v>232</v>
      </c>
      <c r="R540" t="s">
        <v>44</v>
      </c>
      <c r="S540" t="s">
        <v>126</v>
      </c>
      <c r="T540" t="s">
        <v>334</v>
      </c>
      <c r="U540">
        <v>850</v>
      </c>
      <c r="V540">
        <v>189</v>
      </c>
      <c r="W540">
        <v>5</v>
      </c>
      <c r="X540">
        <v>1949.72</v>
      </c>
      <c r="Y540">
        <v>248.79</v>
      </c>
      <c r="Z540">
        <v>2198.5100000000002</v>
      </c>
      <c r="AA540" t="s">
        <v>62</v>
      </c>
      <c r="AB540">
        <v>0</v>
      </c>
      <c r="AC540">
        <v>90.25</v>
      </c>
      <c r="AD540">
        <v>67</v>
      </c>
      <c r="AE540">
        <v>31</v>
      </c>
    </row>
    <row r="541" spans="1:31" x14ac:dyDescent="0.25">
      <c r="A541" t="s">
        <v>2570</v>
      </c>
      <c r="B541" t="s">
        <v>2571</v>
      </c>
      <c r="C541" s="1">
        <v>45055</v>
      </c>
      <c r="D541" s="1">
        <v>44017</v>
      </c>
      <c r="E541" t="s">
        <v>50</v>
      </c>
      <c r="F541" t="s">
        <v>146</v>
      </c>
      <c r="G541" t="s">
        <v>78</v>
      </c>
      <c r="H541" t="s">
        <v>163</v>
      </c>
      <c r="I541" t="s">
        <v>2572</v>
      </c>
      <c r="J541" t="s">
        <v>38</v>
      </c>
      <c r="K541" t="s">
        <v>55</v>
      </c>
      <c r="L541" t="s">
        <v>2573</v>
      </c>
      <c r="M541">
        <v>258.83999999999997</v>
      </c>
      <c r="N541">
        <v>42</v>
      </c>
      <c r="O541" t="s">
        <v>2574</v>
      </c>
      <c r="P541" t="s">
        <v>108</v>
      </c>
      <c r="Q541" t="s">
        <v>266</v>
      </c>
      <c r="R541" t="s">
        <v>44</v>
      </c>
      <c r="S541" t="s">
        <v>98</v>
      </c>
      <c r="T541" t="s">
        <v>192</v>
      </c>
      <c r="U541">
        <v>2769</v>
      </c>
      <c r="V541">
        <v>329</v>
      </c>
      <c r="W541">
        <v>24</v>
      </c>
      <c r="X541">
        <v>1207.3900000000001</v>
      </c>
      <c r="Y541">
        <v>146.71</v>
      </c>
      <c r="Z541">
        <v>1354.1</v>
      </c>
      <c r="AA541" t="s">
        <v>62</v>
      </c>
      <c r="AB541">
        <v>0</v>
      </c>
      <c r="AC541">
        <v>84.24</v>
      </c>
      <c r="AD541">
        <v>154</v>
      </c>
      <c r="AE541">
        <v>167</v>
      </c>
    </row>
    <row r="542" spans="1:31" x14ac:dyDescent="0.25">
      <c r="A542" t="s">
        <v>2575</v>
      </c>
      <c r="B542" t="s">
        <v>2576</v>
      </c>
      <c r="C542" s="1">
        <v>43980</v>
      </c>
      <c r="D542" s="1">
        <v>45028</v>
      </c>
      <c r="E542" t="s">
        <v>33</v>
      </c>
      <c r="F542" t="s">
        <v>91</v>
      </c>
      <c r="G542" t="s">
        <v>52</v>
      </c>
      <c r="H542" t="s">
        <v>114</v>
      </c>
      <c r="I542" t="s">
        <v>2577</v>
      </c>
      <c r="J542" t="s">
        <v>38</v>
      </c>
      <c r="K542" t="s">
        <v>81</v>
      </c>
      <c r="L542" t="s">
        <v>2578</v>
      </c>
      <c r="M542">
        <v>326.8</v>
      </c>
      <c r="N542">
        <v>34</v>
      </c>
      <c r="O542" t="s">
        <v>2226</v>
      </c>
      <c r="P542" t="s">
        <v>84</v>
      </c>
      <c r="Q542" t="s">
        <v>532</v>
      </c>
      <c r="R542" t="s">
        <v>44</v>
      </c>
      <c r="S542" t="s">
        <v>98</v>
      </c>
      <c r="T542" t="s">
        <v>192</v>
      </c>
      <c r="U542">
        <v>429</v>
      </c>
      <c r="V542">
        <v>93</v>
      </c>
      <c r="W542">
        <v>22</v>
      </c>
      <c r="X542">
        <v>220.34</v>
      </c>
      <c r="Y542">
        <v>188.26</v>
      </c>
      <c r="Z542">
        <v>408.6</v>
      </c>
      <c r="AA542" t="s">
        <v>62</v>
      </c>
      <c r="AB542">
        <v>0</v>
      </c>
      <c r="AC542">
        <v>82.24</v>
      </c>
      <c r="AD542">
        <v>198</v>
      </c>
      <c r="AE542">
        <v>193</v>
      </c>
    </row>
    <row r="543" spans="1:31" x14ac:dyDescent="0.25">
      <c r="A543" t="s">
        <v>2579</v>
      </c>
      <c r="B543" t="s">
        <v>2580</v>
      </c>
      <c r="C543" s="1">
        <v>45323</v>
      </c>
      <c r="D543" s="1">
        <v>45321</v>
      </c>
      <c r="E543" t="s">
        <v>65</v>
      </c>
      <c r="F543" t="s">
        <v>34</v>
      </c>
      <c r="G543" t="s">
        <v>35</v>
      </c>
      <c r="H543" t="s">
        <v>36</v>
      </c>
      <c r="I543" t="s">
        <v>2581</v>
      </c>
      <c r="J543" t="s">
        <v>165</v>
      </c>
      <c r="K543" t="s">
        <v>202</v>
      </c>
      <c r="L543" t="s">
        <v>2582</v>
      </c>
      <c r="M543">
        <v>198.29</v>
      </c>
      <c r="N543">
        <v>26</v>
      </c>
      <c r="O543" t="s">
        <v>696</v>
      </c>
      <c r="P543" t="s">
        <v>84</v>
      </c>
      <c r="Q543" t="s">
        <v>532</v>
      </c>
      <c r="R543" t="s">
        <v>44</v>
      </c>
      <c r="S543" t="s">
        <v>87</v>
      </c>
      <c r="T543" t="s">
        <v>638</v>
      </c>
      <c r="U543">
        <v>1628</v>
      </c>
      <c r="V543">
        <v>111</v>
      </c>
      <c r="W543">
        <v>1</v>
      </c>
      <c r="X543">
        <v>699.5</v>
      </c>
      <c r="Y543">
        <v>280.06</v>
      </c>
      <c r="Z543">
        <v>979.56</v>
      </c>
      <c r="AA543" t="s">
        <v>62</v>
      </c>
      <c r="AB543">
        <v>0</v>
      </c>
      <c r="AC543">
        <v>78.61</v>
      </c>
      <c r="AD543">
        <v>142</v>
      </c>
      <c r="AE543">
        <v>110</v>
      </c>
    </row>
    <row r="544" spans="1:31" x14ac:dyDescent="0.25">
      <c r="A544" t="s">
        <v>2583</v>
      </c>
      <c r="B544" t="s">
        <v>2584</v>
      </c>
      <c r="C544" s="1">
        <v>45236</v>
      </c>
      <c r="D544" s="1">
        <v>45225</v>
      </c>
      <c r="E544" t="s">
        <v>50</v>
      </c>
      <c r="F544" t="s">
        <v>146</v>
      </c>
      <c r="G544" t="s">
        <v>343</v>
      </c>
      <c r="H544" t="s">
        <v>163</v>
      </c>
      <c r="I544" t="s">
        <v>2585</v>
      </c>
      <c r="J544" t="s">
        <v>165</v>
      </c>
      <c r="K544" t="s">
        <v>166</v>
      </c>
      <c r="L544" t="s">
        <v>2586</v>
      </c>
      <c r="M544">
        <v>482.38</v>
      </c>
      <c r="N544">
        <v>65</v>
      </c>
      <c r="O544" t="s">
        <v>2456</v>
      </c>
      <c r="P544" t="s">
        <v>84</v>
      </c>
      <c r="Q544" t="s">
        <v>266</v>
      </c>
      <c r="R544" t="s">
        <v>152</v>
      </c>
      <c r="S544" t="s">
        <v>73</v>
      </c>
      <c r="T544" t="s">
        <v>1229</v>
      </c>
      <c r="U544">
        <v>379</v>
      </c>
      <c r="V544">
        <v>166</v>
      </c>
      <c r="W544">
        <v>22</v>
      </c>
      <c r="X544">
        <v>1713.32</v>
      </c>
      <c r="Y544">
        <v>269.02999999999997</v>
      </c>
      <c r="Z544">
        <v>1982.35</v>
      </c>
      <c r="AA544" t="s">
        <v>62</v>
      </c>
      <c r="AB544">
        <v>0</v>
      </c>
      <c r="AC544">
        <v>78.75</v>
      </c>
      <c r="AD544">
        <v>314</v>
      </c>
      <c r="AE544">
        <v>300</v>
      </c>
    </row>
    <row r="545" spans="1:31" x14ac:dyDescent="0.25">
      <c r="A545" t="s">
        <v>2587</v>
      </c>
      <c r="B545" t="s">
        <v>2588</v>
      </c>
      <c r="C545" s="1">
        <v>45051</v>
      </c>
      <c r="D545" s="1">
        <v>44904</v>
      </c>
      <c r="E545" t="s">
        <v>65</v>
      </c>
      <c r="F545" t="s">
        <v>34</v>
      </c>
      <c r="G545" t="s">
        <v>66</v>
      </c>
      <c r="H545" t="s">
        <v>221</v>
      </c>
      <c r="I545" t="s">
        <v>2589</v>
      </c>
      <c r="J545" t="s">
        <v>38</v>
      </c>
      <c r="K545" t="s">
        <v>55</v>
      </c>
      <c r="L545" t="s">
        <v>2590</v>
      </c>
      <c r="M545">
        <v>446.43</v>
      </c>
      <c r="N545">
        <v>50</v>
      </c>
      <c r="O545" t="s">
        <v>2591</v>
      </c>
      <c r="P545" t="s">
        <v>84</v>
      </c>
      <c r="Q545" t="s">
        <v>159</v>
      </c>
      <c r="R545" t="s">
        <v>86</v>
      </c>
      <c r="S545" t="s">
        <v>98</v>
      </c>
      <c r="T545" t="s">
        <v>185</v>
      </c>
      <c r="U545">
        <v>3110</v>
      </c>
      <c r="V545">
        <v>68</v>
      </c>
      <c r="W545">
        <v>19</v>
      </c>
      <c r="X545">
        <v>1951.95</v>
      </c>
      <c r="Y545">
        <v>197.56</v>
      </c>
      <c r="Z545">
        <v>2149.5100000000002</v>
      </c>
      <c r="AA545" t="s">
        <v>62</v>
      </c>
      <c r="AB545">
        <v>0</v>
      </c>
      <c r="AC545">
        <v>80.91</v>
      </c>
      <c r="AD545">
        <v>413</v>
      </c>
      <c r="AE545">
        <v>381</v>
      </c>
    </row>
    <row r="546" spans="1:31" x14ac:dyDescent="0.25">
      <c r="A546" t="s">
        <v>2592</v>
      </c>
      <c r="B546" t="s">
        <v>2593</v>
      </c>
      <c r="C546" s="1">
        <v>45395</v>
      </c>
      <c r="D546" s="1">
        <v>45193</v>
      </c>
      <c r="E546" t="s">
        <v>65</v>
      </c>
      <c r="F546" t="s">
        <v>51</v>
      </c>
      <c r="G546" t="s">
        <v>113</v>
      </c>
      <c r="H546" t="s">
        <v>147</v>
      </c>
      <c r="I546" t="s">
        <v>1092</v>
      </c>
      <c r="J546" t="s">
        <v>165</v>
      </c>
      <c r="K546" t="s">
        <v>202</v>
      </c>
      <c r="L546" t="s">
        <v>1093</v>
      </c>
      <c r="M546">
        <v>452.17</v>
      </c>
      <c r="N546">
        <v>73</v>
      </c>
      <c r="O546" t="s">
        <v>132</v>
      </c>
      <c r="P546" t="s">
        <v>58</v>
      </c>
      <c r="Q546" t="s">
        <v>43</v>
      </c>
      <c r="R546" t="s">
        <v>60</v>
      </c>
      <c r="S546" t="s">
        <v>73</v>
      </c>
      <c r="T546" t="s">
        <v>259</v>
      </c>
      <c r="U546">
        <v>711</v>
      </c>
      <c r="V546">
        <v>331</v>
      </c>
      <c r="W546">
        <v>22</v>
      </c>
      <c r="X546">
        <v>1740.85</v>
      </c>
      <c r="Y546">
        <v>495.8</v>
      </c>
      <c r="Z546">
        <v>2236.65</v>
      </c>
      <c r="AA546" t="s">
        <v>62</v>
      </c>
      <c r="AB546">
        <v>0</v>
      </c>
      <c r="AC546">
        <v>86.27</v>
      </c>
      <c r="AD546">
        <v>406</v>
      </c>
      <c r="AE546">
        <v>394</v>
      </c>
    </row>
    <row r="547" spans="1:31" x14ac:dyDescent="0.25">
      <c r="A547" t="s">
        <v>2594</v>
      </c>
      <c r="B547" t="s">
        <v>2595</v>
      </c>
      <c r="C547" s="1">
        <v>44499</v>
      </c>
      <c r="D547" s="1">
        <v>44624</v>
      </c>
      <c r="E547" t="s">
        <v>65</v>
      </c>
      <c r="F547" t="s">
        <v>77</v>
      </c>
      <c r="G547" t="s">
        <v>92</v>
      </c>
      <c r="H547" t="s">
        <v>53</v>
      </c>
      <c r="I547" t="s">
        <v>2596</v>
      </c>
      <c r="J547" t="s">
        <v>165</v>
      </c>
      <c r="K547" t="s">
        <v>166</v>
      </c>
      <c r="L547" t="s">
        <v>2597</v>
      </c>
      <c r="M547">
        <v>179.06</v>
      </c>
      <c r="N547">
        <v>30</v>
      </c>
      <c r="O547" t="s">
        <v>1361</v>
      </c>
      <c r="P547" t="s">
        <v>108</v>
      </c>
      <c r="Q547" t="s">
        <v>109</v>
      </c>
      <c r="R547" t="s">
        <v>44</v>
      </c>
      <c r="S547" t="s">
        <v>45</v>
      </c>
      <c r="T547" t="s">
        <v>198</v>
      </c>
      <c r="U547">
        <v>1093</v>
      </c>
      <c r="V547">
        <v>276</v>
      </c>
      <c r="W547">
        <v>22</v>
      </c>
      <c r="X547">
        <v>224.17</v>
      </c>
      <c r="Y547">
        <v>405.88</v>
      </c>
      <c r="Z547">
        <v>630.04999999999995</v>
      </c>
      <c r="AA547" t="s">
        <v>62</v>
      </c>
      <c r="AB547">
        <v>0</v>
      </c>
      <c r="AC547">
        <v>74.260000000000005</v>
      </c>
      <c r="AD547">
        <v>289</v>
      </c>
      <c r="AE547">
        <v>301</v>
      </c>
    </row>
    <row r="548" spans="1:31" x14ac:dyDescent="0.25">
      <c r="A548" t="s">
        <v>2598</v>
      </c>
      <c r="B548" t="s">
        <v>2599</v>
      </c>
      <c r="C548" s="1">
        <v>43896</v>
      </c>
      <c r="D548" s="1">
        <v>43881</v>
      </c>
      <c r="E548" t="s">
        <v>65</v>
      </c>
      <c r="F548" t="s">
        <v>77</v>
      </c>
      <c r="G548" t="s">
        <v>343</v>
      </c>
      <c r="H548" t="s">
        <v>67</v>
      </c>
      <c r="I548" t="s">
        <v>2600</v>
      </c>
      <c r="J548" t="s">
        <v>104</v>
      </c>
      <c r="K548" t="s">
        <v>554</v>
      </c>
      <c r="L548" t="s">
        <v>2601</v>
      </c>
      <c r="M548">
        <v>338.99</v>
      </c>
      <c r="N548">
        <v>20</v>
      </c>
      <c r="O548" t="s">
        <v>1589</v>
      </c>
      <c r="P548" t="s">
        <v>141</v>
      </c>
      <c r="Q548" t="s">
        <v>118</v>
      </c>
      <c r="R548" t="s">
        <v>152</v>
      </c>
      <c r="S548" t="s">
        <v>98</v>
      </c>
      <c r="T548" t="s">
        <v>246</v>
      </c>
      <c r="U548">
        <v>3056</v>
      </c>
      <c r="V548">
        <v>398</v>
      </c>
      <c r="W548">
        <v>16</v>
      </c>
      <c r="X548">
        <v>859.76</v>
      </c>
      <c r="Y548">
        <v>301.24</v>
      </c>
      <c r="Z548">
        <v>1161</v>
      </c>
      <c r="AA548" t="s">
        <v>62</v>
      </c>
      <c r="AB548">
        <v>0</v>
      </c>
      <c r="AC548">
        <v>90.61</v>
      </c>
      <c r="AD548">
        <v>460</v>
      </c>
      <c r="AE548">
        <v>418</v>
      </c>
    </row>
    <row r="549" spans="1:31" x14ac:dyDescent="0.25">
      <c r="A549" t="s">
        <v>2602</v>
      </c>
      <c r="B549" t="s">
        <v>2603</v>
      </c>
      <c r="C549" s="1">
        <v>45168</v>
      </c>
      <c r="D549" s="1">
        <v>44032</v>
      </c>
      <c r="E549" t="s">
        <v>65</v>
      </c>
      <c r="F549" t="s">
        <v>51</v>
      </c>
      <c r="G549" t="s">
        <v>92</v>
      </c>
      <c r="H549" t="s">
        <v>163</v>
      </c>
      <c r="I549" t="s">
        <v>2604</v>
      </c>
      <c r="J549" t="s">
        <v>38</v>
      </c>
      <c r="K549" t="s">
        <v>338</v>
      </c>
      <c r="L549" t="s">
        <v>2605</v>
      </c>
      <c r="M549">
        <v>230.06</v>
      </c>
      <c r="N549">
        <v>11</v>
      </c>
      <c r="O549" t="s">
        <v>2277</v>
      </c>
      <c r="P549" t="s">
        <v>42</v>
      </c>
      <c r="Q549" t="s">
        <v>686</v>
      </c>
      <c r="R549" t="s">
        <v>86</v>
      </c>
      <c r="S549" t="s">
        <v>98</v>
      </c>
      <c r="T549" t="s">
        <v>644</v>
      </c>
      <c r="U549">
        <v>967</v>
      </c>
      <c r="V549">
        <v>226</v>
      </c>
      <c r="W549">
        <v>24</v>
      </c>
      <c r="X549">
        <v>1764</v>
      </c>
      <c r="Y549">
        <v>326.26</v>
      </c>
      <c r="Z549">
        <v>2090.2600000000002</v>
      </c>
      <c r="AA549" t="s">
        <v>47</v>
      </c>
      <c r="AB549">
        <v>5</v>
      </c>
      <c r="AC549">
        <v>80.55</v>
      </c>
      <c r="AD549">
        <v>103</v>
      </c>
      <c r="AE549">
        <v>108</v>
      </c>
    </row>
    <row r="550" spans="1:31" x14ac:dyDescent="0.25">
      <c r="A550" t="s">
        <v>2606</v>
      </c>
      <c r="B550" t="s">
        <v>2607</v>
      </c>
      <c r="C550" s="1">
        <v>45453</v>
      </c>
      <c r="D550" s="1">
        <v>44043</v>
      </c>
      <c r="E550" t="s">
        <v>33</v>
      </c>
      <c r="F550" t="s">
        <v>51</v>
      </c>
      <c r="G550" t="s">
        <v>343</v>
      </c>
      <c r="H550" t="s">
        <v>67</v>
      </c>
      <c r="I550" t="s">
        <v>2202</v>
      </c>
      <c r="J550" t="s">
        <v>38</v>
      </c>
      <c r="K550" t="s">
        <v>55</v>
      </c>
      <c r="L550" t="s">
        <v>2203</v>
      </c>
      <c r="M550">
        <v>165.04</v>
      </c>
      <c r="N550">
        <v>42</v>
      </c>
      <c r="O550" t="s">
        <v>2608</v>
      </c>
      <c r="P550" t="s">
        <v>84</v>
      </c>
      <c r="Q550" t="s">
        <v>517</v>
      </c>
      <c r="R550" t="s">
        <v>152</v>
      </c>
      <c r="S550" t="s">
        <v>73</v>
      </c>
      <c r="T550" t="s">
        <v>253</v>
      </c>
      <c r="U550">
        <v>1226</v>
      </c>
      <c r="V550">
        <v>195</v>
      </c>
      <c r="W550">
        <v>25</v>
      </c>
      <c r="X550">
        <v>841.13</v>
      </c>
      <c r="Y550">
        <v>159.83000000000001</v>
      </c>
      <c r="Z550">
        <v>1000.96</v>
      </c>
      <c r="AA550" t="s">
        <v>47</v>
      </c>
      <c r="AB550">
        <v>4</v>
      </c>
      <c r="AC550">
        <v>86.23</v>
      </c>
      <c r="AD550">
        <v>452</v>
      </c>
      <c r="AE550">
        <v>411</v>
      </c>
    </row>
    <row r="551" spans="1:31" x14ac:dyDescent="0.25">
      <c r="A551" t="s">
        <v>2609</v>
      </c>
      <c r="B551" t="s">
        <v>2610</v>
      </c>
      <c r="C551" s="1">
        <v>45648</v>
      </c>
      <c r="D551" s="1">
        <v>45248</v>
      </c>
      <c r="E551" t="s">
        <v>65</v>
      </c>
      <c r="F551" t="s">
        <v>34</v>
      </c>
      <c r="G551" t="s">
        <v>102</v>
      </c>
      <c r="H551" t="s">
        <v>163</v>
      </c>
      <c r="I551" t="s">
        <v>2611</v>
      </c>
      <c r="J551" t="s">
        <v>38</v>
      </c>
      <c r="K551" t="s">
        <v>55</v>
      </c>
      <c r="L551" t="s">
        <v>2612</v>
      </c>
      <c r="M551">
        <v>106</v>
      </c>
      <c r="N551">
        <v>82</v>
      </c>
      <c r="O551" t="s">
        <v>2613</v>
      </c>
      <c r="P551" t="s">
        <v>58</v>
      </c>
      <c r="Q551" t="s">
        <v>238</v>
      </c>
      <c r="R551" t="s">
        <v>60</v>
      </c>
      <c r="S551" t="s">
        <v>126</v>
      </c>
      <c r="T551" t="s">
        <v>119</v>
      </c>
      <c r="U551">
        <v>1287</v>
      </c>
      <c r="V551">
        <v>91</v>
      </c>
      <c r="W551">
        <v>21</v>
      </c>
      <c r="X551">
        <v>1624.3</v>
      </c>
      <c r="Y551">
        <v>88.88</v>
      </c>
      <c r="Z551">
        <v>1713.18</v>
      </c>
      <c r="AA551" t="s">
        <v>62</v>
      </c>
      <c r="AB551">
        <v>0</v>
      </c>
      <c r="AC551">
        <v>80.92</v>
      </c>
      <c r="AD551">
        <v>198</v>
      </c>
      <c r="AE551">
        <v>195</v>
      </c>
    </row>
    <row r="552" spans="1:31" x14ac:dyDescent="0.25">
      <c r="A552" t="s">
        <v>2614</v>
      </c>
      <c r="B552" t="s">
        <v>2615</v>
      </c>
      <c r="C552" s="1">
        <v>44126</v>
      </c>
      <c r="D552" s="1">
        <v>45407</v>
      </c>
      <c r="E552" t="s">
        <v>65</v>
      </c>
      <c r="F552" t="s">
        <v>34</v>
      </c>
      <c r="G552" t="s">
        <v>102</v>
      </c>
      <c r="H552" t="s">
        <v>147</v>
      </c>
      <c r="I552" t="s">
        <v>2616</v>
      </c>
      <c r="J552" t="s">
        <v>38</v>
      </c>
      <c r="K552" t="s">
        <v>39</v>
      </c>
      <c r="L552" t="s">
        <v>2617</v>
      </c>
      <c r="M552">
        <v>258.43</v>
      </c>
      <c r="N552">
        <v>52</v>
      </c>
      <c r="O552" t="s">
        <v>2618</v>
      </c>
      <c r="P552" t="s">
        <v>108</v>
      </c>
      <c r="Q552" t="s">
        <v>184</v>
      </c>
      <c r="R552" t="s">
        <v>86</v>
      </c>
      <c r="S552" t="s">
        <v>98</v>
      </c>
      <c r="T552" t="s">
        <v>738</v>
      </c>
      <c r="U552">
        <v>4855</v>
      </c>
      <c r="V552">
        <v>394</v>
      </c>
      <c r="W552">
        <v>24</v>
      </c>
      <c r="X552">
        <v>1675.21</v>
      </c>
      <c r="Y552">
        <v>201.77</v>
      </c>
      <c r="Z552">
        <v>1876.98</v>
      </c>
      <c r="AA552" t="s">
        <v>62</v>
      </c>
      <c r="AB552">
        <v>0</v>
      </c>
      <c r="AC552">
        <v>84.2</v>
      </c>
      <c r="AD552">
        <v>474</v>
      </c>
      <c r="AE552">
        <v>464</v>
      </c>
    </row>
    <row r="553" spans="1:31" x14ac:dyDescent="0.25">
      <c r="A553" t="s">
        <v>2619</v>
      </c>
      <c r="B553" t="s">
        <v>2620</v>
      </c>
      <c r="C553" s="1">
        <v>44720</v>
      </c>
      <c r="D553" s="1">
        <v>45072</v>
      </c>
      <c r="E553" t="s">
        <v>50</v>
      </c>
      <c r="F553" t="s">
        <v>34</v>
      </c>
      <c r="G553" t="s">
        <v>102</v>
      </c>
      <c r="H553" t="s">
        <v>36</v>
      </c>
      <c r="I553" t="s">
        <v>2621</v>
      </c>
      <c r="J553" t="s">
        <v>38</v>
      </c>
      <c r="K553" t="s">
        <v>39</v>
      </c>
      <c r="L553" t="s">
        <v>2622</v>
      </c>
      <c r="M553">
        <v>413.17</v>
      </c>
      <c r="N553">
        <v>4</v>
      </c>
      <c r="O553" t="s">
        <v>2623</v>
      </c>
      <c r="P553" t="s">
        <v>42</v>
      </c>
      <c r="Q553" t="s">
        <v>370</v>
      </c>
      <c r="R553" t="s">
        <v>60</v>
      </c>
      <c r="S553" t="s">
        <v>98</v>
      </c>
      <c r="T553" t="s">
        <v>371</v>
      </c>
      <c r="U553">
        <v>2113</v>
      </c>
      <c r="V553">
        <v>282</v>
      </c>
      <c r="W553">
        <v>19</v>
      </c>
      <c r="X553">
        <v>1506.75</v>
      </c>
      <c r="Y553">
        <v>15.99</v>
      </c>
      <c r="Z553">
        <v>1522.74</v>
      </c>
      <c r="AA553" t="s">
        <v>62</v>
      </c>
      <c r="AB553">
        <v>0</v>
      </c>
      <c r="AC553">
        <v>77.23</v>
      </c>
      <c r="AD553">
        <v>128</v>
      </c>
      <c r="AE553">
        <v>166</v>
      </c>
    </row>
    <row r="554" spans="1:31" x14ac:dyDescent="0.25">
      <c r="A554" t="s">
        <v>2624</v>
      </c>
      <c r="B554" t="s">
        <v>2625</v>
      </c>
      <c r="C554" s="1">
        <v>45501</v>
      </c>
      <c r="D554" s="1">
        <v>44119</v>
      </c>
      <c r="E554" t="s">
        <v>65</v>
      </c>
      <c r="F554" t="s">
        <v>91</v>
      </c>
      <c r="G554" t="s">
        <v>78</v>
      </c>
      <c r="H554" t="s">
        <v>221</v>
      </c>
      <c r="I554" t="s">
        <v>2125</v>
      </c>
      <c r="J554" t="s">
        <v>165</v>
      </c>
      <c r="K554" t="s">
        <v>2126</v>
      </c>
      <c r="L554" t="s">
        <v>2127</v>
      </c>
      <c r="M554">
        <v>361.91</v>
      </c>
      <c r="N554">
        <v>91</v>
      </c>
      <c r="O554" t="s">
        <v>431</v>
      </c>
      <c r="P554" t="s">
        <v>58</v>
      </c>
      <c r="Q554" t="s">
        <v>142</v>
      </c>
      <c r="R554" t="s">
        <v>44</v>
      </c>
      <c r="S554" t="s">
        <v>87</v>
      </c>
      <c r="T554" t="s">
        <v>153</v>
      </c>
      <c r="U554">
        <v>1530</v>
      </c>
      <c r="V554">
        <v>228</v>
      </c>
      <c r="W554">
        <v>24</v>
      </c>
      <c r="X554">
        <v>1043.96</v>
      </c>
      <c r="Y554">
        <v>490.92</v>
      </c>
      <c r="Z554">
        <v>1534.88</v>
      </c>
      <c r="AA554" t="s">
        <v>62</v>
      </c>
      <c r="AB554">
        <v>0</v>
      </c>
      <c r="AC554">
        <v>86.63</v>
      </c>
      <c r="AD554">
        <v>166</v>
      </c>
      <c r="AE554">
        <v>170</v>
      </c>
    </row>
    <row r="555" spans="1:31" x14ac:dyDescent="0.25">
      <c r="A555" t="s">
        <v>2626</v>
      </c>
      <c r="B555" t="s">
        <v>2627</v>
      </c>
      <c r="C555" s="1">
        <v>43975</v>
      </c>
      <c r="D555" s="1">
        <v>44426</v>
      </c>
      <c r="E555" t="s">
        <v>65</v>
      </c>
      <c r="F555" t="s">
        <v>34</v>
      </c>
      <c r="G555" t="s">
        <v>52</v>
      </c>
      <c r="H555" t="s">
        <v>147</v>
      </c>
      <c r="I555" t="s">
        <v>2628</v>
      </c>
      <c r="J555" t="s">
        <v>165</v>
      </c>
      <c r="K555" t="s">
        <v>166</v>
      </c>
      <c r="L555" t="s">
        <v>2629</v>
      </c>
      <c r="M555">
        <v>403.8</v>
      </c>
      <c r="N555">
        <v>57</v>
      </c>
      <c r="O555" t="s">
        <v>2630</v>
      </c>
      <c r="P555" t="s">
        <v>42</v>
      </c>
      <c r="Q555" t="s">
        <v>425</v>
      </c>
      <c r="R555" t="s">
        <v>152</v>
      </c>
      <c r="S555" t="s">
        <v>87</v>
      </c>
      <c r="T555" t="s">
        <v>545</v>
      </c>
      <c r="U555">
        <v>353</v>
      </c>
      <c r="V555">
        <v>475</v>
      </c>
      <c r="W555">
        <v>12</v>
      </c>
      <c r="X555">
        <v>1359.5</v>
      </c>
      <c r="Y555">
        <v>87.62</v>
      </c>
      <c r="Z555">
        <v>1447.12</v>
      </c>
      <c r="AA555" t="s">
        <v>62</v>
      </c>
      <c r="AB555">
        <v>0</v>
      </c>
      <c r="AC555">
        <v>76.08</v>
      </c>
      <c r="AD555">
        <v>432</v>
      </c>
      <c r="AE555">
        <v>397</v>
      </c>
    </row>
    <row r="556" spans="1:31" x14ac:dyDescent="0.25">
      <c r="A556" t="s">
        <v>2631</v>
      </c>
      <c r="B556" t="s">
        <v>2632</v>
      </c>
      <c r="C556" s="1">
        <v>44802</v>
      </c>
      <c r="D556" s="1">
        <v>44027</v>
      </c>
      <c r="E556" t="s">
        <v>65</v>
      </c>
      <c r="F556" t="s">
        <v>51</v>
      </c>
      <c r="G556" t="s">
        <v>35</v>
      </c>
      <c r="H556" t="s">
        <v>114</v>
      </c>
      <c r="I556" t="s">
        <v>2633</v>
      </c>
      <c r="J556" t="s">
        <v>165</v>
      </c>
      <c r="K556" t="s">
        <v>166</v>
      </c>
      <c r="L556" t="s">
        <v>2634</v>
      </c>
      <c r="M556">
        <v>383.92</v>
      </c>
      <c r="N556">
        <v>13</v>
      </c>
      <c r="O556" t="s">
        <v>2635</v>
      </c>
      <c r="P556" t="s">
        <v>141</v>
      </c>
      <c r="Q556" t="s">
        <v>252</v>
      </c>
      <c r="R556" t="s">
        <v>86</v>
      </c>
      <c r="S556" t="s">
        <v>87</v>
      </c>
      <c r="T556" t="s">
        <v>922</v>
      </c>
      <c r="U556">
        <v>244</v>
      </c>
      <c r="V556">
        <v>432</v>
      </c>
      <c r="W556">
        <v>25</v>
      </c>
      <c r="X556">
        <v>1902.09</v>
      </c>
      <c r="Y556">
        <v>289.12</v>
      </c>
      <c r="Z556">
        <v>2191.21</v>
      </c>
      <c r="AA556" t="s">
        <v>62</v>
      </c>
      <c r="AB556">
        <v>0</v>
      </c>
      <c r="AC556">
        <v>99.83</v>
      </c>
      <c r="AD556">
        <v>169</v>
      </c>
      <c r="AE556">
        <v>166</v>
      </c>
    </row>
    <row r="557" spans="1:31" x14ac:dyDescent="0.25">
      <c r="A557" t="s">
        <v>2636</v>
      </c>
      <c r="B557" t="s">
        <v>2637</v>
      </c>
      <c r="C557" s="1">
        <v>44126</v>
      </c>
      <c r="D557" s="1">
        <v>44380</v>
      </c>
      <c r="E557" t="s">
        <v>65</v>
      </c>
      <c r="F557" t="s">
        <v>34</v>
      </c>
      <c r="G557" t="s">
        <v>52</v>
      </c>
      <c r="H557" t="s">
        <v>221</v>
      </c>
      <c r="I557" t="s">
        <v>2638</v>
      </c>
      <c r="J557" t="s">
        <v>165</v>
      </c>
      <c r="K557" t="s">
        <v>166</v>
      </c>
      <c r="L557" t="s">
        <v>2639</v>
      </c>
      <c r="M557">
        <v>457.53</v>
      </c>
      <c r="N557">
        <v>94</v>
      </c>
      <c r="O557" t="s">
        <v>2640</v>
      </c>
      <c r="P557" t="s">
        <v>84</v>
      </c>
      <c r="Q557" t="s">
        <v>980</v>
      </c>
      <c r="R557" t="s">
        <v>152</v>
      </c>
      <c r="S557" t="s">
        <v>45</v>
      </c>
      <c r="T557" t="s">
        <v>239</v>
      </c>
      <c r="U557">
        <v>1578</v>
      </c>
      <c r="V557">
        <v>399</v>
      </c>
      <c r="W557">
        <v>1</v>
      </c>
      <c r="X557">
        <v>1439.19</v>
      </c>
      <c r="Y557">
        <v>473.67</v>
      </c>
      <c r="Z557">
        <v>1912.86</v>
      </c>
      <c r="AA557" t="s">
        <v>47</v>
      </c>
      <c r="AB557">
        <v>13</v>
      </c>
      <c r="AC557">
        <v>99.46</v>
      </c>
      <c r="AD557">
        <v>123</v>
      </c>
      <c r="AE557">
        <v>73</v>
      </c>
    </row>
    <row r="558" spans="1:31" x14ac:dyDescent="0.25">
      <c r="A558" t="s">
        <v>2641</v>
      </c>
      <c r="B558" t="s">
        <v>2642</v>
      </c>
      <c r="C558" s="1">
        <v>43921</v>
      </c>
      <c r="D558" s="1">
        <v>44405</v>
      </c>
      <c r="E558" t="s">
        <v>50</v>
      </c>
      <c r="F558" t="s">
        <v>34</v>
      </c>
      <c r="G558" t="s">
        <v>66</v>
      </c>
      <c r="H558" t="s">
        <v>163</v>
      </c>
      <c r="I558" t="s">
        <v>103</v>
      </c>
      <c r="J558" t="s">
        <v>104</v>
      </c>
      <c r="K558" t="s">
        <v>105</v>
      </c>
      <c r="L558" t="s">
        <v>106</v>
      </c>
      <c r="M558">
        <v>150.77000000000001</v>
      </c>
      <c r="N558">
        <v>58</v>
      </c>
      <c r="O558" t="s">
        <v>2643</v>
      </c>
      <c r="P558" t="s">
        <v>58</v>
      </c>
      <c r="Q558" t="s">
        <v>43</v>
      </c>
      <c r="R558" t="s">
        <v>86</v>
      </c>
      <c r="S558" t="s">
        <v>126</v>
      </c>
      <c r="T558" t="s">
        <v>437</v>
      </c>
      <c r="U558">
        <v>3416</v>
      </c>
      <c r="V558">
        <v>447</v>
      </c>
      <c r="W558">
        <v>16</v>
      </c>
      <c r="X558">
        <v>147.58000000000001</v>
      </c>
      <c r="Y558">
        <v>229.81</v>
      </c>
      <c r="Z558">
        <v>377.39</v>
      </c>
      <c r="AA558" t="s">
        <v>62</v>
      </c>
      <c r="AB558">
        <v>0</v>
      </c>
      <c r="AC558">
        <v>89.05</v>
      </c>
      <c r="AD558">
        <v>476</v>
      </c>
      <c r="AE558">
        <v>430</v>
      </c>
    </row>
    <row r="559" spans="1:31" x14ac:dyDescent="0.25">
      <c r="A559" t="s">
        <v>2644</v>
      </c>
      <c r="B559" t="s">
        <v>2645</v>
      </c>
      <c r="C559" s="1">
        <v>45535</v>
      </c>
      <c r="D559" s="1">
        <v>45018</v>
      </c>
      <c r="E559" t="s">
        <v>50</v>
      </c>
      <c r="F559" t="s">
        <v>77</v>
      </c>
      <c r="G559" t="s">
        <v>66</v>
      </c>
      <c r="H559" t="s">
        <v>114</v>
      </c>
      <c r="I559" t="s">
        <v>2646</v>
      </c>
      <c r="J559" t="s">
        <v>104</v>
      </c>
      <c r="K559" t="s">
        <v>181</v>
      </c>
      <c r="L559" t="s">
        <v>2647</v>
      </c>
      <c r="M559">
        <v>285.98</v>
      </c>
      <c r="N559">
        <v>39</v>
      </c>
      <c r="O559" t="s">
        <v>707</v>
      </c>
      <c r="P559" t="s">
        <v>42</v>
      </c>
      <c r="Q559" t="s">
        <v>613</v>
      </c>
      <c r="R559" t="s">
        <v>44</v>
      </c>
      <c r="S559" t="s">
        <v>73</v>
      </c>
      <c r="T559" t="s">
        <v>134</v>
      </c>
      <c r="U559">
        <v>1730</v>
      </c>
      <c r="V559">
        <v>469</v>
      </c>
      <c r="W559">
        <v>10</v>
      </c>
      <c r="X559">
        <v>1217.29</v>
      </c>
      <c r="Y559">
        <v>265.64999999999998</v>
      </c>
      <c r="Z559">
        <v>1482.94</v>
      </c>
      <c r="AA559" t="s">
        <v>62</v>
      </c>
      <c r="AB559">
        <v>0</v>
      </c>
      <c r="AC559">
        <v>79.63</v>
      </c>
      <c r="AD559">
        <v>472</v>
      </c>
      <c r="AE559">
        <v>512</v>
      </c>
    </row>
    <row r="560" spans="1:31" x14ac:dyDescent="0.25">
      <c r="A560" t="s">
        <v>2648</v>
      </c>
      <c r="B560" t="s">
        <v>2649</v>
      </c>
      <c r="C560" s="1">
        <v>44838</v>
      </c>
      <c r="D560" s="1">
        <v>44662</v>
      </c>
      <c r="E560" t="s">
        <v>65</v>
      </c>
      <c r="F560" t="s">
        <v>77</v>
      </c>
      <c r="G560" t="s">
        <v>113</v>
      </c>
      <c r="H560" t="s">
        <v>53</v>
      </c>
      <c r="I560" t="s">
        <v>2650</v>
      </c>
      <c r="J560" t="s">
        <v>38</v>
      </c>
      <c r="K560" t="s">
        <v>338</v>
      </c>
      <c r="L560" t="s">
        <v>2651</v>
      </c>
      <c r="M560">
        <v>229.18</v>
      </c>
      <c r="N560">
        <v>40</v>
      </c>
      <c r="O560" t="s">
        <v>2241</v>
      </c>
      <c r="P560" t="s">
        <v>141</v>
      </c>
      <c r="Q560" t="s">
        <v>43</v>
      </c>
      <c r="R560" t="s">
        <v>60</v>
      </c>
      <c r="S560" t="s">
        <v>98</v>
      </c>
      <c r="T560" t="s">
        <v>738</v>
      </c>
      <c r="U560">
        <v>1472</v>
      </c>
      <c r="V560">
        <v>331</v>
      </c>
      <c r="W560">
        <v>24</v>
      </c>
      <c r="X560">
        <v>535.30999999999995</v>
      </c>
      <c r="Y560">
        <v>42.4</v>
      </c>
      <c r="Z560">
        <v>577.70999999999992</v>
      </c>
      <c r="AA560" t="s">
        <v>62</v>
      </c>
      <c r="AB560">
        <v>0</v>
      </c>
      <c r="AC560">
        <v>83.43</v>
      </c>
      <c r="AD560">
        <v>101</v>
      </c>
      <c r="AE560">
        <v>78</v>
      </c>
    </row>
    <row r="561" spans="1:31" x14ac:dyDescent="0.25">
      <c r="A561" t="s">
        <v>2652</v>
      </c>
      <c r="B561" t="s">
        <v>2653</v>
      </c>
      <c r="C561" s="1">
        <v>44387</v>
      </c>
      <c r="D561" s="1">
        <v>44819</v>
      </c>
      <c r="E561" t="s">
        <v>50</v>
      </c>
      <c r="F561" t="s">
        <v>146</v>
      </c>
      <c r="G561" t="s">
        <v>66</v>
      </c>
      <c r="H561" t="s">
        <v>36</v>
      </c>
      <c r="I561" t="s">
        <v>2654</v>
      </c>
      <c r="J561" t="s">
        <v>38</v>
      </c>
      <c r="K561" t="s">
        <v>338</v>
      </c>
      <c r="L561" t="s">
        <v>2655</v>
      </c>
      <c r="M561">
        <v>327.89</v>
      </c>
      <c r="N561">
        <v>28</v>
      </c>
      <c r="O561" t="s">
        <v>2521</v>
      </c>
      <c r="P561" t="s">
        <v>141</v>
      </c>
      <c r="Q561" t="s">
        <v>464</v>
      </c>
      <c r="R561" t="s">
        <v>44</v>
      </c>
      <c r="S561" t="s">
        <v>87</v>
      </c>
      <c r="T561" t="s">
        <v>259</v>
      </c>
      <c r="U561">
        <v>2172</v>
      </c>
      <c r="V561">
        <v>142</v>
      </c>
      <c r="W561">
        <v>21</v>
      </c>
      <c r="X561">
        <v>90.31</v>
      </c>
      <c r="Y561">
        <v>378.49</v>
      </c>
      <c r="Z561">
        <v>468.8</v>
      </c>
      <c r="AA561" t="s">
        <v>62</v>
      </c>
      <c r="AB561">
        <v>0</v>
      </c>
      <c r="AC561">
        <v>70.760000000000005</v>
      </c>
      <c r="AD561">
        <v>447</v>
      </c>
      <c r="AE561">
        <v>430</v>
      </c>
    </row>
    <row r="562" spans="1:31" x14ac:dyDescent="0.25">
      <c r="A562" t="s">
        <v>2656</v>
      </c>
      <c r="B562" t="s">
        <v>2657</v>
      </c>
      <c r="C562" s="1">
        <v>44455</v>
      </c>
      <c r="D562" s="1">
        <v>44862</v>
      </c>
      <c r="E562" t="s">
        <v>65</v>
      </c>
      <c r="F562" t="s">
        <v>77</v>
      </c>
      <c r="G562" t="s">
        <v>92</v>
      </c>
      <c r="H562" t="s">
        <v>53</v>
      </c>
      <c r="I562" t="s">
        <v>2658</v>
      </c>
      <c r="J562" t="s">
        <v>38</v>
      </c>
      <c r="K562" t="s">
        <v>94</v>
      </c>
      <c r="L562" t="s">
        <v>2659</v>
      </c>
      <c r="M562">
        <v>369.66</v>
      </c>
      <c r="N562">
        <v>27</v>
      </c>
      <c r="O562" t="s">
        <v>2660</v>
      </c>
      <c r="P562" t="s">
        <v>58</v>
      </c>
      <c r="Q562" t="s">
        <v>245</v>
      </c>
      <c r="R562" t="s">
        <v>152</v>
      </c>
      <c r="S562" t="s">
        <v>73</v>
      </c>
      <c r="T562" t="s">
        <v>738</v>
      </c>
      <c r="U562">
        <v>1125</v>
      </c>
      <c r="V562">
        <v>274</v>
      </c>
      <c r="W562">
        <v>23</v>
      </c>
      <c r="X562">
        <v>636.70000000000005</v>
      </c>
      <c r="Y562">
        <v>296.86</v>
      </c>
      <c r="Z562">
        <v>933.56000000000006</v>
      </c>
      <c r="AA562" t="s">
        <v>62</v>
      </c>
      <c r="AB562">
        <v>0</v>
      </c>
      <c r="AC562">
        <v>73.25</v>
      </c>
      <c r="AD562">
        <v>474</v>
      </c>
      <c r="AE562">
        <v>482</v>
      </c>
    </row>
    <row r="563" spans="1:31" x14ac:dyDescent="0.25">
      <c r="A563" t="s">
        <v>2661</v>
      </c>
      <c r="B563" t="s">
        <v>2662</v>
      </c>
      <c r="C563" s="1">
        <v>44322</v>
      </c>
      <c r="D563" s="1">
        <v>43836</v>
      </c>
      <c r="E563" t="s">
        <v>65</v>
      </c>
      <c r="F563" t="s">
        <v>34</v>
      </c>
      <c r="G563" t="s">
        <v>102</v>
      </c>
      <c r="H563" t="s">
        <v>114</v>
      </c>
      <c r="I563" t="s">
        <v>2663</v>
      </c>
      <c r="J563" t="s">
        <v>38</v>
      </c>
      <c r="K563" t="s">
        <v>55</v>
      </c>
      <c r="L563" t="s">
        <v>2664</v>
      </c>
      <c r="M563">
        <v>265.69</v>
      </c>
      <c r="N563">
        <v>98</v>
      </c>
      <c r="O563" t="s">
        <v>2665</v>
      </c>
      <c r="P563" t="s">
        <v>84</v>
      </c>
      <c r="Q563" t="s">
        <v>109</v>
      </c>
      <c r="R563" t="s">
        <v>44</v>
      </c>
      <c r="S563" t="s">
        <v>98</v>
      </c>
      <c r="T563" t="s">
        <v>74</v>
      </c>
      <c r="U563">
        <v>146</v>
      </c>
      <c r="V563">
        <v>295</v>
      </c>
      <c r="W563">
        <v>23</v>
      </c>
      <c r="X563">
        <v>1527.05</v>
      </c>
      <c r="Y563">
        <v>487.96</v>
      </c>
      <c r="Z563">
        <v>2015.01</v>
      </c>
      <c r="AA563" t="s">
        <v>62</v>
      </c>
      <c r="AB563">
        <v>0</v>
      </c>
      <c r="AC563">
        <v>94.11</v>
      </c>
      <c r="AD563">
        <v>104</v>
      </c>
      <c r="AE563">
        <v>105</v>
      </c>
    </row>
    <row r="564" spans="1:31" x14ac:dyDescent="0.25">
      <c r="A564" t="s">
        <v>2666</v>
      </c>
      <c r="B564" t="s">
        <v>2667</v>
      </c>
      <c r="C564" s="1">
        <v>44140</v>
      </c>
      <c r="D564" s="1">
        <v>45527</v>
      </c>
      <c r="E564" t="s">
        <v>65</v>
      </c>
      <c r="F564" t="s">
        <v>91</v>
      </c>
      <c r="G564" t="s">
        <v>52</v>
      </c>
      <c r="H564" t="s">
        <v>67</v>
      </c>
      <c r="I564" t="s">
        <v>2668</v>
      </c>
      <c r="J564" t="s">
        <v>38</v>
      </c>
      <c r="K564" t="s">
        <v>55</v>
      </c>
      <c r="L564" t="s">
        <v>2669</v>
      </c>
      <c r="M564">
        <v>483.21</v>
      </c>
      <c r="N564">
        <v>67</v>
      </c>
      <c r="O564" t="s">
        <v>505</v>
      </c>
      <c r="P564" t="s">
        <v>42</v>
      </c>
      <c r="Q564" t="s">
        <v>370</v>
      </c>
      <c r="R564" t="s">
        <v>86</v>
      </c>
      <c r="S564" t="s">
        <v>87</v>
      </c>
      <c r="T564" t="s">
        <v>1229</v>
      </c>
      <c r="U564">
        <v>2658</v>
      </c>
      <c r="V564">
        <v>462</v>
      </c>
      <c r="W564">
        <v>15</v>
      </c>
      <c r="X564">
        <v>877.85</v>
      </c>
      <c r="Y564">
        <v>251.29</v>
      </c>
      <c r="Z564">
        <v>1129.1400000000001</v>
      </c>
      <c r="AA564" t="s">
        <v>62</v>
      </c>
      <c r="AB564">
        <v>0</v>
      </c>
      <c r="AC564">
        <v>97.21</v>
      </c>
      <c r="AD564">
        <v>194</v>
      </c>
      <c r="AE564">
        <v>172</v>
      </c>
    </row>
    <row r="565" spans="1:31" x14ac:dyDescent="0.25">
      <c r="A565" t="s">
        <v>2670</v>
      </c>
      <c r="B565" t="s">
        <v>2671</v>
      </c>
      <c r="C565" s="1">
        <v>45037</v>
      </c>
      <c r="D565" s="1">
        <v>44698</v>
      </c>
      <c r="E565" t="s">
        <v>65</v>
      </c>
      <c r="F565" t="s">
        <v>34</v>
      </c>
      <c r="G565" t="s">
        <v>66</v>
      </c>
      <c r="H565" t="s">
        <v>163</v>
      </c>
      <c r="I565" t="s">
        <v>2672</v>
      </c>
      <c r="J565" t="s">
        <v>38</v>
      </c>
      <c r="K565" t="s">
        <v>39</v>
      </c>
      <c r="L565" t="s">
        <v>2673</v>
      </c>
      <c r="M565">
        <v>379.19</v>
      </c>
      <c r="N565">
        <v>60</v>
      </c>
      <c r="O565" t="s">
        <v>364</v>
      </c>
      <c r="P565" t="s">
        <v>84</v>
      </c>
      <c r="Q565" t="s">
        <v>169</v>
      </c>
      <c r="R565" t="s">
        <v>44</v>
      </c>
      <c r="S565" t="s">
        <v>87</v>
      </c>
      <c r="T565" t="s">
        <v>426</v>
      </c>
      <c r="U565">
        <v>2047</v>
      </c>
      <c r="V565">
        <v>123</v>
      </c>
      <c r="W565">
        <v>9</v>
      </c>
      <c r="X565">
        <v>992.01</v>
      </c>
      <c r="Y565">
        <v>54.46</v>
      </c>
      <c r="Z565">
        <v>1046.47</v>
      </c>
      <c r="AA565" t="s">
        <v>62</v>
      </c>
      <c r="AB565">
        <v>0</v>
      </c>
      <c r="AC565">
        <v>95.41</v>
      </c>
      <c r="AD565">
        <v>163</v>
      </c>
      <c r="AE565">
        <v>160</v>
      </c>
    </row>
    <row r="566" spans="1:31" x14ac:dyDescent="0.25">
      <c r="A566" t="s">
        <v>2674</v>
      </c>
      <c r="B566" t="s">
        <v>2675</v>
      </c>
      <c r="C566" s="1">
        <v>44199</v>
      </c>
      <c r="D566" s="1">
        <v>45152</v>
      </c>
      <c r="E566" t="s">
        <v>33</v>
      </c>
      <c r="F566" t="s">
        <v>146</v>
      </c>
      <c r="G566" t="s">
        <v>52</v>
      </c>
      <c r="H566" t="s">
        <v>36</v>
      </c>
      <c r="I566" t="s">
        <v>2676</v>
      </c>
      <c r="J566" t="s">
        <v>38</v>
      </c>
      <c r="K566" t="s">
        <v>39</v>
      </c>
      <c r="L566" t="s">
        <v>2677</v>
      </c>
      <c r="M566">
        <v>126.76</v>
      </c>
      <c r="N566">
        <v>33</v>
      </c>
      <c r="O566" t="s">
        <v>1356</v>
      </c>
      <c r="P566" t="s">
        <v>42</v>
      </c>
      <c r="Q566" t="s">
        <v>159</v>
      </c>
      <c r="R566" t="s">
        <v>44</v>
      </c>
      <c r="S566" t="s">
        <v>126</v>
      </c>
      <c r="T566" t="s">
        <v>638</v>
      </c>
      <c r="U566">
        <v>2699</v>
      </c>
      <c r="V566">
        <v>271</v>
      </c>
      <c r="W566">
        <v>12</v>
      </c>
      <c r="X566">
        <v>69.27</v>
      </c>
      <c r="Y566">
        <v>408.57</v>
      </c>
      <c r="Z566">
        <v>477.84</v>
      </c>
      <c r="AA566" t="s">
        <v>62</v>
      </c>
      <c r="AB566">
        <v>0</v>
      </c>
      <c r="AC566">
        <v>95.2</v>
      </c>
      <c r="AD566">
        <v>274</v>
      </c>
      <c r="AE566">
        <v>233</v>
      </c>
    </row>
    <row r="567" spans="1:31" x14ac:dyDescent="0.25">
      <c r="A567" t="s">
        <v>2678</v>
      </c>
      <c r="B567" t="s">
        <v>2679</v>
      </c>
      <c r="C567" s="1">
        <v>45134</v>
      </c>
      <c r="D567" s="1">
        <v>45387</v>
      </c>
      <c r="E567" t="s">
        <v>65</v>
      </c>
      <c r="F567" t="s">
        <v>91</v>
      </c>
      <c r="G567" t="s">
        <v>113</v>
      </c>
      <c r="H567" t="s">
        <v>36</v>
      </c>
      <c r="I567" t="s">
        <v>2680</v>
      </c>
      <c r="J567" t="s">
        <v>38</v>
      </c>
      <c r="K567" t="s">
        <v>81</v>
      </c>
      <c r="L567" t="s">
        <v>2681</v>
      </c>
      <c r="M567">
        <v>229.36</v>
      </c>
      <c r="N567">
        <v>25</v>
      </c>
      <c r="O567" t="s">
        <v>2682</v>
      </c>
      <c r="P567" t="s">
        <v>42</v>
      </c>
      <c r="Q567" t="s">
        <v>686</v>
      </c>
      <c r="R567" t="s">
        <v>86</v>
      </c>
      <c r="S567" t="s">
        <v>98</v>
      </c>
      <c r="T567" t="s">
        <v>922</v>
      </c>
      <c r="U567">
        <v>3909</v>
      </c>
      <c r="V567">
        <v>165</v>
      </c>
      <c r="W567">
        <v>6</v>
      </c>
      <c r="X567">
        <v>1608.67</v>
      </c>
      <c r="Y567">
        <v>35.82</v>
      </c>
      <c r="Z567">
        <v>1644.49</v>
      </c>
      <c r="AA567" t="s">
        <v>62</v>
      </c>
      <c r="AB567">
        <v>0</v>
      </c>
      <c r="AC567">
        <v>76.040000000000006</v>
      </c>
      <c r="AD567">
        <v>463</v>
      </c>
      <c r="AE567">
        <v>507</v>
      </c>
    </row>
    <row r="568" spans="1:31" x14ac:dyDescent="0.25">
      <c r="A568" t="s">
        <v>2683</v>
      </c>
      <c r="B568" t="s">
        <v>2684</v>
      </c>
      <c r="C568" s="1">
        <v>44777</v>
      </c>
      <c r="D568" s="1">
        <v>43904</v>
      </c>
      <c r="E568" t="s">
        <v>65</v>
      </c>
      <c r="F568" t="s">
        <v>77</v>
      </c>
      <c r="G568" t="s">
        <v>66</v>
      </c>
      <c r="H568" t="s">
        <v>163</v>
      </c>
      <c r="I568" t="s">
        <v>2685</v>
      </c>
      <c r="J568" t="s">
        <v>165</v>
      </c>
      <c r="K568" t="s">
        <v>166</v>
      </c>
      <c r="L568" t="s">
        <v>2686</v>
      </c>
      <c r="M568">
        <v>385.2</v>
      </c>
      <c r="N568">
        <v>88</v>
      </c>
      <c r="O568" t="s">
        <v>2687</v>
      </c>
      <c r="P568" t="s">
        <v>58</v>
      </c>
      <c r="Q568" t="s">
        <v>377</v>
      </c>
      <c r="R568" t="s">
        <v>152</v>
      </c>
      <c r="S568" t="s">
        <v>98</v>
      </c>
      <c r="T568" t="s">
        <v>437</v>
      </c>
      <c r="U568">
        <v>1626</v>
      </c>
      <c r="V568">
        <v>355</v>
      </c>
      <c r="W568">
        <v>21</v>
      </c>
      <c r="X568">
        <v>1312.13</v>
      </c>
      <c r="Y568">
        <v>352.33</v>
      </c>
      <c r="Z568">
        <v>1664.46</v>
      </c>
      <c r="AA568" t="s">
        <v>62</v>
      </c>
      <c r="AB568">
        <v>0</v>
      </c>
      <c r="AC568">
        <v>90.66</v>
      </c>
      <c r="AD568">
        <v>382</v>
      </c>
      <c r="AE568">
        <v>422</v>
      </c>
    </row>
    <row r="569" spans="1:31" x14ac:dyDescent="0.25">
      <c r="A569" t="s">
        <v>2688</v>
      </c>
      <c r="B569" t="s">
        <v>2689</v>
      </c>
      <c r="C569" s="1">
        <v>43881</v>
      </c>
      <c r="D569" s="1">
        <v>44718</v>
      </c>
      <c r="E569" t="s">
        <v>33</v>
      </c>
      <c r="F569" t="s">
        <v>146</v>
      </c>
      <c r="G569" t="s">
        <v>102</v>
      </c>
      <c r="H569" t="s">
        <v>79</v>
      </c>
      <c r="I569" t="s">
        <v>2690</v>
      </c>
      <c r="J569" t="s">
        <v>104</v>
      </c>
      <c r="K569" t="s">
        <v>181</v>
      </c>
      <c r="L569" t="s">
        <v>2691</v>
      </c>
      <c r="M569">
        <v>464.04</v>
      </c>
      <c r="N569">
        <v>69</v>
      </c>
      <c r="O569" t="s">
        <v>2120</v>
      </c>
      <c r="P569" t="s">
        <v>141</v>
      </c>
      <c r="Q569" t="s">
        <v>708</v>
      </c>
      <c r="R569" t="s">
        <v>44</v>
      </c>
      <c r="S569" t="s">
        <v>45</v>
      </c>
      <c r="T569" t="s">
        <v>371</v>
      </c>
      <c r="U569">
        <v>3476</v>
      </c>
      <c r="V569">
        <v>59</v>
      </c>
      <c r="W569">
        <v>12</v>
      </c>
      <c r="X569">
        <v>68.84</v>
      </c>
      <c r="Y569">
        <v>182.15</v>
      </c>
      <c r="Z569">
        <v>250.99</v>
      </c>
      <c r="AA569" t="s">
        <v>47</v>
      </c>
      <c r="AB569">
        <v>13</v>
      </c>
      <c r="AC569">
        <v>82.61</v>
      </c>
      <c r="AD569">
        <v>330</v>
      </c>
      <c r="AE569">
        <v>372</v>
      </c>
    </row>
    <row r="570" spans="1:31" x14ac:dyDescent="0.25">
      <c r="A570" t="s">
        <v>2692</v>
      </c>
      <c r="B570" t="s">
        <v>2693</v>
      </c>
      <c r="C570" s="1">
        <v>45101</v>
      </c>
      <c r="D570" s="1">
        <v>44262</v>
      </c>
      <c r="E570" t="s">
        <v>50</v>
      </c>
      <c r="F570" t="s">
        <v>146</v>
      </c>
      <c r="G570" t="s">
        <v>52</v>
      </c>
      <c r="H570" t="s">
        <v>67</v>
      </c>
      <c r="I570" t="s">
        <v>2405</v>
      </c>
      <c r="J570" t="s">
        <v>38</v>
      </c>
      <c r="K570" t="s">
        <v>94</v>
      </c>
      <c r="L570" t="s">
        <v>2406</v>
      </c>
      <c r="M570">
        <v>136.81</v>
      </c>
      <c r="N570">
        <v>22</v>
      </c>
      <c r="O570" t="s">
        <v>2694</v>
      </c>
      <c r="P570" t="s">
        <v>58</v>
      </c>
      <c r="Q570" t="s">
        <v>708</v>
      </c>
      <c r="R570" t="s">
        <v>152</v>
      </c>
      <c r="S570" t="s">
        <v>126</v>
      </c>
      <c r="T570" t="s">
        <v>206</v>
      </c>
      <c r="U570">
        <v>2618</v>
      </c>
      <c r="V570">
        <v>283</v>
      </c>
      <c r="W570">
        <v>5</v>
      </c>
      <c r="X570">
        <v>829.83</v>
      </c>
      <c r="Y570">
        <v>197.34</v>
      </c>
      <c r="Z570">
        <v>1027.17</v>
      </c>
      <c r="AA570" t="s">
        <v>62</v>
      </c>
      <c r="AB570">
        <v>0</v>
      </c>
      <c r="AC570">
        <v>98.09</v>
      </c>
      <c r="AD570">
        <v>284</v>
      </c>
      <c r="AE570">
        <v>312</v>
      </c>
    </row>
    <row r="571" spans="1:31" x14ac:dyDescent="0.25">
      <c r="A571" t="s">
        <v>2695</v>
      </c>
      <c r="B571" t="s">
        <v>2696</v>
      </c>
      <c r="C571" s="1">
        <v>44963</v>
      </c>
      <c r="D571" s="1">
        <v>45491</v>
      </c>
      <c r="E571" t="s">
        <v>65</v>
      </c>
      <c r="F571" t="s">
        <v>146</v>
      </c>
      <c r="G571" t="s">
        <v>102</v>
      </c>
      <c r="H571" t="s">
        <v>221</v>
      </c>
      <c r="I571" t="s">
        <v>2697</v>
      </c>
      <c r="J571" t="s">
        <v>38</v>
      </c>
      <c r="K571" t="s">
        <v>55</v>
      </c>
      <c r="L571" t="s">
        <v>2698</v>
      </c>
      <c r="M571">
        <v>95.36</v>
      </c>
      <c r="N571">
        <v>30</v>
      </c>
      <c r="O571" t="s">
        <v>2182</v>
      </c>
      <c r="P571" t="s">
        <v>108</v>
      </c>
      <c r="Q571" t="s">
        <v>464</v>
      </c>
      <c r="R571" t="s">
        <v>60</v>
      </c>
      <c r="S571" t="s">
        <v>73</v>
      </c>
      <c r="T571" t="s">
        <v>278</v>
      </c>
      <c r="U571">
        <v>2157</v>
      </c>
      <c r="V571">
        <v>353</v>
      </c>
      <c r="W571">
        <v>2</v>
      </c>
      <c r="X571">
        <v>654.92999999999995</v>
      </c>
      <c r="Y571">
        <v>373.52</v>
      </c>
      <c r="Z571">
        <v>1028.45</v>
      </c>
      <c r="AA571" t="s">
        <v>62</v>
      </c>
      <c r="AB571">
        <v>0</v>
      </c>
      <c r="AC571">
        <v>96.7</v>
      </c>
      <c r="AD571">
        <v>173</v>
      </c>
      <c r="AE571">
        <v>181</v>
      </c>
    </row>
    <row r="572" spans="1:31" x14ac:dyDescent="0.25">
      <c r="A572" t="s">
        <v>2699</v>
      </c>
      <c r="B572" t="s">
        <v>2700</v>
      </c>
      <c r="C572" s="1">
        <v>45333</v>
      </c>
      <c r="D572" s="1">
        <v>44592</v>
      </c>
      <c r="E572" t="s">
        <v>65</v>
      </c>
      <c r="F572" t="s">
        <v>51</v>
      </c>
      <c r="G572" t="s">
        <v>35</v>
      </c>
      <c r="H572" t="s">
        <v>221</v>
      </c>
      <c r="I572" t="s">
        <v>1120</v>
      </c>
      <c r="J572" t="s">
        <v>38</v>
      </c>
      <c r="K572" t="s">
        <v>81</v>
      </c>
      <c r="L572" t="s">
        <v>1121</v>
      </c>
      <c r="M572">
        <v>149.6</v>
      </c>
      <c r="N572">
        <v>59</v>
      </c>
      <c r="O572" t="s">
        <v>2701</v>
      </c>
      <c r="P572" t="s">
        <v>108</v>
      </c>
      <c r="Q572" t="s">
        <v>702</v>
      </c>
      <c r="R572" t="s">
        <v>152</v>
      </c>
      <c r="S572" t="s">
        <v>98</v>
      </c>
      <c r="T572" t="s">
        <v>198</v>
      </c>
      <c r="U572">
        <v>2472</v>
      </c>
      <c r="V572">
        <v>464</v>
      </c>
      <c r="W572">
        <v>18</v>
      </c>
      <c r="X572">
        <v>1570.12</v>
      </c>
      <c r="Y572">
        <v>279.12</v>
      </c>
      <c r="Z572">
        <v>1849.24</v>
      </c>
      <c r="AA572" t="s">
        <v>62</v>
      </c>
      <c r="AB572">
        <v>0</v>
      </c>
      <c r="AC572">
        <v>90.34</v>
      </c>
      <c r="AD572">
        <v>429</v>
      </c>
      <c r="AE572">
        <v>438</v>
      </c>
    </row>
    <row r="573" spans="1:31" x14ac:dyDescent="0.25">
      <c r="A573" t="s">
        <v>2702</v>
      </c>
      <c r="B573" t="s">
        <v>2703</v>
      </c>
      <c r="C573" s="1">
        <v>43864</v>
      </c>
      <c r="D573" s="1">
        <v>44680</v>
      </c>
      <c r="E573" t="s">
        <v>65</v>
      </c>
      <c r="F573" t="s">
        <v>77</v>
      </c>
      <c r="G573" t="s">
        <v>102</v>
      </c>
      <c r="H573" t="s">
        <v>79</v>
      </c>
      <c r="I573" t="s">
        <v>2704</v>
      </c>
      <c r="J573" t="s">
        <v>165</v>
      </c>
      <c r="K573" t="s">
        <v>166</v>
      </c>
      <c r="L573" t="s">
        <v>2705</v>
      </c>
      <c r="M573">
        <v>110.43</v>
      </c>
      <c r="N573">
        <v>61</v>
      </c>
      <c r="O573" t="s">
        <v>2706</v>
      </c>
      <c r="P573" t="s">
        <v>108</v>
      </c>
      <c r="Q573" t="s">
        <v>252</v>
      </c>
      <c r="R573" t="s">
        <v>60</v>
      </c>
      <c r="S573" t="s">
        <v>87</v>
      </c>
      <c r="T573" t="s">
        <v>1004</v>
      </c>
      <c r="U573">
        <v>1181</v>
      </c>
      <c r="V573">
        <v>169</v>
      </c>
      <c r="W573">
        <v>2</v>
      </c>
      <c r="X573">
        <v>823.97</v>
      </c>
      <c r="Y573">
        <v>288.99</v>
      </c>
      <c r="Z573">
        <v>1112.96</v>
      </c>
      <c r="AA573" t="s">
        <v>62</v>
      </c>
      <c r="AB573">
        <v>0</v>
      </c>
      <c r="AC573">
        <v>81.53</v>
      </c>
      <c r="AD573">
        <v>415</v>
      </c>
      <c r="AE573">
        <v>385</v>
      </c>
    </row>
    <row r="574" spans="1:31" x14ac:dyDescent="0.25">
      <c r="A574" t="s">
        <v>2707</v>
      </c>
      <c r="B574" t="s">
        <v>2708</v>
      </c>
      <c r="C574" s="1">
        <v>43858</v>
      </c>
      <c r="D574" s="1">
        <v>44146</v>
      </c>
      <c r="E574" t="s">
        <v>50</v>
      </c>
      <c r="F574" t="s">
        <v>77</v>
      </c>
      <c r="G574" t="s">
        <v>92</v>
      </c>
      <c r="H574" t="s">
        <v>67</v>
      </c>
      <c r="I574" t="s">
        <v>2709</v>
      </c>
      <c r="J574" t="s">
        <v>104</v>
      </c>
      <c r="K574" t="s">
        <v>181</v>
      </c>
      <c r="L574" t="s">
        <v>2710</v>
      </c>
      <c r="M574">
        <v>372</v>
      </c>
      <c r="N574">
        <v>19</v>
      </c>
      <c r="O574" t="s">
        <v>2711</v>
      </c>
      <c r="P574" t="s">
        <v>42</v>
      </c>
      <c r="Q574" t="s">
        <v>97</v>
      </c>
      <c r="R574" t="s">
        <v>44</v>
      </c>
      <c r="S574" t="s">
        <v>45</v>
      </c>
      <c r="T574" t="s">
        <v>267</v>
      </c>
      <c r="U574">
        <v>423</v>
      </c>
      <c r="V574">
        <v>74</v>
      </c>
      <c r="W574">
        <v>20</v>
      </c>
      <c r="X574">
        <v>742.61</v>
      </c>
      <c r="Y574">
        <v>432.23</v>
      </c>
      <c r="Z574">
        <v>1174.8399999999999</v>
      </c>
      <c r="AA574" t="s">
        <v>62</v>
      </c>
      <c r="AB574">
        <v>0</v>
      </c>
      <c r="AC574">
        <v>70.180000000000007</v>
      </c>
      <c r="AD574">
        <v>437</v>
      </c>
      <c r="AE574">
        <v>484</v>
      </c>
    </row>
    <row r="575" spans="1:31" x14ac:dyDescent="0.25">
      <c r="A575" t="s">
        <v>2712</v>
      </c>
      <c r="B575" t="s">
        <v>2713</v>
      </c>
      <c r="C575" s="1">
        <v>43911</v>
      </c>
      <c r="D575" s="1">
        <v>45529</v>
      </c>
      <c r="E575" t="s">
        <v>65</v>
      </c>
      <c r="F575" t="s">
        <v>77</v>
      </c>
      <c r="G575" t="s">
        <v>343</v>
      </c>
      <c r="H575" t="s">
        <v>163</v>
      </c>
      <c r="I575" t="s">
        <v>2714</v>
      </c>
      <c r="J575" t="s">
        <v>104</v>
      </c>
      <c r="K575" t="s">
        <v>554</v>
      </c>
      <c r="L575" t="s">
        <v>1705</v>
      </c>
      <c r="M575">
        <v>347.06</v>
      </c>
      <c r="N575">
        <v>56</v>
      </c>
      <c r="O575" t="s">
        <v>2715</v>
      </c>
      <c r="P575" t="s">
        <v>42</v>
      </c>
      <c r="Q575" t="s">
        <v>320</v>
      </c>
      <c r="R575" t="s">
        <v>44</v>
      </c>
      <c r="S575" t="s">
        <v>87</v>
      </c>
      <c r="T575" t="s">
        <v>206</v>
      </c>
      <c r="U575">
        <v>2022</v>
      </c>
      <c r="V575">
        <v>159</v>
      </c>
      <c r="W575">
        <v>4</v>
      </c>
      <c r="X575">
        <v>678.29</v>
      </c>
      <c r="Y575">
        <v>148.77000000000001</v>
      </c>
      <c r="Z575">
        <v>827.06</v>
      </c>
      <c r="AA575" t="s">
        <v>62</v>
      </c>
      <c r="AB575">
        <v>0</v>
      </c>
      <c r="AC575">
        <v>79.92</v>
      </c>
      <c r="AD575">
        <v>489</v>
      </c>
      <c r="AE575">
        <v>487</v>
      </c>
    </row>
    <row r="576" spans="1:31" x14ac:dyDescent="0.25">
      <c r="A576" t="s">
        <v>2716</v>
      </c>
      <c r="B576" t="s">
        <v>2717</v>
      </c>
      <c r="C576" s="1">
        <v>44203</v>
      </c>
      <c r="D576" s="1">
        <v>44392</v>
      </c>
      <c r="E576" t="s">
        <v>65</v>
      </c>
      <c r="F576" t="s">
        <v>34</v>
      </c>
      <c r="G576" t="s">
        <v>343</v>
      </c>
      <c r="H576" t="s">
        <v>114</v>
      </c>
      <c r="I576" t="s">
        <v>2718</v>
      </c>
      <c r="J576" t="s">
        <v>38</v>
      </c>
      <c r="K576" t="s">
        <v>263</v>
      </c>
      <c r="L576" t="s">
        <v>2719</v>
      </c>
      <c r="M576">
        <v>91.45</v>
      </c>
      <c r="N576">
        <v>66</v>
      </c>
      <c r="O576" t="s">
        <v>1593</v>
      </c>
      <c r="P576" t="s">
        <v>84</v>
      </c>
      <c r="Q576" t="s">
        <v>464</v>
      </c>
      <c r="R576" t="s">
        <v>60</v>
      </c>
      <c r="S576" t="s">
        <v>126</v>
      </c>
      <c r="T576" t="s">
        <v>302</v>
      </c>
      <c r="U576">
        <v>2882</v>
      </c>
      <c r="V576">
        <v>267</v>
      </c>
      <c r="W576">
        <v>22</v>
      </c>
      <c r="X576">
        <v>1734.49</v>
      </c>
      <c r="Y576">
        <v>473.92</v>
      </c>
      <c r="Z576">
        <v>2208.41</v>
      </c>
      <c r="AA576" t="s">
        <v>62</v>
      </c>
      <c r="AB576">
        <v>0</v>
      </c>
      <c r="AC576">
        <v>95.69</v>
      </c>
      <c r="AD576">
        <v>166</v>
      </c>
      <c r="AE576">
        <v>126</v>
      </c>
    </row>
    <row r="577" spans="1:31" x14ac:dyDescent="0.25">
      <c r="A577" t="s">
        <v>2720</v>
      </c>
      <c r="B577" t="s">
        <v>2721</v>
      </c>
      <c r="C577" s="1">
        <v>43945</v>
      </c>
      <c r="D577" s="1">
        <v>45515</v>
      </c>
      <c r="E577" t="s">
        <v>65</v>
      </c>
      <c r="F577" t="s">
        <v>34</v>
      </c>
      <c r="G577" t="s">
        <v>113</v>
      </c>
      <c r="H577" t="s">
        <v>53</v>
      </c>
      <c r="I577" t="s">
        <v>2722</v>
      </c>
      <c r="J577" t="s">
        <v>38</v>
      </c>
      <c r="K577" t="s">
        <v>69</v>
      </c>
      <c r="L577" t="s">
        <v>2723</v>
      </c>
      <c r="M577">
        <v>144.16999999999999</v>
      </c>
      <c r="N577">
        <v>58</v>
      </c>
      <c r="O577" t="s">
        <v>2724</v>
      </c>
      <c r="P577" t="s">
        <v>42</v>
      </c>
      <c r="Q577" t="s">
        <v>191</v>
      </c>
      <c r="R577" t="s">
        <v>60</v>
      </c>
      <c r="S577" t="s">
        <v>73</v>
      </c>
      <c r="T577" t="s">
        <v>1004</v>
      </c>
      <c r="U577">
        <v>1999</v>
      </c>
      <c r="V577">
        <v>192</v>
      </c>
      <c r="W577">
        <v>19</v>
      </c>
      <c r="X577">
        <v>328.44</v>
      </c>
      <c r="Y577">
        <v>111.04</v>
      </c>
      <c r="Z577">
        <v>439.48</v>
      </c>
      <c r="AA577" t="s">
        <v>62</v>
      </c>
      <c r="AB577">
        <v>0</v>
      </c>
      <c r="AC577">
        <v>80.12</v>
      </c>
      <c r="AD577">
        <v>499</v>
      </c>
      <c r="AE577">
        <v>452</v>
      </c>
    </row>
    <row r="578" spans="1:31" x14ac:dyDescent="0.25">
      <c r="A578" t="s">
        <v>2725</v>
      </c>
      <c r="B578" t="s">
        <v>2645</v>
      </c>
      <c r="C578" s="1">
        <v>44932</v>
      </c>
      <c r="D578" s="1">
        <v>45170</v>
      </c>
      <c r="E578" t="s">
        <v>65</v>
      </c>
      <c r="F578" t="s">
        <v>51</v>
      </c>
      <c r="G578" t="s">
        <v>113</v>
      </c>
      <c r="H578" t="s">
        <v>79</v>
      </c>
      <c r="I578" t="s">
        <v>2067</v>
      </c>
      <c r="J578" t="s">
        <v>38</v>
      </c>
      <c r="K578" t="s">
        <v>81</v>
      </c>
      <c r="L578" t="s">
        <v>2068</v>
      </c>
      <c r="M578">
        <v>207.34</v>
      </c>
      <c r="N578">
        <v>44</v>
      </c>
      <c r="O578" t="s">
        <v>2726</v>
      </c>
      <c r="P578" t="s">
        <v>84</v>
      </c>
      <c r="Q578" t="s">
        <v>184</v>
      </c>
      <c r="R578" t="s">
        <v>86</v>
      </c>
      <c r="S578" t="s">
        <v>73</v>
      </c>
      <c r="T578" t="s">
        <v>143</v>
      </c>
      <c r="U578">
        <v>952</v>
      </c>
      <c r="V578">
        <v>467</v>
      </c>
      <c r="W578">
        <v>14</v>
      </c>
      <c r="X578">
        <v>1230.51</v>
      </c>
      <c r="Y578">
        <v>62.64</v>
      </c>
      <c r="Z578">
        <v>1293.1500000000001</v>
      </c>
      <c r="AA578" t="s">
        <v>62</v>
      </c>
      <c r="AB578">
        <v>0</v>
      </c>
      <c r="AC578">
        <v>79.59</v>
      </c>
      <c r="AD578">
        <v>236</v>
      </c>
      <c r="AE578">
        <v>239</v>
      </c>
    </row>
    <row r="579" spans="1:31" x14ac:dyDescent="0.25">
      <c r="A579" t="s">
        <v>2727</v>
      </c>
      <c r="B579" t="s">
        <v>2728</v>
      </c>
      <c r="C579" s="1">
        <v>44008</v>
      </c>
      <c r="D579" s="1">
        <v>44644</v>
      </c>
      <c r="E579" t="s">
        <v>65</v>
      </c>
      <c r="F579" t="s">
        <v>91</v>
      </c>
      <c r="G579" t="s">
        <v>113</v>
      </c>
      <c r="H579" t="s">
        <v>67</v>
      </c>
      <c r="I579" t="s">
        <v>2729</v>
      </c>
      <c r="J579" t="s">
        <v>104</v>
      </c>
      <c r="K579" t="s">
        <v>229</v>
      </c>
      <c r="L579" t="s">
        <v>2730</v>
      </c>
      <c r="M579">
        <v>115.29</v>
      </c>
      <c r="N579">
        <v>80</v>
      </c>
      <c r="O579" t="s">
        <v>2731</v>
      </c>
      <c r="P579" t="s">
        <v>84</v>
      </c>
      <c r="Q579" t="s">
        <v>232</v>
      </c>
      <c r="R579" t="s">
        <v>60</v>
      </c>
      <c r="S579" t="s">
        <v>73</v>
      </c>
      <c r="T579" t="s">
        <v>675</v>
      </c>
      <c r="U579">
        <v>1289</v>
      </c>
      <c r="V579">
        <v>279</v>
      </c>
      <c r="W579">
        <v>12</v>
      </c>
      <c r="X579">
        <v>118.22</v>
      </c>
      <c r="Y579">
        <v>200.93</v>
      </c>
      <c r="Z579">
        <v>319.14999999999998</v>
      </c>
      <c r="AA579" t="s">
        <v>62</v>
      </c>
      <c r="AB579">
        <v>0</v>
      </c>
      <c r="AC579">
        <v>82.04</v>
      </c>
      <c r="AD579">
        <v>291</v>
      </c>
      <c r="AE579">
        <v>247</v>
      </c>
    </row>
    <row r="580" spans="1:31" x14ac:dyDescent="0.25">
      <c r="A580" t="s">
        <v>2732</v>
      </c>
      <c r="B580" t="s">
        <v>2733</v>
      </c>
      <c r="C580" s="1">
        <v>45231</v>
      </c>
      <c r="D580" s="1">
        <v>44394</v>
      </c>
      <c r="E580" t="s">
        <v>65</v>
      </c>
      <c r="F580" t="s">
        <v>146</v>
      </c>
      <c r="G580" t="s">
        <v>102</v>
      </c>
      <c r="H580" t="s">
        <v>114</v>
      </c>
      <c r="I580" t="s">
        <v>1988</v>
      </c>
      <c r="J580" t="s">
        <v>104</v>
      </c>
      <c r="K580" t="s">
        <v>181</v>
      </c>
      <c r="L580" t="s">
        <v>1989</v>
      </c>
      <c r="M580">
        <v>219.84</v>
      </c>
      <c r="N580">
        <v>41</v>
      </c>
      <c r="O580" t="s">
        <v>2734</v>
      </c>
      <c r="P580" t="s">
        <v>108</v>
      </c>
      <c r="Q580" t="s">
        <v>370</v>
      </c>
      <c r="R580" t="s">
        <v>44</v>
      </c>
      <c r="S580" t="s">
        <v>73</v>
      </c>
      <c r="T580" t="s">
        <v>1229</v>
      </c>
      <c r="U580">
        <v>434</v>
      </c>
      <c r="V580">
        <v>269</v>
      </c>
      <c r="W580">
        <v>4</v>
      </c>
      <c r="X580">
        <v>876.64</v>
      </c>
      <c r="Y580">
        <v>353.86</v>
      </c>
      <c r="Z580">
        <v>1230.5</v>
      </c>
      <c r="AA580" t="s">
        <v>62</v>
      </c>
      <c r="AB580">
        <v>0</v>
      </c>
      <c r="AC580">
        <v>70.5</v>
      </c>
      <c r="AD580">
        <v>484</v>
      </c>
      <c r="AE580">
        <v>471</v>
      </c>
    </row>
    <row r="581" spans="1:31" x14ac:dyDescent="0.25">
      <c r="A581" t="s">
        <v>2735</v>
      </c>
      <c r="B581" t="s">
        <v>2736</v>
      </c>
      <c r="C581" s="1">
        <v>43834</v>
      </c>
      <c r="D581" s="1">
        <v>44687</v>
      </c>
      <c r="E581" t="s">
        <v>33</v>
      </c>
      <c r="F581" t="s">
        <v>146</v>
      </c>
      <c r="G581" t="s">
        <v>66</v>
      </c>
      <c r="H581" t="s">
        <v>36</v>
      </c>
      <c r="I581" t="s">
        <v>2737</v>
      </c>
      <c r="J581" t="s">
        <v>104</v>
      </c>
      <c r="K581" t="s">
        <v>181</v>
      </c>
      <c r="L581" t="s">
        <v>2738</v>
      </c>
      <c r="M581">
        <v>330.12</v>
      </c>
      <c r="N581">
        <v>55</v>
      </c>
      <c r="O581" t="s">
        <v>2739</v>
      </c>
      <c r="P581" t="s">
        <v>141</v>
      </c>
      <c r="Q581" t="s">
        <v>517</v>
      </c>
      <c r="R581" t="s">
        <v>60</v>
      </c>
      <c r="S581" t="s">
        <v>98</v>
      </c>
      <c r="T581" t="s">
        <v>1294</v>
      </c>
      <c r="U581">
        <v>1313</v>
      </c>
      <c r="V581">
        <v>380</v>
      </c>
      <c r="W581">
        <v>6</v>
      </c>
      <c r="X581">
        <v>1390.4</v>
      </c>
      <c r="Y581">
        <v>99.35</v>
      </c>
      <c r="Z581">
        <v>1489.75</v>
      </c>
      <c r="AA581" t="s">
        <v>62</v>
      </c>
      <c r="AB581">
        <v>0</v>
      </c>
      <c r="AC581">
        <v>89.31</v>
      </c>
      <c r="AD581">
        <v>319</v>
      </c>
      <c r="AE581">
        <v>297</v>
      </c>
    </row>
    <row r="582" spans="1:31" x14ac:dyDescent="0.25">
      <c r="A582" t="s">
        <v>2740</v>
      </c>
      <c r="B582" t="s">
        <v>2741</v>
      </c>
      <c r="C582" s="1">
        <v>44859</v>
      </c>
      <c r="D582" s="1">
        <v>44152</v>
      </c>
      <c r="E582" t="s">
        <v>65</v>
      </c>
      <c r="F582" t="s">
        <v>91</v>
      </c>
      <c r="G582" t="s">
        <v>78</v>
      </c>
      <c r="H582" t="s">
        <v>53</v>
      </c>
      <c r="I582" t="s">
        <v>2742</v>
      </c>
      <c r="J582" t="s">
        <v>38</v>
      </c>
      <c r="K582" t="s">
        <v>338</v>
      </c>
      <c r="L582" t="s">
        <v>2743</v>
      </c>
      <c r="M582">
        <v>297.08</v>
      </c>
      <c r="N582">
        <v>90</v>
      </c>
      <c r="O582" t="s">
        <v>190</v>
      </c>
      <c r="P582" t="s">
        <v>58</v>
      </c>
      <c r="Q582" t="s">
        <v>85</v>
      </c>
      <c r="R582" t="s">
        <v>86</v>
      </c>
      <c r="S582" t="s">
        <v>98</v>
      </c>
      <c r="T582" t="s">
        <v>253</v>
      </c>
      <c r="U582">
        <v>1237</v>
      </c>
      <c r="V582">
        <v>450</v>
      </c>
      <c r="W582">
        <v>20</v>
      </c>
      <c r="X582">
        <v>230.38</v>
      </c>
      <c r="Y582">
        <v>352.55</v>
      </c>
      <c r="Z582">
        <v>582.93000000000006</v>
      </c>
      <c r="AA582" t="s">
        <v>62</v>
      </c>
      <c r="AB582">
        <v>0</v>
      </c>
      <c r="AC582">
        <v>80</v>
      </c>
      <c r="AD582">
        <v>457</v>
      </c>
      <c r="AE582">
        <v>412</v>
      </c>
    </row>
    <row r="583" spans="1:31" x14ac:dyDescent="0.25">
      <c r="A583" t="s">
        <v>2744</v>
      </c>
      <c r="B583" t="s">
        <v>2745</v>
      </c>
      <c r="C583" s="1">
        <v>44092</v>
      </c>
      <c r="D583" s="1">
        <v>45658</v>
      </c>
      <c r="E583" t="s">
        <v>65</v>
      </c>
      <c r="F583" t="s">
        <v>91</v>
      </c>
      <c r="G583" t="s">
        <v>343</v>
      </c>
      <c r="H583" t="s">
        <v>163</v>
      </c>
      <c r="I583" t="s">
        <v>2746</v>
      </c>
      <c r="J583" t="s">
        <v>38</v>
      </c>
      <c r="K583" t="s">
        <v>39</v>
      </c>
      <c r="L583" t="s">
        <v>2181</v>
      </c>
      <c r="M583">
        <v>349.41</v>
      </c>
      <c r="N583">
        <v>42</v>
      </c>
      <c r="O583" t="s">
        <v>1901</v>
      </c>
      <c r="P583" t="s">
        <v>108</v>
      </c>
      <c r="Q583" t="s">
        <v>370</v>
      </c>
      <c r="R583" t="s">
        <v>86</v>
      </c>
      <c r="S583" t="s">
        <v>87</v>
      </c>
      <c r="T583" t="s">
        <v>134</v>
      </c>
      <c r="U583">
        <v>4458</v>
      </c>
      <c r="V583">
        <v>393</v>
      </c>
      <c r="W583">
        <v>20</v>
      </c>
      <c r="X583">
        <v>96.34</v>
      </c>
      <c r="Y583">
        <v>300.07</v>
      </c>
      <c r="Z583">
        <v>396.41</v>
      </c>
      <c r="AA583" t="s">
        <v>62</v>
      </c>
      <c r="AB583">
        <v>0</v>
      </c>
      <c r="AC583">
        <v>83.42</v>
      </c>
      <c r="AD583">
        <v>230</v>
      </c>
      <c r="AE583">
        <v>214</v>
      </c>
    </row>
    <row r="584" spans="1:31" x14ac:dyDescent="0.25">
      <c r="A584" t="s">
        <v>2747</v>
      </c>
      <c r="B584" t="s">
        <v>2748</v>
      </c>
      <c r="C584" s="1">
        <v>45428</v>
      </c>
      <c r="D584" s="1">
        <v>43846</v>
      </c>
      <c r="E584" t="s">
        <v>65</v>
      </c>
      <c r="F584" t="s">
        <v>91</v>
      </c>
      <c r="G584" t="s">
        <v>102</v>
      </c>
      <c r="H584" t="s">
        <v>163</v>
      </c>
      <c r="I584" t="s">
        <v>2749</v>
      </c>
      <c r="J584" t="s">
        <v>104</v>
      </c>
      <c r="K584" t="s">
        <v>554</v>
      </c>
      <c r="L584" t="s">
        <v>2750</v>
      </c>
      <c r="M584">
        <v>24.53</v>
      </c>
      <c r="N584">
        <v>43</v>
      </c>
      <c r="O584" t="s">
        <v>2751</v>
      </c>
      <c r="P584" t="s">
        <v>42</v>
      </c>
      <c r="Q584" t="s">
        <v>425</v>
      </c>
      <c r="R584" t="s">
        <v>152</v>
      </c>
      <c r="S584" t="s">
        <v>126</v>
      </c>
      <c r="T584" t="s">
        <v>308</v>
      </c>
      <c r="U584">
        <v>1184</v>
      </c>
      <c r="V584">
        <v>140</v>
      </c>
      <c r="W584">
        <v>10</v>
      </c>
      <c r="X584">
        <v>925.54</v>
      </c>
      <c r="Y584">
        <v>305.97000000000003</v>
      </c>
      <c r="Z584">
        <v>1231.51</v>
      </c>
      <c r="AA584" t="s">
        <v>62</v>
      </c>
      <c r="AB584">
        <v>0</v>
      </c>
      <c r="AC584">
        <v>82.69</v>
      </c>
      <c r="AD584">
        <v>498</v>
      </c>
      <c r="AE584">
        <v>499</v>
      </c>
    </row>
    <row r="585" spans="1:31" x14ac:dyDescent="0.25">
      <c r="A585" t="s">
        <v>2752</v>
      </c>
      <c r="B585" t="s">
        <v>2753</v>
      </c>
      <c r="C585" s="1">
        <v>44098</v>
      </c>
      <c r="D585" s="1">
        <v>45288</v>
      </c>
      <c r="E585" t="s">
        <v>65</v>
      </c>
      <c r="F585" t="s">
        <v>146</v>
      </c>
      <c r="G585" t="s">
        <v>78</v>
      </c>
      <c r="H585" t="s">
        <v>36</v>
      </c>
      <c r="I585" t="s">
        <v>2754</v>
      </c>
      <c r="J585" t="s">
        <v>38</v>
      </c>
      <c r="K585" t="s">
        <v>94</v>
      </c>
      <c r="L585" t="s">
        <v>2755</v>
      </c>
      <c r="M585">
        <v>464.56</v>
      </c>
      <c r="N585">
        <v>91</v>
      </c>
      <c r="O585" t="s">
        <v>2756</v>
      </c>
      <c r="P585" t="s">
        <v>84</v>
      </c>
      <c r="Q585" t="s">
        <v>205</v>
      </c>
      <c r="R585" t="s">
        <v>60</v>
      </c>
      <c r="S585" t="s">
        <v>98</v>
      </c>
      <c r="T585" t="s">
        <v>437</v>
      </c>
      <c r="U585">
        <v>278</v>
      </c>
      <c r="V585">
        <v>378</v>
      </c>
      <c r="W585">
        <v>27</v>
      </c>
      <c r="X585">
        <v>1081.01</v>
      </c>
      <c r="Y585">
        <v>148.91</v>
      </c>
      <c r="Z585">
        <v>1229.92</v>
      </c>
      <c r="AA585" t="s">
        <v>62</v>
      </c>
      <c r="AB585">
        <v>0</v>
      </c>
      <c r="AC585">
        <v>72.489999999999995</v>
      </c>
      <c r="AD585">
        <v>189</v>
      </c>
      <c r="AE585">
        <v>200</v>
      </c>
    </row>
    <row r="586" spans="1:31" x14ac:dyDescent="0.25">
      <c r="A586" t="s">
        <v>2757</v>
      </c>
      <c r="B586" t="s">
        <v>1670</v>
      </c>
      <c r="C586" s="1">
        <v>45589</v>
      </c>
      <c r="D586" s="1">
        <v>44745</v>
      </c>
      <c r="E586" t="s">
        <v>65</v>
      </c>
      <c r="F586" t="s">
        <v>34</v>
      </c>
      <c r="G586" t="s">
        <v>52</v>
      </c>
      <c r="H586" t="s">
        <v>163</v>
      </c>
      <c r="I586" t="s">
        <v>2758</v>
      </c>
      <c r="J586" t="s">
        <v>38</v>
      </c>
      <c r="K586" t="s">
        <v>55</v>
      </c>
      <c r="L586" t="s">
        <v>2759</v>
      </c>
      <c r="M586">
        <v>260.89</v>
      </c>
      <c r="N586">
        <v>84</v>
      </c>
      <c r="O586" t="s">
        <v>950</v>
      </c>
      <c r="P586" t="s">
        <v>141</v>
      </c>
      <c r="Q586" t="s">
        <v>686</v>
      </c>
      <c r="R586" t="s">
        <v>60</v>
      </c>
      <c r="S586" t="s">
        <v>87</v>
      </c>
      <c r="T586" t="s">
        <v>922</v>
      </c>
      <c r="U586">
        <v>4167</v>
      </c>
      <c r="V586">
        <v>446</v>
      </c>
      <c r="W586">
        <v>29</v>
      </c>
      <c r="X586">
        <v>188.23</v>
      </c>
      <c r="Y586">
        <v>408.31</v>
      </c>
      <c r="Z586">
        <v>596.54</v>
      </c>
      <c r="AA586" t="s">
        <v>62</v>
      </c>
      <c r="AB586">
        <v>0</v>
      </c>
      <c r="AC586">
        <v>89.54</v>
      </c>
      <c r="AD586">
        <v>377</v>
      </c>
      <c r="AE586">
        <v>413</v>
      </c>
    </row>
    <row r="587" spans="1:31" x14ac:dyDescent="0.25">
      <c r="A587" t="s">
        <v>2760</v>
      </c>
      <c r="B587" t="s">
        <v>2761</v>
      </c>
      <c r="C587" s="1">
        <v>44043</v>
      </c>
      <c r="D587" s="1">
        <v>45546</v>
      </c>
      <c r="E587" t="s">
        <v>65</v>
      </c>
      <c r="F587" t="s">
        <v>77</v>
      </c>
      <c r="G587" t="s">
        <v>66</v>
      </c>
      <c r="H587" t="s">
        <v>163</v>
      </c>
      <c r="I587" t="s">
        <v>1713</v>
      </c>
      <c r="J587" t="s">
        <v>38</v>
      </c>
      <c r="K587" t="s">
        <v>55</v>
      </c>
      <c r="L587" t="s">
        <v>1714</v>
      </c>
      <c r="M587">
        <v>180.83</v>
      </c>
      <c r="N587">
        <v>87</v>
      </c>
      <c r="O587" t="s">
        <v>2762</v>
      </c>
      <c r="P587" t="s">
        <v>84</v>
      </c>
      <c r="Q587" t="s">
        <v>425</v>
      </c>
      <c r="R587" t="s">
        <v>44</v>
      </c>
      <c r="S587" t="s">
        <v>87</v>
      </c>
      <c r="T587" t="s">
        <v>721</v>
      </c>
      <c r="U587">
        <v>2560</v>
      </c>
      <c r="V587">
        <v>369</v>
      </c>
      <c r="W587">
        <v>15</v>
      </c>
      <c r="X587">
        <v>174.17</v>
      </c>
      <c r="Y587">
        <v>387.95</v>
      </c>
      <c r="Z587">
        <v>562.12</v>
      </c>
      <c r="AA587" t="s">
        <v>47</v>
      </c>
      <c r="AB587">
        <v>5</v>
      </c>
      <c r="AC587">
        <v>86.33</v>
      </c>
      <c r="AD587">
        <v>498</v>
      </c>
      <c r="AE587">
        <v>471</v>
      </c>
    </row>
    <row r="588" spans="1:31" x14ac:dyDescent="0.25">
      <c r="A588" t="s">
        <v>2763</v>
      </c>
      <c r="B588" t="s">
        <v>2764</v>
      </c>
      <c r="C588" s="1">
        <v>45367</v>
      </c>
      <c r="D588" s="1">
        <v>44018</v>
      </c>
      <c r="E588" t="s">
        <v>65</v>
      </c>
      <c r="F588" t="s">
        <v>34</v>
      </c>
      <c r="G588" t="s">
        <v>92</v>
      </c>
      <c r="H588" t="s">
        <v>36</v>
      </c>
      <c r="I588" t="s">
        <v>2765</v>
      </c>
      <c r="J588" t="s">
        <v>38</v>
      </c>
      <c r="K588" t="s">
        <v>55</v>
      </c>
      <c r="L588" t="s">
        <v>2766</v>
      </c>
      <c r="M588">
        <v>82.84</v>
      </c>
      <c r="N588">
        <v>67</v>
      </c>
      <c r="O588" t="s">
        <v>1314</v>
      </c>
      <c r="P588" t="s">
        <v>58</v>
      </c>
      <c r="Q588" t="s">
        <v>425</v>
      </c>
      <c r="R588" t="s">
        <v>44</v>
      </c>
      <c r="S588" t="s">
        <v>87</v>
      </c>
      <c r="T588" t="s">
        <v>738</v>
      </c>
      <c r="U588">
        <v>3449</v>
      </c>
      <c r="V588">
        <v>268</v>
      </c>
      <c r="W588">
        <v>11</v>
      </c>
      <c r="X588">
        <v>1736.2</v>
      </c>
      <c r="Y588">
        <v>73.84</v>
      </c>
      <c r="Z588">
        <v>1810.04</v>
      </c>
      <c r="AA588" t="s">
        <v>62</v>
      </c>
      <c r="AB588">
        <v>0</v>
      </c>
      <c r="AC588">
        <v>78.489999999999995</v>
      </c>
      <c r="AD588">
        <v>147</v>
      </c>
      <c r="AE588">
        <v>128</v>
      </c>
    </row>
    <row r="589" spans="1:31" x14ac:dyDescent="0.25">
      <c r="A589" t="s">
        <v>2767</v>
      </c>
      <c r="B589" t="s">
        <v>2768</v>
      </c>
      <c r="C589" s="1">
        <v>43832</v>
      </c>
      <c r="D589" s="1">
        <v>44292</v>
      </c>
      <c r="E589" t="s">
        <v>65</v>
      </c>
      <c r="F589" t="s">
        <v>146</v>
      </c>
      <c r="G589" t="s">
        <v>35</v>
      </c>
      <c r="H589" t="s">
        <v>36</v>
      </c>
      <c r="I589" t="s">
        <v>2769</v>
      </c>
      <c r="J589" t="s">
        <v>38</v>
      </c>
      <c r="K589" t="s">
        <v>263</v>
      </c>
      <c r="L589" t="s">
        <v>2770</v>
      </c>
      <c r="M589">
        <v>320.68</v>
      </c>
      <c r="N589">
        <v>38</v>
      </c>
      <c r="O589" t="s">
        <v>2037</v>
      </c>
      <c r="P589" t="s">
        <v>108</v>
      </c>
      <c r="Q589" t="s">
        <v>176</v>
      </c>
      <c r="R589" t="s">
        <v>86</v>
      </c>
      <c r="S589" t="s">
        <v>45</v>
      </c>
      <c r="T589" t="s">
        <v>153</v>
      </c>
      <c r="U589">
        <v>4061</v>
      </c>
      <c r="V589">
        <v>100</v>
      </c>
      <c r="W589">
        <v>13</v>
      </c>
      <c r="X589">
        <v>1380.71</v>
      </c>
      <c r="Y589">
        <v>326.22000000000003</v>
      </c>
      <c r="Z589">
        <v>1706.93</v>
      </c>
      <c r="AA589" t="s">
        <v>62</v>
      </c>
      <c r="AB589">
        <v>0</v>
      </c>
      <c r="AC589">
        <v>78.180000000000007</v>
      </c>
      <c r="AD589">
        <v>50</v>
      </c>
      <c r="AE589">
        <v>36</v>
      </c>
    </row>
    <row r="590" spans="1:31" x14ac:dyDescent="0.25">
      <c r="A590" t="s">
        <v>2771</v>
      </c>
      <c r="B590" t="s">
        <v>2772</v>
      </c>
      <c r="C590" s="1">
        <v>43966</v>
      </c>
      <c r="D590" s="1">
        <v>44607</v>
      </c>
      <c r="E590" t="s">
        <v>65</v>
      </c>
      <c r="F590" t="s">
        <v>34</v>
      </c>
      <c r="G590" t="s">
        <v>92</v>
      </c>
      <c r="H590" t="s">
        <v>163</v>
      </c>
      <c r="I590" t="s">
        <v>324</v>
      </c>
      <c r="J590" t="s">
        <v>38</v>
      </c>
      <c r="K590" t="s">
        <v>69</v>
      </c>
      <c r="L590" t="s">
        <v>325</v>
      </c>
      <c r="M590">
        <v>201.09</v>
      </c>
      <c r="N590">
        <v>84</v>
      </c>
      <c r="O590" t="s">
        <v>940</v>
      </c>
      <c r="P590" t="s">
        <v>108</v>
      </c>
      <c r="Q590" t="s">
        <v>389</v>
      </c>
      <c r="R590" t="s">
        <v>60</v>
      </c>
      <c r="S590" t="s">
        <v>45</v>
      </c>
      <c r="T590" t="s">
        <v>437</v>
      </c>
      <c r="U590">
        <v>588</v>
      </c>
      <c r="V590">
        <v>65</v>
      </c>
      <c r="W590">
        <v>20</v>
      </c>
      <c r="X590">
        <v>259.27</v>
      </c>
      <c r="Y590">
        <v>484.95</v>
      </c>
      <c r="Z590">
        <v>744.22</v>
      </c>
      <c r="AA590" t="s">
        <v>62</v>
      </c>
      <c r="AB590">
        <v>0</v>
      </c>
      <c r="AC590">
        <v>83.73</v>
      </c>
      <c r="AD590">
        <v>307</v>
      </c>
      <c r="AE590">
        <v>293</v>
      </c>
    </row>
    <row r="591" spans="1:31" x14ac:dyDescent="0.25">
      <c r="A591" t="s">
        <v>2773</v>
      </c>
      <c r="B591" t="s">
        <v>2774</v>
      </c>
      <c r="C591" s="1">
        <v>44549</v>
      </c>
      <c r="D591" s="1">
        <v>44581</v>
      </c>
      <c r="E591" t="s">
        <v>65</v>
      </c>
      <c r="F591" t="s">
        <v>51</v>
      </c>
      <c r="G591" t="s">
        <v>52</v>
      </c>
      <c r="H591" t="s">
        <v>36</v>
      </c>
      <c r="I591" t="s">
        <v>2519</v>
      </c>
      <c r="J591" t="s">
        <v>38</v>
      </c>
      <c r="K591" t="s">
        <v>39</v>
      </c>
      <c r="L591" t="s">
        <v>2520</v>
      </c>
      <c r="M591">
        <v>53.44</v>
      </c>
      <c r="N591">
        <v>13</v>
      </c>
      <c r="O591" t="s">
        <v>2456</v>
      </c>
      <c r="P591" t="s">
        <v>84</v>
      </c>
      <c r="Q591" t="s">
        <v>464</v>
      </c>
      <c r="R591" t="s">
        <v>44</v>
      </c>
      <c r="S591" t="s">
        <v>73</v>
      </c>
      <c r="T591" t="s">
        <v>1004</v>
      </c>
      <c r="U591">
        <v>3616</v>
      </c>
      <c r="V591">
        <v>178</v>
      </c>
      <c r="W591">
        <v>24</v>
      </c>
      <c r="X591">
        <v>1955.65</v>
      </c>
      <c r="Y591">
        <v>473.11</v>
      </c>
      <c r="Z591">
        <v>2428.7600000000002</v>
      </c>
      <c r="AA591" t="s">
        <v>62</v>
      </c>
      <c r="AB591">
        <v>0</v>
      </c>
      <c r="AC591">
        <v>86.98</v>
      </c>
      <c r="AD591">
        <v>297</v>
      </c>
      <c r="AE591">
        <v>252</v>
      </c>
    </row>
    <row r="592" spans="1:31" x14ac:dyDescent="0.25">
      <c r="A592" t="s">
        <v>2775</v>
      </c>
      <c r="B592" t="s">
        <v>2776</v>
      </c>
      <c r="C592" s="1">
        <v>44938</v>
      </c>
      <c r="D592" s="1">
        <v>44133</v>
      </c>
      <c r="E592" t="s">
        <v>65</v>
      </c>
      <c r="F592" t="s">
        <v>77</v>
      </c>
      <c r="G592" t="s">
        <v>78</v>
      </c>
      <c r="H592" t="s">
        <v>114</v>
      </c>
      <c r="I592" t="s">
        <v>2777</v>
      </c>
      <c r="J592" t="s">
        <v>38</v>
      </c>
      <c r="K592" t="s">
        <v>735</v>
      </c>
      <c r="L592" t="s">
        <v>2778</v>
      </c>
      <c r="M592">
        <v>213.04</v>
      </c>
      <c r="N592">
        <v>9</v>
      </c>
      <c r="O592" t="s">
        <v>2779</v>
      </c>
      <c r="P592" t="s">
        <v>108</v>
      </c>
      <c r="Q592" t="s">
        <v>909</v>
      </c>
      <c r="R592" t="s">
        <v>60</v>
      </c>
      <c r="S592" t="s">
        <v>87</v>
      </c>
      <c r="T592" t="s">
        <v>922</v>
      </c>
      <c r="U592">
        <v>998</v>
      </c>
      <c r="V592">
        <v>200</v>
      </c>
      <c r="W592">
        <v>18</v>
      </c>
      <c r="X592">
        <v>1126.2</v>
      </c>
      <c r="Y592">
        <v>140.66999999999999</v>
      </c>
      <c r="Z592">
        <v>1266.8699999999999</v>
      </c>
      <c r="AA592" t="s">
        <v>62</v>
      </c>
      <c r="AB592">
        <v>0</v>
      </c>
      <c r="AC592">
        <v>78.42</v>
      </c>
      <c r="AD592">
        <v>492</v>
      </c>
      <c r="AE592">
        <v>460</v>
      </c>
    </row>
    <row r="593" spans="1:31" x14ac:dyDescent="0.25">
      <c r="A593" t="s">
        <v>2780</v>
      </c>
      <c r="B593" t="s">
        <v>2781</v>
      </c>
      <c r="C593" s="1">
        <v>43892</v>
      </c>
      <c r="D593" s="1">
        <v>44113</v>
      </c>
      <c r="E593" t="s">
        <v>65</v>
      </c>
      <c r="F593" t="s">
        <v>146</v>
      </c>
      <c r="G593" t="s">
        <v>35</v>
      </c>
      <c r="H593" t="s">
        <v>163</v>
      </c>
      <c r="I593" t="s">
        <v>2782</v>
      </c>
      <c r="J593" t="s">
        <v>104</v>
      </c>
      <c r="K593" t="s">
        <v>554</v>
      </c>
      <c r="L593" t="s">
        <v>2783</v>
      </c>
      <c r="M593">
        <v>233.67</v>
      </c>
      <c r="N593">
        <v>92</v>
      </c>
      <c r="O593" t="s">
        <v>2784</v>
      </c>
      <c r="P593" t="s">
        <v>141</v>
      </c>
      <c r="Q593" t="s">
        <v>125</v>
      </c>
      <c r="R593" t="s">
        <v>86</v>
      </c>
      <c r="S593" t="s">
        <v>45</v>
      </c>
      <c r="T593" t="s">
        <v>74</v>
      </c>
      <c r="U593">
        <v>2991</v>
      </c>
      <c r="V593">
        <v>138</v>
      </c>
      <c r="W593">
        <v>6</v>
      </c>
      <c r="X593">
        <v>1550.64</v>
      </c>
      <c r="Y593">
        <v>437.51</v>
      </c>
      <c r="Z593">
        <v>1988.15</v>
      </c>
      <c r="AA593" t="s">
        <v>62</v>
      </c>
      <c r="AB593">
        <v>0</v>
      </c>
      <c r="AC593">
        <v>93.61</v>
      </c>
      <c r="AD593">
        <v>379</v>
      </c>
      <c r="AE593">
        <v>357</v>
      </c>
    </row>
    <row r="594" spans="1:31" x14ac:dyDescent="0.25">
      <c r="A594" t="s">
        <v>2785</v>
      </c>
      <c r="B594" t="s">
        <v>2786</v>
      </c>
      <c r="C594" s="1">
        <v>44307</v>
      </c>
      <c r="D594" s="1">
        <v>45208</v>
      </c>
      <c r="E594" t="s">
        <v>65</v>
      </c>
      <c r="F594" t="s">
        <v>51</v>
      </c>
      <c r="G594" t="s">
        <v>35</v>
      </c>
      <c r="H594" t="s">
        <v>163</v>
      </c>
      <c r="I594" t="s">
        <v>2765</v>
      </c>
      <c r="J594" t="s">
        <v>38</v>
      </c>
      <c r="K594" t="s">
        <v>55</v>
      </c>
      <c r="L594" t="s">
        <v>2766</v>
      </c>
      <c r="M594">
        <v>351.08</v>
      </c>
      <c r="N594">
        <v>48</v>
      </c>
      <c r="O594" t="s">
        <v>691</v>
      </c>
      <c r="P594" t="s">
        <v>84</v>
      </c>
      <c r="Q594" t="s">
        <v>191</v>
      </c>
      <c r="R594" t="s">
        <v>60</v>
      </c>
      <c r="S594" t="s">
        <v>45</v>
      </c>
      <c r="T594" t="s">
        <v>1004</v>
      </c>
      <c r="U594">
        <v>3235</v>
      </c>
      <c r="V594">
        <v>307</v>
      </c>
      <c r="W594">
        <v>29</v>
      </c>
      <c r="X594">
        <v>522.82000000000005</v>
      </c>
      <c r="Y594">
        <v>460.9</v>
      </c>
      <c r="Z594">
        <v>983.72</v>
      </c>
      <c r="AA594" t="s">
        <v>62</v>
      </c>
      <c r="AB594">
        <v>0</v>
      </c>
      <c r="AC594">
        <v>88.43</v>
      </c>
      <c r="AD594">
        <v>411</v>
      </c>
      <c r="AE594">
        <v>373</v>
      </c>
    </row>
    <row r="595" spans="1:31" x14ac:dyDescent="0.25">
      <c r="A595" t="s">
        <v>2787</v>
      </c>
      <c r="B595" t="s">
        <v>2788</v>
      </c>
      <c r="C595" s="1">
        <v>44458</v>
      </c>
      <c r="D595" s="1">
        <v>44547</v>
      </c>
      <c r="E595" t="s">
        <v>65</v>
      </c>
      <c r="F595" t="s">
        <v>34</v>
      </c>
      <c r="G595" t="s">
        <v>102</v>
      </c>
      <c r="H595" t="s">
        <v>79</v>
      </c>
      <c r="I595" t="s">
        <v>2789</v>
      </c>
      <c r="J595" t="s">
        <v>104</v>
      </c>
      <c r="K595" t="s">
        <v>105</v>
      </c>
      <c r="L595" t="s">
        <v>2790</v>
      </c>
      <c r="M595">
        <v>444.21</v>
      </c>
      <c r="N595">
        <v>21</v>
      </c>
      <c r="O595" t="s">
        <v>2791</v>
      </c>
      <c r="P595" t="s">
        <v>58</v>
      </c>
      <c r="Q595" t="s">
        <v>252</v>
      </c>
      <c r="R595" t="s">
        <v>60</v>
      </c>
      <c r="S595" t="s">
        <v>126</v>
      </c>
      <c r="T595" t="s">
        <v>153</v>
      </c>
      <c r="U595">
        <v>2720</v>
      </c>
      <c r="V595">
        <v>428</v>
      </c>
      <c r="W595">
        <v>29</v>
      </c>
      <c r="X595">
        <v>1193.24</v>
      </c>
      <c r="Y595">
        <v>210.97</v>
      </c>
      <c r="Z595">
        <v>1404.21</v>
      </c>
      <c r="AA595" t="s">
        <v>62</v>
      </c>
      <c r="AB595">
        <v>0</v>
      </c>
      <c r="AC595">
        <v>81.010000000000005</v>
      </c>
      <c r="AD595">
        <v>369</v>
      </c>
      <c r="AE595">
        <v>407</v>
      </c>
    </row>
    <row r="596" spans="1:31" x14ac:dyDescent="0.25">
      <c r="A596" t="s">
        <v>2792</v>
      </c>
      <c r="B596" t="s">
        <v>2793</v>
      </c>
      <c r="C596" s="1">
        <v>45596</v>
      </c>
      <c r="D596" s="1">
        <v>44677</v>
      </c>
      <c r="E596" t="s">
        <v>65</v>
      </c>
      <c r="F596" t="s">
        <v>91</v>
      </c>
      <c r="G596" t="s">
        <v>92</v>
      </c>
      <c r="H596" t="s">
        <v>79</v>
      </c>
      <c r="I596" t="s">
        <v>2794</v>
      </c>
      <c r="J596" t="s">
        <v>104</v>
      </c>
      <c r="K596" t="s">
        <v>105</v>
      </c>
      <c r="L596" t="s">
        <v>2795</v>
      </c>
      <c r="M596">
        <v>443.31</v>
      </c>
      <c r="N596">
        <v>72</v>
      </c>
      <c r="O596" t="s">
        <v>2796</v>
      </c>
      <c r="P596" t="s">
        <v>58</v>
      </c>
      <c r="Q596" t="s">
        <v>232</v>
      </c>
      <c r="R596" t="s">
        <v>60</v>
      </c>
      <c r="S596" t="s">
        <v>98</v>
      </c>
      <c r="T596" t="s">
        <v>308</v>
      </c>
      <c r="U596">
        <v>3288</v>
      </c>
      <c r="V596">
        <v>248</v>
      </c>
      <c r="W596">
        <v>20</v>
      </c>
      <c r="X596">
        <v>1812.14</v>
      </c>
      <c r="Y596">
        <v>81.28</v>
      </c>
      <c r="Z596">
        <v>1893.42</v>
      </c>
      <c r="AA596" t="s">
        <v>62</v>
      </c>
      <c r="AB596">
        <v>0</v>
      </c>
      <c r="AC596">
        <v>92.04</v>
      </c>
      <c r="AD596">
        <v>377</v>
      </c>
      <c r="AE596">
        <v>351</v>
      </c>
    </row>
    <row r="597" spans="1:31" x14ac:dyDescent="0.25">
      <c r="A597" t="s">
        <v>2797</v>
      </c>
      <c r="B597" t="s">
        <v>2798</v>
      </c>
      <c r="C597" s="1">
        <v>43974</v>
      </c>
      <c r="D597" s="1">
        <v>45350</v>
      </c>
      <c r="E597" t="s">
        <v>50</v>
      </c>
      <c r="F597" t="s">
        <v>77</v>
      </c>
      <c r="G597" t="s">
        <v>343</v>
      </c>
      <c r="H597" t="s">
        <v>221</v>
      </c>
      <c r="I597" t="s">
        <v>2589</v>
      </c>
      <c r="J597" t="s">
        <v>38</v>
      </c>
      <c r="K597" t="s">
        <v>55</v>
      </c>
      <c r="L597" t="s">
        <v>2590</v>
      </c>
      <c r="M597">
        <v>355.75</v>
      </c>
      <c r="N597">
        <v>75</v>
      </c>
      <c r="O597" t="s">
        <v>2799</v>
      </c>
      <c r="P597" t="s">
        <v>108</v>
      </c>
      <c r="Q597" t="s">
        <v>425</v>
      </c>
      <c r="R597" t="s">
        <v>44</v>
      </c>
      <c r="S597" t="s">
        <v>126</v>
      </c>
      <c r="T597" t="s">
        <v>654</v>
      </c>
      <c r="U597">
        <v>1110</v>
      </c>
      <c r="V597">
        <v>466</v>
      </c>
      <c r="W597">
        <v>16</v>
      </c>
      <c r="X597">
        <v>1713.69</v>
      </c>
      <c r="Y597">
        <v>177.14</v>
      </c>
      <c r="Z597">
        <v>1890.83</v>
      </c>
      <c r="AA597" t="s">
        <v>62</v>
      </c>
      <c r="AB597">
        <v>0</v>
      </c>
      <c r="AC597">
        <v>80.69</v>
      </c>
      <c r="AD597">
        <v>308</v>
      </c>
      <c r="AE597">
        <v>332</v>
      </c>
    </row>
    <row r="598" spans="1:31" x14ac:dyDescent="0.25">
      <c r="A598" t="s">
        <v>2800</v>
      </c>
      <c r="B598" t="s">
        <v>2801</v>
      </c>
      <c r="C598" s="1">
        <v>44179</v>
      </c>
      <c r="D598" s="1">
        <v>44731</v>
      </c>
      <c r="E598" t="s">
        <v>65</v>
      </c>
      <c r="F598" t="s">
        <v>77</v>
      </c>
      <c r="G598" t="s">
        <v>92</v>
      </c>
      <c r="H598" t="s">
        <v>67</v>
      </c>
      <c r="I598" t="s">
        <v>2802</v>
      </c>
      <c r="J598" t="s">
        <v>38</v>
      </c>
      <c r="K598" t="s">
        <v>81</v>
      </c>
      <c r="L598" t="s">
        <v>2803</v>
      </c>
      <c r="M598">
        <v>22.14</v>
      </c>
      <c r="N598">
        <v>49</v>
      </c>
      <c r="O598" t="s">
        <v>2804</v>
      </c>
      <c r="P598" t="s">
        <v>58</v>
      </c>
      <c r="Q598" t="s">
        <v>245</v>
      </c>
      <c r="R598" t="s">
        <v>86</v>
      </c>
      <c r="S598" t="s">
        <v>98</v>
      </c>
      <c r="T598" t="s">
        <v>378</v>
      </c>
      <c r="U598">
        <v>1296</v>
      </c>
      <c r="V598">
        <v>491</v>
      </c>
      <c r="W598">
        <v>20</v>
      </c>
      <c r="X598">
        <v>805.51</v>
      </c>
      <c r="Y598">
        <v>318.81</v>
      </c>
      <c r="Z598">
        <v>1124.32</v>
      </c>
      <c r="AA598" t="s">
        <v>62</v>
      </c>
      <c r="AB598">
        <v>0</v>
      </c>
      <c r="AC598">
        <v>72.66</v>
      </c>
      <c r="AD598">
        <v>140</v>
      </c>
      <c r="AE598">
        <v>151</v>
      </c>
    </row>
    <row r="599" spans="1:31" x14ac:dyDescent="0.25">
      <c r="A599" t="s">
        <v>2805</v>
      </c>
      <c r="B599" t="s">
        <v>2806</v>
      </c>
      <c r="C599" s="1">
        <v>45618</v>
      </c>
      <c r="D599" s="1">
        <v>43893</v>
      </c>
      <c r="E599" t="s">
        <v>65</v>
      </c>
      <c r="F599" t="s">
        <v>91</v>
      </c>
      <c r="G599" t="s">
        <v>35</v>
      </c>
      <c r="H599" t="s">
        <v>36</v>
      </c>
      <c r="I599" t="s">
        <v>2807</v>
      </c>
      <c r="J599" t="s">
        <v>104</v>
      </c>
      <c r="K599" t="s">
        <v>181</v>
      </c>
      <c r="L599" t="s">
        <v>2808</v>
      </c>
      <c r="M599">
        <v>428.35</v>
      </c>
      <c r="N599">
        <v>14</v>
      </c>
      <c r="O599" t="s">
        <v>2809</v>
      </c>
      <c r="P599" t="s">
        <v>42</v>
      </c>
      <c r="Q599" t="s">
        <v>432</v>
      </c>
      <c r="R599" t="s">
        <v>44</v>
      </c>
      <c r="S599" t="s">
        <v>45</v>
      </c>
      <c r="T599" t="s">
        <v>470</v>
      </c>
      <c r="U599">
        <v>3003</v>
      </c>
      <c r="V599">
        <v>391</v>
      </c>
      <c r="W599">
        <v>14</v>
      </c>
      <c r="X599">
        <v>936.68</v>
      </c>
      <c r="Y599">
        <v>96.66</v>
      </c>
      <c r="Z599">
        <v>1033.3399999999999</v>
      </c>
      <c r="AA599" t="s">
        <v>62</v>
      </c>
      <c r="AB599">
        <v>0</v>
      </c>
      <c r="AC599">
        <v>75.48</v>
      </c>
      <c r="AD599">
        <v>93</v>
      </c>
      <c r="AE599">
        <v>130</v>
      </c>
    </row>
    <row r="600" spans="1:31" x14ac:dyDescent="0.25">
      <c r="A600" t="s">
        <v>2810</v>
      </c>
      <c r="B600" t="s">
        <v>2811</v>
      </c>
      <c r="C600" s="1">
        <v>44079</v>
      </c>
      <c r="D600" s="1">
        <v>45309</v>
      </c>
      <c r="E600" t="s">
        <v>50</v>
      </c>
      <c r="F600" t="s">
        <v>51</v>
      </c>
      <c r="G600" t="s">
        <v>35</v>
      </c>
      <c r="H600" t="s">
        <v>79</v>
      </c>
      <c r="I600" t="s">
        <v>2812</v>
      </c>
      <c r="J600" t="s">
        <v>104</v>
      </c>
      <c r="K600" t="s">
        <v>181</v>
      </c>
      <c r="L600" t="s">
        <v>2813</v>
      </c>
      <c r="M600">
        <v>229</v>
      </c>
      <c r="N600">
        <v>48</v>
      </c>
      <c r="O600" t="s">
        <v>837</v>
      </c>
      <c r="P600" t="s">
        <v>141</v>
      </c>
      <c r="Q600" t="s">
        <v>59</v>
      </c>
      <c r="R600" t="s">
        <v>86</v>
      </c>
      <c r="S600" t="s">
        <v>45</v>
      </c>
      <c r="T600" t="s">
        <v>644</v>
      </c>
      <c r="U600">
        <v>3989</v>
      </c>
      <c r="V600">
        <v>137</v>
      </c>
      <c r="W600">
        <v>8</v>
      </c>
      <c r="X600">
        <v>1937.1</v>
      </c>
      <c r="Y600">
        <v>407.39</v>
      </c>
      <c r="Z600">
        <v>2344.4899999999998</v>
      </c>
      <c r="AA600" t="s">
        <v>62</v>
      </c>
      <c r="AB600">
        <v>0</v>
      </c>
      <c r="AC600">
        <v>70.78</v>
      </c>
      <c r="AD600">
        <v>489</v>
      </c>
      <c r="AE600">
        <v>494</v>
      </c>
    </row>
    <row r="601" spans="1:31" x14ac:dyDescent="0.25">
      <c r="A601" t="s">
        <v>2814</v>
      </c>
      <c r="B601" t="s">
        <v>2815</v>
      </c>
      <c r="C601" s="1">
        <v>45043</v>
      </c>
      <c r="D601" s="1">
        <v>44705</v>
      </c>
      <c r="E601" t="s">
        <v>65</v>
      </c>
      <c r="F601" t="s">
        <v>91</v>
      </c>
      <c r="G601" t="s">
        <v>52</v>
      </c>
      <c r="H601" t="s">
        <v>79</v>
      </c>
      <c r="I601" t="s">
        <v>2600</v>
      </c>
      <c r="J601" t="s">
        <v>104</v>
      </c>
      <c r="K601" t="s">
        <v>554</v>
      </c>
      <c r="L601" t="s">
        <v>2601</v>
      </c>
      <c r="M601">
        <v>97.46</v>
      </c>
      <c r="N601">
        <v>43</v>
      </c>
      <c r="O601" t="s">
        <v>2816</v>
      </c>
      <c r="P601" t="s">
        <v>141</v>
      </c>
      <c r="Q601" t="s">
        <v>217</v>
      </c>
      <c r="R601" t="s">
        <v>44</v>
      </c>
      <c r="S601" t="s">
        <v>45</v>
      </c>
      <c r="T601" t="s">
        <v>321</v>
      </c>
      <c r="U601">
        <v>4631</v>
      </c>
      <c r="V601">
        <v>66</v>
      </c>
      <c r="W601">
        <v>4</v>
      </c>
      <c r="X601">
        <v>515.74</v>
      </c>
      <c r="Y601">
        <v>117.92</v>
      </c>
      <c r="Z601">
        <v>633.66</v>
      </c>
      <c r="AA601" t="s">
        <v>62</v>
      </c>
      <c r="AB601">
        <v>0</v>
      </c>
      <c r="AC601">
        <v>95.07</v>
      </c>
      <c r="AD601">
        <v>258</v>
      </c>
      <c r="AE601">
        <v>260</v>
      </c>
    </row>
    <row r="602" spans="1:31" x14ac:dyDescent="0.25">
      <c r="A602" t="s">
        <v>2817</v>
      </c>
      <c r="B602" t="s">
        <v>2818</v>
      </c>
      <c r="C602" s="1">
        <v>44301</v>
      </c>
      <c r="D602" s="1">
        <v>44233</v>
      </c>
      <c r="E602" t="s">
        <v>65</v>
      </c>
      <c r="F602" t="s">
        <v>146</v>
      </c>
      <c r="G602" t="s">
        <v>92</v>
      </c>
      <c r="H602" t="s">
        <v>79</v>
      </c>
      <c r="I602" t="s">
        <v>2819</v>
      </c>
      <c r="J602" t="s">
        <v>104</v>
      </c>
      <c r="K602" t="s">
        <v>554</v>
      </c>
      <c r="L602" t="s">
        <v>2820</v>
      </c>
      <c r="M602">
        <v>149.5</v>
      </c>
      <c r="N602">
        <v>57</v>
      </c>
      <c r="O602" t="s">
        <v>1019</v>
      </c>
      <c r="P602" t="s">
        <v>108</v>
      </c>
      <c r="Q602" t="s">
        <v>544</v>
      </c>
      <c r="R602" t="s">
        <v>152</v>
      </c>
      <c r="S602" t="s">
        <v>73</v>
      </c>
      <c r="T602" t="s">
        <v>419</v>
      </c>
      <c r="U602">
        <v>620</v>
      </c>
      <c r="V602">
        <v>260</v>
      </c>
      <c r="W602">
        <v>22</v>
      </c>
      <c r="X602">
        <v>1490.06</v>
      </c>
      <c r="Y602">
        <v>281.45999999999998</v>
      </c>
      <c r="Z602">
        <v>1771.52</v>
      </c>
      <c r="AA602" t="s">
        <v>62</v>
      </c>
      <c r="AB602">
        <v>0</v>
      </c>
      <c r="AC602">
        <v>99.32</v>
      </c>
      <c r="AD602">
        <v>215</v>
      </c>
      <c r="AE602">
        <v>235</v>
      </c>
    </row>
    <row r="603" spans="1:31" x14ac:dyDescent="0.25">
      <c r="A603" t="s">
        <v>2821</v>
      </c>
      <c r="B603" t="s">
        <v>2822</v>
      </c>
      <c r="C603" s="1">
        <v>44396</v>
      </c>
      <c r="D603" s="1">
        <v>44775</v>
      </c>
      <c r="E603" t="s">
        <v>50</v>
      </c>
      <c r="F603" t="s">
        <v>77</v>
      </c>
      <c r="G603" t="s">
        <v>102</v>
      </c>
      <c r="H603" t="s">
        <v>53</v>
      </c>
      <c r="I603" t="s">
        <v>2823</v>
      </c>
      <c r="J603" t="s">
        <v>38</v>
      </c>
      <c r="K603" t="s">
        <v>338</v>
      </c>
      <c r="L603" t="s">
        <v>2824</v>
      </c>
      <c r="M603">
        <v>209.49</v>
      </c>
      <c r="N603">
        <v>90</v>
      </c>
      <c r="O603" t="s">
        <v>2434</v>
      </c>
      <c r="P603" t="s">
        <v>108</v>
      </c>
      <c r="Q603" t="s">
        <v>613</v>
      </c>
      <c r="R603" t="s">
        <v>152</v>
      </c>
      <c r="S603" t="s">
        <v>45</v>
      </c>
      <c r="T603" t="s">
        <v>721</v>
      </c>
      <c r="U603">
        <v>419</v>
      </c>
      <c r="V603">
        <v>191</v>
      </c>
      <c r="W603">
        <v>28</v>
      </c>
      <c r="X603">
        <v>1375.56</v>
      </c>
      <c r="Y603">
        <v>316.98</v>
      </c>
      <c r="Z603">
        <v>1692.54</v>
      </c>
      <c r="AA603" t="s">
        <v>62</v>
      </c>
      <c r="AB603">
        <v>0</v>
      </c>
      <c r="AC603">
        <v>97.94</v>
      </c>
      <c r="AD603">
        <v>177</v>
      </c>
      <c r="AE603">
        <v>201</v>
      </c>
    </row>
    <row r="604" spans="1:31" x14ac:dyDescent="0.25">
      <c r="A604" t="s">
        <v>2825</v>
      </c>
      <c r="B604" t="s">
        <v>2826</v>
      </c>
      <c r="C604" s="1">
        <v>45555</v>
      </c>
      <c r="D604" s="1">
        <v>45066</v>
      </c>
      <c r="E604" t="s">
        <v>65</v>
      </c>
      <c r="F604" t="s">
        <v>51</v>
      </c>
      <c r="G604" t="s">
        <v>92</v>
      </c>
      <c r="H604" t="s">
        <v>163</v>
      </c>
      <c r="I604" t="s">
        <v>2827</v>
      </c>
      <c r="J604" t="s">
        <v>38</v>
      </c>
      <c r="K604" t="s">
        <v>94</v>
      </c>
      <c r="L604" t="s">
        <v>2828</v>
      </c>
      <c r="M604">
        <v>229.42</v>
      </c>
      <c r="N604">
        <v>27</v>
      </c>
      <c r="O604" t="s">
        <v>2829</v>
      </c>
      <c r="P604" t="s">
        <v>141</v>
      </c>
      <c r="Q604" t="s">
        <v>125</v>
      </c>
      <c r="R604" t="s">
        <v>44</v>
      </c>
      <c r="S604" t="s">
        <v>98</v>
      </c>
      <c r="T604" t="s">
        <v>134</v>
      </c>
      <c r="U604">
        <v>4634</v>
      </c>
      <c r="V604">
        <v>293</v>
      </c>
      <c r="W604">
        <v>7</v>
      </c>
      <c r="X604">
        <v>243.92</v>
      </c>
      <c r="Y604">
        <v>377.27</v>
      </c>
      <c r="Z604">
        <v>621.18999999999994</v>
      </c>
      <c r="AA604" t="s">
        <v>62</v>
      </c>
      <c r="AB604">
        <v>0</v>
      </c>
      <c r="AC604">
        <v>94.05</v>
      </c>
      <c r="AD604">
        <v>190</v>
      </c>
      <c r="AE604">
        <v>145</v>
      </c>
    </row>
    <row r="605" spans="1:31" x14ac:dyDescent="0.25">
      <c r="A605" t="s">
        <v>2830</v>
      </c>
      <c r="B605" t="s">
        <v>2831</v>
      </c>
      <c r="C605" s="1">
        <v>44488</v>
      </c>
      <c r="D605" s="1">
        <v>44236</v>
      </c>
      <c r="E605" t="s">
        <v>50</v>
      </c>
      <c r="F605" t="s">
        <v>51</v>
      </c>
      <c r="G605" t="s">
        <v>92</v>
      </c>
      <c r="H605" t="s">
        <v>147</v>
      </c>
      <c r="I605" t="s">
        <v>2832</v>
      </c>
      <c r="J605" t="s">
        <v>38</v>
      </c>
      <c r="K605" t="s">
        <v>94</v>
      </c>
      <c r="L605" t="s">
        <v>2833</v>
      </c>
      <c r="M605">
        <v>497.85</v>
      </c>
      <c r="N605">
        <v>68</v>
      </c>
      <c r="O605" t="s">
        <v>2834</v>
      </c>
      <c r="P605" t="s">
        <v>42</v>
      </c>
      <c r="Q605" t="s">
        <v>320</v>
      </c>
      <c r="R605" t="s">
        <v>44</v>
      </c>
      <c r="S605" t="s">
        <v>98</v>
      </c>
      <c r="T605" t="s">
        <v>134</v>
      </c>
      <c r="U605">
        <v>2094</v>
      </c>
      <c r="V605">
        <v>227</v>
      </c>
      <c r="W605">
        <v>10</v>
      </c>
      <c r="X605">
        <v>133.31</v>
      </c>
      <c r="Y605">
        <v>242.46</v>
      </c>
      <c r="Z605">
        <v>375.77</v>
      </c>
      <c r="AA605" t="s">
        <v>47</v>
      </c>
      <c r="AB605">
        <v>9</v>
      </c>
      <c r="AC605">
        <v>94.28</v>
      </c>
      <c r="AD605">
        <v>433</v>
      </c>
      <c r="AE605">
        <v>397</v>
      </c>
    </row>
    <row r="606" spans="1:31" x14ac:dyDescent="0.25">
      <c r="A606" t="s">
        <v>2835</v>
      </c>
      <c r="B606" t="s">
        <v>2836</v>
      </c>
      <c r="C606" s="1">
        <v>44753</v>
      </c>
      <c r="D606" s="1">
        <v>45418</v>
      </c>
      <c r="E606" t="s">
        <v>65</v>
      </c>
      <c r="F606" t="s">
        <v>34</v>
      </c>
      <c r="G606" t="s">
        <v>52</v>
      </c>
      <c r="H606" t="s">
        <v>147</v>
      </c>
      <c r="I606" t="s">
        <v>2837</v>
      </c>
      <c r="J606" t="s">
        <v>38</v>
      </c>
      <c r="K606" t="s">
        <v>94</v>
      </c>
      <c r="L606" t="s">
        <v>2838</v>
      </c>
      <c r="M606">
        <v>305.91000000000003</v>
      </c>
      <c r="N606">
        <v>12</v>
      </c>
      <c r="O606" t="s">
        <v>2839</v>
      </c>
      <c r="P606" t="s">
        <v>108</v>
      </c>
      <c r="Q606" t="s">
        <v>159</v>
      </c>
      <c r="R606" t="s">
        <v>44</v>
      </c>
      <c r="S606" t="s">
        <v>73</v>
      </c>
      <c r="T606" t="s">
        <v>99</v>
      </c>
      <c r="U606">
        <v>4524</v>
      </c>
      <c r="V606">
        <v>75</v>
      </c>
      <c r="W606">
        <v>22</v>
      </c>
      <c r="X606">
        <v>813.48</v>
      </c>
      <c r="Y606">
        <v>273.63</v>
      </c>
      <c r="Z606">
        <v>1087.1099999999999</v>
      </c>
      <c r="AA606" t="s">
        <v>62</v>
      </c>
      <c r="AB606">
        <v>0</v>
      </c>
      <c r="AC606">
        <v>79.099999999999994</v>
      </c>
      <c r="AD606">
        <v>406</v>
      </c>
      <c r="AE606">
        <v>380</v>
      </c>
    </row>
    <row r="607" spans="1:31" x14ac:dyDescent="0.25">
      <c r="A607" t="s">
        <v>2840</v>
      </c>
      <c r="B607" t="s">
        <v>2841</v>
      </c>
      <c r="C607" s="1">
        <v>44688</v>
      </c>
      <c r="D607" s="1">
        <v>44858</v>
      </c>
      <c r="E607" t="s">
        <v>65</v>
      </c>
      <c r="F607" t="s">
        <v>51</v>
      </c>
      <c r="G607" t="s">
        <v>78</v>
      </c>
      <c r="H607" t="s">
        <v>53</v>
      </c>
      <c r="I607" t="s">
        <v>2842</v>
      </c>
      <c r="J607" t="s">
        <v>38</v>
      </c>
      <c r="K607" t="s">
        <v>94</v>
      </c>
      <c r="L607" t="s">
        <v>2843</v>
      </c>
      <c r="M607">
        <v>43.87</v>
      </c>
      <c r="N607">
        <v>62</v>
      </c>
      <c r="O607" t="s">
        <v>2844</v>
      </c>
      <c r="P607" t="s">
        <v>141</v>
      </c>
      <c r="Q607" t="s">
        <v>532</v>
      </c>
      <c r="R607" t="s">
        <v>44</v>
      </c>
      <c r="S607" t="s">
        <v>87</v>
      </c>
      <c r="T607" t="s">
        <v>916</v>
      </c>
      <c r="U607">
        <v>3857</v>
      </c>
      <c r="V607">
        <v>80</v>
      </c>
      <c r="W607">
        <v>14</v>
      </c>
      <c r="X607">
        <v>669.28</v>
      </c>
      <c r="Y607">
        <v>251.11</v>
      </c>
      <c r="Z607">
        <v>920.39</v>
      </c>
      <c r="AA607" t="s">
        <v>62</v>
      </c>
      <c r="AB607">
        <v>0</v>
      </c>
      <c r="AC607">
        <v>96.16</v>
      </c>
      <c r="AD607">
        <v>174</v>
      </c>
      <c r="AE607">
        <v>218</v>
      </c>
    </row>
    <row r="608" spans="1:31" x14ac:dyDescent="0.25">
      <c r="A608" t="s">
        <v>2845</v>
      </c>
      <c r="B608" t="s">
        <v>2846</v>
      </c>
      <c r="C608" s="1">
        <v>43934</v>
      </c>
      <c r="D608" s="1">
        <v>44687</v>
      </c>
      <c r="E608" t="s">
        <v>50</v>
      </c>
      <c r="F608" t="s">
        <v>34</v>
      </c>
      <c r="G608" t="s">
        <v>78</v>
      </c>
      <c r="H608" t="s">
        <v>67</v>
      </c>
      <c r="I608" t="s">
        <v>2847</v>
      </c>
      <c r="J608" t="s">
        <v>38</v>
      </c>
      <c r="K608" t="s">
        <v>55</v>
      </c>
      <c r="L608" t="s">
        <v>2848</v>
      </c>
      <c r="M608">
        <v>414.23</v>
      </c>
      <c r="N608">
        <v>57</v>
      </c>
      <c r="O608" t="s">
        <v>2849</v>
      </c>
      <c r="P608" t="s">
        <v>141</v>
      </c>
      <c r="Q608" t="s">
        <v>238</v>
      </c>
      <c r="R608" t="s">
        <v>44</v>
      </c>
      <c r="S608" t="s">
        <v>98</v>
      </c>
      <c r="T608" t="s">
        <v>470</v>
      </c>
      <c r="U608">
        <v>3817</v>
      </c>
      <c r="V608">
        <v>346</v>
      </c>
      <c r="W608">
        <v>7</v>
      </c>
      <c r="X608">
        <v>163.04</v>
      </c>
      <c r="Y608">
        <v>88.47</v>
      </c>
      <c r="Z608">
        <v>251.51</v>
      </c>
      <c r="AA608" t="s">
        <v>47</v>
      </c>
      <c r="AB608">
        <v>14</v>
      </c>
      <c r="AC608">
        <v>81.53</v>
      </c>
      <c r="AD608">
        <v>207</v>
      </c>
      <c r="AE608">
        <v>220</v>
      </c>
    </row>
    <row r="609" spans="1:31" x14ac:dyDescent="0.25">
      <c r="A609" t="s">
        <v>2850</v>
      </c>
      <c r="B609" t="s">
        <v>2851</v>
      </c>
      <c r="C609" s="1">
        <v>44784</v>
      </c>
      <c r="D609" s="1">
        <v>44144</v>
      </c>
      <c r="E609" t="s">
        <v>65</v>
      </c>
      <c r="F609" t="s">
        <v>91</v>
      </c>
      <c r="G609" t="s">
        <v>66</v>
      </c>
      <c r="H609" t="s">
        <v>114</v>
      </c>
      <c r="I609" t="s">
        <v>1212</v>
      </c>
      <c r="J609" t="s">
        <v>38</v>
      </c>
      <c r="K609" t="s">
        <v>39</v>
      </c>
      <c r="L609" t="s">
        <v>1213</v>
      </c>
      <c r="M609">
        <v>306.69</v>
      </c>
      <c r="N609">
        <v>81</v>
      </c>
      <c r="O609" t="s">
        <v>2852</v>
      </c>
      <c r="P609" t="s">
        <v>141</v>
      </c>
      <c r="Q609" t="s">
        <v>491</v>
      </c>
      <c r="R609" t="s">
        <v>86</v>
      </c>
      <c r="S609" t="s">
        <v>87</v>
      </c>
      <c r="T609" t="s">
        <v>321</v>
      </c>
      <c r="U609">
        <v>3443</v>
      </c>
      <c r="V609">
        <v>180</v>
      </c>
      <c r="W609">
        <v>11</v>
      </c>
      <c r="X609">
        <v>597.44000000000005</v>
      </c>
      <c r="Y609">
        <v>461.89</v>
      </c>
      <c r="Z609">
        <v>1059.33</v>
      </c>
      <c r="AA609" t="s">
        <v>47</v>
      </c>
      <c r="AB609">
        <v>3</v>
      </c>
      <c r="AC609">
        <v>93.54</v>
      </c>
      <c r="AD609">
        <v>259</v>
      </c>
      <c r="AE609">
        <v>219</v>
      </c>
    </row>
    <row r="610" spans="1:31" x14ac:dyDescent="0.25">
      <c r="A610" t="s">
        <v>2853</v>
      </c>
      <c r="B610" t="s">
        <v>2854</v>
      </c>
      <c r="C610" s="1">
        <v>45114</v>
      </c>
      <c r="D610" s="1">
        <v>44518</v>
      </c>
      <c r="E610" t="s">
        <v>65</v>
      </c>
      <c r="F610" t="s">
        <v>34</v>
      </c>
      <c r="G610" t="s">
        <v>92</v>
      </c>
      <c r="H610" t="s">
        <v>221</v>
      </c>
      <c r="I610" t="s">
        <v>2855</v>
      </c>
      <c r="J610" t="s">
        <v>38</v>
      </c>
      <c r="K610" t="s">
        <v>735</v>
      </c>
      <c r="L610" t="s">
        <v>2856</v>
      </c>
      <c r="M610">
        <v>140.33000000000001</v>
      </c>
      <c r="N610">
        <v>89</v>
      </c>
      <c r="O610" t="s">
        <v>2857</v>
      </c>
      <c r="P610" t="s">
        <v>42</v>
      </c>
      <c r="Q610" t="s">
        <v>702</v>
      </c>
      <c r="R610" t="s">
        <v>44</v>
      </c>
      <c r="S610" t="s">
        <v>87</v>
      </c>
      <c r="T610" t="s">
        <v>738</v>
      </c>
      <c r="U610">
        <v>4427</v>
      </c>
      <c r="V610">
        <v>81</v>
      </c>
      <c r="W610">
        <v>27</v>
      </c>
      <c r="X610">
        <v>991.65</v>
      </c>
      <c r="Y610">
        <v>99.12</v>
      </c>
      <c r="Z610">
        <v>1090.77</v>
      </c>
      <c r="AA610" t="s">
        <v>47</v>
      </c>
      <c r="AB610">
        <v>1</v>
      </c>
      <c r="AC610">
        <v>93.64</v>
      </c>
      <c r="AD610">
        <v>56</v>
      </c>
      <c r="AE610">
        <v>75</v>
      </c>
    </row>
    <row r="611" spans="1:31" x14ac:dyDescent="0.25">
      <c r="A611" t="s">
        <v>2858</v>
      </c>
      <c r="B611" t="s">
        <v>2859</v>
      </c>
      <c r="C611" s="1">
        <v>44743</v>
      </c>
      <c r="D611" s="1">
        <v>45343</v>
      </c>
      <c r="E611" t="s">
        <v>50</v>
      </c>
      <c r="F611" t="s">
        <v>77</v>
      </c>
      <c r="G611" t="s">
        <v>92</v>
      </c>
      <c r="H611" t="s">
        <v>53</v>
      </c>
      <c r="I611" t="s">
        <v>2860</v>
      </c>
      <c r="J611" t="s">
        <v>165</v>
      </c>
      <c r="K611" t="s">
        <v>202</v>
      </c>
      <c r="L611" t="s">
        <v>2861</v>
      </c>
      <c r="M611">
        <v>27.57</v>
      </c>
      <c r="N611">
        <v>57</v>
      </c>
      <c r="O611" t="s">
        <v>2862</v>
      </c>
      <c r="P611" t="s">
        <v>42</v>
      </c>
      <c r="Q611" t="s">
        <v>142</v>
      </c>
      <c r="R611" t="s">
        <v>44</v>
      </c>
      <c r="S611" t="s">
        <v>73</v>
      </c>
      <c r="T611" t="s">
        <v>61</v>
      </c>
      <c r="U611">
        <v>3271</v>
      </c>
      <c r="V611">
        <v>220</v>
      </c>
      <c r="W611">
        <v>9</v>
      </c>
      <c r="X611">
        <v>114.79</v>
      </c>
      <c r="Y611">
        <v>188.11</v>
      </c>
      <c r="Z611">
        <v>302.89999999999998</v>
      </c>
      <c r="AA611" t="s">
        <v>47</v>
      </c>
      <c r="AB611">
        <v>10</v>
      </c>
      <c r="AC611">
        <v>73.25</v>
      </c>
      <c r="AD611">
        <v>159</v>
      </c>
      <c r="AE611">
        <v>184</v>
      </c>
    </row>
    <row r="612" spans="1:31" x14ac:dyDescent="0.25">
      <c r="A612" t="s">
        <v>2863</v>
      </c>
      <c r="B612" t="s">
        <v>2864</v>
      </c>
      <c r="C612" s="1">
        <v>44257</v>
      </c>
      <c r="D612" s="1">
        <v>44903</v>
      </c>
      <c r="E612" t="s">
        <v>50</v>
      </c>
      <c r="F612" t="s">
        <v>91</v>
      </c>
      <c r="G612" t="s">
        <v>343</v>
      </c>
      <c r="H612" t="s">
        <v>36</v>
      </c>
      <c r="I612" t="s">
        <v>2107</v>
      </c>
      <c r="J612" t="s">
        <v>165</v>
      </c>
      <c r="K612" t="s">
        <v>166</v>
      </c>
      <c r="L612" t="s">
        <v>2108</v>
      </c>
      <c r="M612">
        <v>354.17</v>
      </c>
      <c r="N612">
        <v>49</v>
      </c>
      <c r="O612" t="s">
        <v>2865</v>
      </c>
      <c r="P612" t="s">
        <v>84</v>
      </c>
      <c r="Q612" t="s">
        <v>686</v>
      </c>
      <c r="R612" t="s">
        <v>86</v>
      </c>
      <c r="S612" t="s">
        <v>98</v>
      </c>
      <c r="T612" t="s">
        <v>153</v>
      </c>
      <c r="U612">
        <v>4332</v>
      </c>
      <c r="V612">
        <v>324</v>
      </c>
      <c r="W612">
        <v>8</v>
      </c>
      <c r="X612">
        <v>706.6</v>
      </c>
      <c r="Y612">
        <v>407.2</v>
      </c>
      <c r="Z612">
        <v>1113.8</v>
      </c>
      <c r="AA612" t="s">
        <v>62</v>
      </c>
      <c r="AB612">
        <v>0</v>
      </c>
      <c r="AC612">
        <v>91.76</v>
      </c>
      <c r="AD612">
        <v>440</v>
      </c>
      <c r="AE612">
        <v>431</v>
      </c>
    </row>
    <row r="613" spans="1:31" x14ac:dyDescent="0.25">
      <c r="A613" t="s">
        <v>2866</v>
      </c>
      <c r="B613" t="s">
        <v>2867</v>
      </c>
      <c r="C613" s="1">
        <v>45658</v>
      </c>
      <c r="D613" s="1">
        <v>44510</v>
      </c>
      <c r="E613" t="s">
        <v>50</v>
      </c>
      <c r="F613" t="s">
        <v>34</v>
      </c>
      <c r="G613" t="s">
        <v>78</v>
      </c>
      <c r="H613" t="s">
        <v>79</v>
      </c>
      <c r="I613" t="s">
        <v>2868</v>
      </c>
      <c r="J613" t="s">
        <v>165</v>
      </c>
      <c r="K613" t="s">
        <v>166</v>
      </c>
      <c r="L613" t="s">
        <v>2869</v>
      </c>
      <c r="M613">
        <v>430.5</v>
      </c>
      <c r="N613">
        <v>10</v>
      </c>
      <c r="O613" t="s">
        <v>2870</v>
      </c>
      <c r="P613" t="s">
        <v>84</v>
      </c>
      <c r="Q613" t="s">
        <v>295</v>
      </c>
      <c r="R613" t="s">
        <v>86</v>
      </c>
      <c r="S613" t="s">
        <v>126</v>
      </c>
      <c r="T613" t="s">
        <v>812</v>
      </c>
      <c r="U613">
        <v>167</v>
      </c>
      <c r="V613">
        <v>219</v>
      </c>
      <c r="W613">
        <v>2</v>
      </c>
      <c r="X613">
        <v>1203.4000000000001</v>
      </c>
      <c r="Y613">
        <v>264.05</v>
      </c>
      <c r="Z613">
        <v>1467.45</v>
      </c>
      <c r="AA613" t="s">
        <v>62</v>
      </c>
      <c r="AB613">
        <v>0</v>
      </c>
      <c r="AC613">
        <v>71.13</v>
      </c>
      <c r="AD613">
        <v>55</v>
      </c>
      <c r="AE613">
        <v>91</v>
      </c>
    </row>
    <row r="614" spans="1:31" x14ac:dyDescent="0.25">
      <c r="A614" t="s">
        <v>2871</v>
      </c>
      <c r="B614" t="s">
        <v>2872</v>
      </c>
      <c r="C614" s="1">
        <v>44350</v>
      </c>
      <c r="D614" s="1">
        <v>44677</v>
      </c>
      <c r="E614" t="s">
        <v>50</v>
      </c>
      <c r="F614" t="s">
        <v>91</v>
      </c>
      <c r="G614" t="s">
        <v>343</v>
      </c>
      <c r="H614" t="s">
        <v>79</v>
      </c>
      <c r="I614" t="s">
        <v>2873</v>
      </c>
      <c r="J614" t="s">
        <v>165</v>
      </c>
      <c r="K614" t="s">
        <v>166</v>
      </c>
      <c r="L614" t="s">
        <v>2874</v>
      </c>
      <c r="M614">
        <v>288.39</v>
      </c>
      <c r="N614">
        <v>2</v>
      </c>
      <c r="O614" t="s">
        <v>2875</v>
      </c>
      <c r="P614" t="s">
        <v>84</v>
      </c>
      <c r="Q614" t="s">
        <v>191</v>
      </c>
      <c r="R614" t="s">
        <v>44</v>
      </c>
      <c r="S614" t="s">
        <v>73</v>
      </c>
      <c r="T614" t="s">
        <v>563</v>
      </c>
      <c r="U614">
        <v>1277</v>
      </c>
      <c r="V614">
        <v>321</v>
      </c>
      <c r="W614">
        <v>2</v>
      </c>
      <c r="X614">
        <v>358.93</v>
      </c>
      <c r="Y614">
        <v>278.32</v>
      </c>
      <c r="Z614">
        <v>637.25</v>
      </c>
      <c r="AA614" t="s">
        <v>62</v>
      </c>
      <c r="AB614">
        <v>0</v>
      </c>
      <c r="AC614">
        <v>74</v>
      </c>
      <c r="AD614">
        <v>68</v>
      </c>
      <c r="AE614">
        <v>36</v>
      </c>
    </row>
    <row r="615" spans="1:31" x14ac:dyDescent="0.25">
      <c r="A615" t="s">
        <v>2876</v>
      </c>
      <c r="B615" t="s">
        <v>2877</v>
      </c>
      <c r="C615" s="1">
        <v>44160</v>
      </c>
      <c r="D615" s="1">
        <v>44532</v>
      </c>
      <c r="E615" t="s">
        <v>50</v>
      </c>
      <c r="F615" t="s">
        <v>34</v>
      </c>
      <c r="G615" t="s">
        <v>35</v>
      </c>
      <c r="H615" t="s">
        <v>79</v>
      </c>
      <c r="I615" t="s">
        <v>2878</v>
      </c>
      <c r="J615" t="s">
        <v>38</v>
      </c>
      <c r="K615" t="s">
        <v>69</v>
      </c>
      <c r="L615" t="s">
        <v>2879</v>
      </c>
      <c r="M615">
        <v>36.25</v>
      </c>
      <c r="N615">
        <v>91</v>
      </c>
      <c r="O615" t="s">
        <v>1417</v>
      </c>
      <c r="P615" t="s">
        <v>84</v>
      </c>
      <c r="Q615" t="s">
        <v>458</v>
      </c>
      <c r="R615" t="s">
        <v>152</v>
      </c>
      <c r="S615" t="s">
        <v>87</v>
      </c>
      <c r="T615" t="s">
        <v>916</v>
      </c>
      <c r="U615">
        <v>88</v>
      </c>
      <c r="V615">
        <v>379</v>
      </c>
      <c r="W615">
        <v>21</v>
      </c>
      <c r="X615">
        <v>220.7</v>
      </c>
      <c r="Y615">
        <v>329.61</v>
      </c>
      <c r="Z615">
        <v>550.30999999999995</v>
      </c>
      <c r="AA615" t="s">
        <v>62</v>
      </c>
      <c r="AB615">
        <v>0</v>
      </c>
      <c r="AC615">
        <v>91.7</v>
      </c>
      <c r="AD615">
        <v>103</v>
      </c>
      <c r="AE615">
        <v>75</v>
      </c>
    </row>
    <row r="616" spans="1:31" x14ac:dyDescent="0.25">
      <c r="A616" t="s">
        <v>2880</v>
      </c>
      <c r="B616" t="s">
        <v>2881</v>
      </c>
      <c r="C616" s="1">
        <v>43840</v>
      </c>
      <c r="D616" s="1">
        <v>44364</v>
      </c>
      <c r="E616" t="s">
        <v>33</v>
      </c>
      <c r="F616" t="s">
        <v>51</v>
      </c>
      <c r="G616" t="s">
        <v>102</v>
      </c>
      <c r="H616" t="s">
        <v>53</v>
      </c>
      <c r="I616" t="s">
        <v>760</v>
      </c>
      <c r="J616" t="s">
        <v>38</v>
      </c>
      <c r="K616" t="s">
        <v>94</v>
      </c>
      <c r="L616" t="s">
        <v>761</v>
      </c>
      <c r="M616">
        <v>314.7</v>
      </c>
      <c r="N616">
        <v>52</v>
      </c>
      <c r="O616" t="s">
        <v>505</v>
      </c>
      <c r="P616" t="s">
        <v>84</v>
      </c>
      <c r="Q616" t="s">
        <v>72</v>
      </c>
      <c r="R616" t="s">
        <v>152</v>
      </c>
      <c r="S616" t="s">
        <v>45</v>
      </c>
      <c r="T616" t="s">
        <v>88</v>
      </c>
      <c r="U616">
        <v>3008</v>
      </c>
      <c r="V616">
        <v>389</v>
      </c>
      <c r="W616">
        <v>4</v>
      </c>
      <c r="X616">
        <v>593.33000000000004</v>
      </c>
      <c r="Y616">
        <v>483.39</v>
      </c>
      <c r="Z616">
        <v>1076.72</v>
      </c>
      <c r="AA616" t="s">
        <v>47</v>
      </c>
      <c r="AB616">
        <v>14</v>
      </c>
      <c r="AC616">
        <v>92.9</v>
      </c>
      <c r="AD616">
        <v>78</v>
      </c>
      <c r="AE616">
        <v>56</v>
      </c>
    </row>
    <row r="617" spans="1:31" x14ac:dyDescent="0.25">
      <c r="A617" t="s">
        <v>2882</v>
      </c>
      <c r="B617" t="s">
        <v>2883</v>
      </c>
      <c r="C617" s="1">
        <v>45008</v>
      </c>
      <c r="D617" s="1">
        <v>45382</v>
      </c>
      <c r="E617" t="s">
        <v>65</v>
      </c>
      <c r="F617" t="s">
        <v>91</v>
      </c>
      <c r="G617" t="s">
        <v>35</v>
      </c>
      <c r="H617" t="s">
        <v>221</v>
      </c>
      <c r="I617" t="s">
        <v>2884</v>
      </c>
      <c r="J617" t="s">
        <v>104</v>
      </c>
      <c r="K617" t="s">
        <v>229</v>
      </c>
      <c r="L617" t="s">
        <v>2885</v>
      </c>
      <c r="M617">
        <v>399.57</v>
      </c>
      <c r="N617">
        <v>92</v>
      </c>
      <c r="O617" t="s">
        <v>2886</v>
      </c>
      <c r="P617" t="s">
        <v>108</v>
      </c>
      <c r="Q617" t="s">
        <v>176</v>
      </c>
      <c r="R617" t="s">
        <v>44</v>
      </c>
      <c r="S617" t="s">
        <v>98</v>
      </c>
      <c r="T617" t="s">
        <v>246</v>
      </c>
      <c r="U617">
        <v>675</v>
      </c>
      <c r="V617">
        <v>492</v>
      </c>
      <c r="W617">
        <v>21</v>
      </c>
      <c r="X617">
        <v>1408</v>
      </c>
      <c r="Y617">
        <v>257.52999999999997</v>
      </c>
      <c r="Z617">
        <v>1665.53</v>
      </c>
      <c r="AA617" t="s">
        <v>47</v>
      </c>
      <c r="AB617">
        <v>8</v>
      </c>
      <c r="AC617">
        <v>72.58</v>
      </c>
      <c r="AD617">
        <v>181</v>
      </c>
      <c r="AE617">
        <v>228</v>
      </c>
    </row>
    <row r="618" spans="1:31" x14ac:dyDescent="0.25">
      <c r="A618" t="s">
        <v>2887</v>
      </c>
      <c r="B618" t="s">
        <v>2888</v>
      </c>
      <c r="C618" s="1">
        <v>44407</v>
      </c>
      <c r="D618" s="1">
        <v>45300</v>
      </c>
      <c r="E618" t="s">
        <v>65</v>
      </c>
      <c r="F618" t="s">
        <v>77</v>
      </c>
      <c r="G618" t="s">
        <v>35</v>
      </c>
      <c r="H618" t="s">
        <v>147</v>
      </c>
      <c r="I618" t="s">
        <v>1053</v>
      </c>
      <c r="J618" t="s">
        <v>104</v>
      </c>
      <c r="K618" t="s">
        <v>105</v>
      </c>
      <c r="L618" t="s">
        <v>1054</v>
      </c>
      <c r="M618">
        <v>330.73</v>
      </c>
      <c r="N618">
        <v>10</v>
      </c>
      <c r="O618" t="s">
        <v>2889</v>
      </c>
      <c r="P618" t="s">
        <v>84</v>
      </c>
      <c r="Q618" t="s">
        <v>72</v>
      </c>
      <c r="R618" t="s">
        <v>86</v>
      </c>
      <c r="S618" t="s">
        <v>73</v>
      </c>
      <c r="T618" t="s">
        <v>119</v>
      </c>
      <c r="U618">
        <v>3698</v>
      </c>
      <c r="V618">
        <v>233</v>
      </c>
      <c r="W618">
        <v>18</v>
      </c>
      <c r="X618">
        <v>323.38</v>
      </c>
      <c r="Y618">
        <v>401.74</v>
      </c>
      <c r="Z618">
        <v>725.12</v>
      </c>
      <c r="AA618" t="s">
        <v>62</v>
      </c>
      <c r="AB618">
        <v>0</v>
      </c>
      <c r="AC618">
        <v>85.95</v>
      </c>
      <c r="AD618">
        <v>192</v>
      </c>
      <c r="AE618">
        <v>177</v>
      </c>
    </row>
    <row r="619" spans="1:31" x14ac:dyDescent="0.25">
      <c r="A619" t="s">
        <v>2890</v>
      </c>
      <c r="B619" t="s">
        <v>2891</v>
      </c>
      <c r="C619" s="1">
        <v>44486</v>
      </c>
      <c r="D619" s="1">
        <v>44265</v>
      </c>
      <c r="E619" t="s">
        <v>65</v>
      </c>
      <c r="F619" t="s">
        <v>77</v>
      </c>
      <c r="G619" t="s">
        <v>343</v>
      </c>
      <c r="H619" t="s">
        <v>53</v>
      </c>
      <c r="I619" t="s">
        <v>2892</v>
      </c>
      <c r="J619" t="s">
        <v>104</v>
      </c>
      <c r="K619" t="s">
        <v>554</v>
      </c>
      <c r="L619" t="s">
        <v>2893</v>
      </c>
      <c r="M619">
        <v>498.76</v>
      </c>
      <c r="N619">
        <v>4</v>
      </c>
      <c r="O619" t="s">
        <v>2894</v>
      </c>
      <c r="P619" t="s">
        <v>58</v>
      </c>
      <c r="Q619" t="s">
        <v>295</v>
      </c>
      <c r="R619" t="s">
        <v>152</v>
      </c>
      <c r="S619" t="s">
        <v>98</v>
      </c>
      <c r="T619" t="s">
        <v>127</v>
      </c>
      <c r="U619">
        <v>477</v>
      </c>
      <c r="V619">
        <v>480</v>
      </c>
      <c r="W619">
        <v>23</v>
      </c>
      <c r="X619">
        <v>1439.43</v>
      </c>
      <c r="Y619">
        <v>245.99</v>
      </c>
      <c r="Z619">
        <v>1685.42</v>
      </c>
      <c r="AA619" t="s">
        <v>62</v>
      </c>
      <c r="AB619">
        <v>0</v>
      </c>
      <c r="AC619">
        <v>94.31</v>
      </c>
      <c r="AD619">
        <v>169</v>
      </c>
      <c r="AE619">
        <v>170</v>
      </c>
    </row>
    <row r="620" spans="1:31" x14ac:dyDescent="0.25">
      <c r="A620" t="s">
        <v>2895</v>
      </c>
      <c r="B620" t="s">
        <v>2896</v>
      </c>
      <c r="C620" s="1">
        <v>45210</v>
      </c>
      <c r="D620" s="1">
        <v>45067</v>
      </c>
      <c r="E620" t="s">
        <v>65</v>
      </c>
      <c r="F620" t="s">
        <v>51</v>
      </c>
      <c r="G620" t="s">
        <v>343</v>
      </c>
      <c r="H620" t="s">
        <v>79</v>
      </c>
      <c r="I620" t="s">
        <v>2897</v>
      </c>
      <c r="J620" t="s">
        <v>38</v>
      </c>
      <c r="K620" t="s">
        <v>55</v>
      </c>
      <c r="L620" t="s">
        <v>2898</v>
      </c>
      <c r="M620">
        <v>362.55</v>
      </c>
      <c r="N620">
        <v>28</v>
      </c>
      <c r="O620" t="s">
        <v>2899</v>
      </c>
      <c r="P620" t="s">
        <v>58</v>
      </c>
      <c r="Q620" t="s">
        <v>97</v>
      </c>
      <c r="R620" t="s">
        <v>44</v>
      </c>
      <c r="S620" t="s">
        <v>73</v>
      </c>
      <c r="T620" t="s">
        <v>278</v>
      </c>
      <c r="U620">
        <v>4088</v>
      </c>
      <c r="V620">
        <v>128</v>
      </c>
      <c r="W620">
        <v>11</v>
      </c>
      <c r="X620">
        <v>1385.25</v>
      </c>
      <c r="Y620">
        <v>486.06</v>
      </c>
      <c r="Z620">
        <v>1871.31</v>
      </c>
      <c r="AA620" t="s">
        <v>47</v>
      </c>
      <c r="AB620">
        <v>14</v>
      </c>
      <c r="AC620">
        <v>92.79</v>
      </c>
      <c r="AD620">
        <v>406</v>
      </c>
      <c r="AE620">
        <v>369</v>
      </c>
    </row>
    <row r="621" spans="1:31" x14ac:dyDescent="0.25">
      <c r="A621" t="s">
        <v>2900</v>
      </c>
      <c r="B621" t="s">
        <v>1401</v>
      </c>
      <c r="C621" s="1">
        <v>45230</v>
      </c>
      <c r="D621" s="1">
        <v>44529</v>
      </c>
      <c r="E621" t="s">
        <v>33</v>
      </c>
      <c r="F621" t="s">
        <v>77</v>
      </c>
      <c r="G621" t="s">
        <v>102</v>
      </c>
      <c r="H621" t="s">
        <v>67</v>
      </c>
      <c r="I621" t="s">
        <v>2901</v>
      </c>
      <c r="J621" t="s">
        <v>38</v>
      </c>
      <c r="K621" t="s">
        <v>39</v>
      </c>
      <c r="L621" t="s">
        <v>2902</v>
      </c>
      <c r="M621">
        <v>161.61000000000001</v>
      </c>
      <c r="N621">
        <v>11</v>
      </c>
      <c r="O621" t="s">
        <v>2903</v>
      </c>
      <c r="P621" t="s">
        <v>108</v>
      </c>
      <c r="Q621" t="s">
        <v>320</v>
      </c>
      <c r="R621" t="s">
        <v>152</v>
      </c>
      <c r="S621" t="s">
        <v>87</v>
      </c>
      <c r="T621" t="s">
        <v>481</v>
      </c>
      <c r="U621">
        <v>4758</v>
      </c>
      <c r="V621">
        <v>129</v>
      </c>
      <c r="W621">
        <v>22</v>
      </c>
      <c r="X621">
        <v>1929.56</v>
      </c>
      <c r="Y621">
        <v>266.43</v>
      </c>
      <c r="Z621">
        <v>2195.9899999999998</v>
      </c>
      <c r="AA621" t="s">
        <v>62</v>
      </c>
      <c r="AB621">
        <v>0</v>
      </c>
      <c r="AC621">
        <v>88.77</v>
      </c>
      <c r="AD621">
        <v>452</v>
      </c>
      <c r="AE621">
        <v>463</v>
      </c>
    </row>
    <row r="622" spans="1:31" x14ac:dyDescent="0.25">
      <c r="A622" t="s">
        <v>2904</v>
      </c>
      <c r="B622" t="s">
        <v>2905</v>
      </c>
      <c r="C622" s="1">
        <v>43962</v>
      </c>
      <c r="D622" s="1">
        <v>44630</v>
      </c>
      <c r="E622" t="s">
        <v>65</v>
      </c>
      <c r="F622" t="s">
        <v>91</v>
      </c>
      <c r="G622" t="s">
        <v>52</v>
      </c>
      <c r="H622" t="s">
        <v>163</v>
      </c>
      <c r="I622" t="s">
        <v>719</v>
      </c>
      <c r="J622" t="s">
        <v>104</v>
      </c>
      <c r="K622" t="s">
        <v>105</v>
      </c>
      <c r="L622" t="s">
        <v>720</v>
      </c>
      <c r="M622">
        <v>29.23</v>
      </c>
      <c r="N622">
        <v>32</v>
      </c>
      <c r="O622" t="s">
        <v>2906</v>
      </c>
      <c r="P622" t="s">
        <v>58</v>
      </c>
      <c r="Q622" t="s">
        <v>118</v>
      </c>
      <c r="R622" t="s">
        <v>86</v>
      </c>
      <c r="S622" t="s">
        <v>73</v>
      </c>
      <c r="T622" t="s">
        <v>246</v>
      </c>
      <c r="U622">
        <v>206</v>
      </c>
      <c r="V622">
        <v>235</v>
      </c>
      <c r="W622">
        <v>10</v>
      </c>
      <c r="X622">
        <v>1074.4000000000001</v>
      </c>
      <c r="Y622">
        <v>158.57</v>
      </c>
      <c r="Z622">
        <v>1232.97</v>
      </c>
      <c r="AA622" t="s">
        <v>47</v>
      </c>
      <c r="AB622">
        <v>13</v>
      </c>
      <c r="AC622">
        <v>99.48</v>
      </c>
      <c r="AD622">
        <v>100</v>
      </c>
      <c r="AE622">
        <v>145</v>
      </c>
    </row>
    <row r="623" spans="1:31" x14ac:dyDescent="0.25">
      <c r="A623" t="s">
        <v>2907</v>
      </c>
      <c r="B623" t="s">
        <v>2908</v>
      </c>
      <c r="C623" s="1">
        <v>45638</v>
      </c>
      <c r="D623" s="1">
        <v>45479</v>
      </c>
      <c r="E623" t="s">
        <v>33</v>
      </c>
      <c r="F623" t="s">
        <v>51</v>
      </c>
      <c r="G623" t="s">
        <v>52</v>
      </c>
      <c r="H623" t="s">
        <v>221</v>
      </c>
      <c r="I623" t="s">
        <v>2909</v>
      </c>
      <c r="J623" t="s">
        <v>38</v>
      </c>
      <c r="K623" t="s">
        <v>94</v>
      </c>
      <c r="L623" t="s">
        <v>2910</v>
      </c>
      <c r="M623">
        <v>456.5</v>
      </c>
      <c r="N623">
        <v>56</v>
      </c>
      <c r="O623" t="s">
        <v>680</v>
      </c>
      <c r="P623" t="s">
        <v>84</v>
      </c>
      <c r="Q623" t="s">
        <v>432</v>
      </c>
      <c r="R623" t="s">
        <v>44</v>
      </c>
      <c r="S623" t="s">
        <v>87</v>
      </c>
      <c r="T623" t="s">
        <v>192</v>
      </c>
      <c r="U623">
        <v>2772</v>
      </c>
      <c r="V623">
        <v>52</v>
      </c>
      <c r="W623">
        <v>28</v>
      </c>
      <c r="X623">
        <v>1032.74</v>
      </c>
      <c r="Y623">
        <v>372.69</v>
      </c>
      <c r="Z623">
        <v>1405.43</v>
      </c>
      <c r="AA623" t="s">
        <v>62</v>
      </c>
      <c r="AB623">
        <v>0</v>
      </c>
      <c r="AC623">
        <v>72.59</v>
      </c>
      <c r="AD623">
        <v>307</v>
      </c>
      <c r="AE623">
        <v>267</v>
      </c>
    </row>
    <row r="624" spans="1:31" x14ac:dyDescent="0.25">
      <c r="A624" t="s">
        <v>2911</v>
      </c>
      <c r="B624" t="s">
        <v>2912</v>
      </c>
      <c r="C624" s="1">
        <v>44655</v>
      </c>
      <c r="D624" s="1">
        <v>44212</v>
      </c>
      <c r="E624" t="s">
        <v>65</v>
      </c>
      <c r="F624" t="s">
        <v>34</v>
      </c>
      <c r="G624" t="s">
        <v>113</v>
      </c>
      <c r="H624" t="s">
        <v>67</v>
      </c>
      <c r="I624" t="s">
        <v>1655</v>
      </c>
      <c r="J624" t="s">
        <v>38</v>
      </c>
      <c r="K624" t="s">
        <v>55</v>
      </c>
      <c r="L624" t="s">
        <v>1656</v>
      </c>
      <c r="M624">
        <v>136.74</v>
      </c>
      <c r="N624">
        <v>89</v>
      </c>
      <c r="O624" t="s">
        <v>2204</v>
      </c>
      <c r="P624" t="s">
        <v>108</v>
      </c>
      <c r="Q624" t="s">
        <v>151</v>
      </c>
      <c r="R624" t="s">
        <v>152</v>
      </c>
      <c r="S624" t="s">
        <v>45</v>
      </c>
      <c r="T624" t="s">
        <v>267</v>
      </c>
      <c r="U624">
        <v>729</v>
      </c>
      <c r="V624">
        <v>440</v>
      </c>
      <c r="W624">
        <v>13</v>
      </c>
      <c r="X624">
        <v>1054.8599999999999</v>
      </c>
      <c r="Y624">
        <v>388.22</v>
      </c>
      <c r="Z624">
        <v>1443.08</v>
      </c>
      <c r="AA624" t="s">
        <v>62</v>
      </c>
      <c r="AB624">
        <v>0</v>
      </c>
      <c r="AC624">
        <v>95.51</v>
      </c>
      <c r="AD624">
        <v>469</v>
      </c>
      <c r="AE624">
        <v>484</v>
      </c>
    </row>
    <row r="625" spans="1:31" x14ac:dyDescent="0.25">
      <c r="A625" t="s">
        <v>2913</v>
      </c>
      <c r="B625" t="s">
        <v>2914</v>
      </c>
      <c r="C625" s="1">
        <v>45140</v>
      </c>
      <c r="D625" s="1">
        <v>45291</v>
      </c>
      <c r="E625" t="s">
        <v>65</v>
      </c>
      <c r="F625" t="s">
        <v>51</v>
      </c>
      <c r="G625" t="s">
        <v>92</v>
      </c>
      <c r="H625" t="s">
        <v>147</v>
      </c>
      <c r="I625" t="s">
        <v>2915</v>
      </c>
      <c r="J625" t="s">
        <v>38</v>
      </c>
      <c r="K625" t="s">
        <v>263</v>
      </c>
      <c r="L625" t="s">
        <v>271</v>
      </c>
      <c r="M625">
        <v>213.73</v>
      </c>
      <c r="N625">
        <v>75</v>
      </c>
      <c r="O625" t="s">
        <v>990</v>
      </c>
      <c r="P625" t="s">
        <v>108</v>
      </c>
      <c r="Q625" t="s">
        <v>1244</v>
      </c>
      <c r="R625" t="s">
        <v>44</v>
      </c>
      <c r="S625" t="s">
        <v>126</v>
      </c>
      <c r="T625" t="s">
        <v>170</v>
      </c>
      <c r="U625">
        <v>2155</v>
      </c>
      <c r="V625">
        <v>397</v>
      </c>
      <c r="W625">
        <v>7</v>
      </c>
      <c r="X625">
        <v>378.03</v>
      </c>
      <c r="Y625">
        <v>411.83</v>
      </c>
      <c r="Z625">
        <v>789.8599999999999</v>
      </c>
      <c r="AA625" t="s">
        <v>62</v>
      </c>
      <c r="AB625">
        <v>0</v>
      </c>
      <c r="AC625">
        <v>71.05</v>
      </c>
      <c r="AD625">
        <v>479</v>
      </c>
      <c r="AE625">
        <v>490</v>
      </c>
    </row>
    <row r="626" spans="1:31" x14ac:dyDescent="0.25">
      <c r="A626" t="s">
        <v>2916</v>
      </c>
      <c r="B626" t="s">
        <v>2917</v>
      </c>
      <c r="C626" s="1">
        <v>44489</v>
      </c>
      <c r="D626" s="1">
        <v>44700</v>
      </c>
      <c r="E626" t="s">
        <v>65</v>
      </c>
      <c r="F626" t="s">
        <v>51</v>
      </c>
      <c r="G626" t="s">
        <v>78</v>
      </c>
      <c r="H626" t="s">
        <v>114</v>
      </c>
      <c r="I626" t="s">
        <v>1007</v>
      </c>
      <c r="J626" t="s">
        <v>104</v>
      </c>
      <c r="K626" t="s">
        <v>181</v>
      </c>
      <c r="L626" t="s">
        <v>1008</v>
      </c>
      <c r="M626">
        <v>34.35</v>
      </c>
      <c r="N626">
        <v>46</v>
      </c>
      <c r="O626" t="s">
        <v>2918</v>
      </c>
      <c r="P626" t="s">
        <v>42</v>
      </c>
      <c r="Q626" t="s">
        <v>59</v>
      </c>
      <c r="R626" t="s">
        <v>44</v>
      </c>
      <c r="S626" t="s">
        <v>98</v>
      </c>
      <c r="T626" t="s">
        <v>470</v>
      </c>
      <c r="U626">
        <v>215</v>
      </c>
      <c r="V626">
        <v>456</v>
      </c>
      <c r="W626">
        <v>29</v>
      </c>
      <c r="X626">
        <v>385.04</v>
      </c>
      <c r="Y626">
        <v>285.83999999999997</v>
      </c>
      <c r="Z626">
        <v>670.88</v>
      </c>
      <c r="AA626" t="s">
        <v>62</v>
      </c>
      <c r="AB626">
        <v>0</v>
      </c>
      <c r="AC626">
        <v>70.91</v>
      </c>
      <c r="AD626">
        <v>82</v>
      </c>
      <c r="AE626">
        <v>126</v>
      </c>
    </row>
    <row r="627" spans="1:31" x14ac:dyDescent="0.25">
      <c r="A627" t="s">
        <v>2919</v>
      </c>
      <c r="B627" t="s">
        <v>2920</v>
      </c>
      <c r="C627" s="1">
        <v>44278</v>
      </c>
      <c r="D627" s="1">
        <v>45516</v>
      </c>
      <c r="E627" t="s">
        <v>65</v>
      </c>
      <c r="F627" t="s">
        <v>51</v>
      </c>
      <c r="G627" t="s">
        <v>92</v>
      </c>
      <c r="H627" t="s">
        <v>221</v>
      </c>
      <c r="I627" t="s">
        <v>2921</v>
      </c>
      <c r="J627" t="s">
        <v>38</v>
      </c>
      <c r="K627" t="s">
        <v>55</v>
      </c>
      <c r="L627" t="s">
        <v>2922</v>
      </c>
      <c r="M627">
        <v>66.680000000000007</v>
      </c>
      <c r="N627">
        <v>26</v>
      </c>
      <c r="O627" t="s">
        <v>1733</v>
      </c>
      <c r="P627" t="s">
        <v>42</v>
      </c>
      <c r="Q627" t="s">
        <v>980</v>
      </c>
      <c r="R627" t="s">
        <v>44</v>
      </c>
      <c r="S627" t="s">
        <v>45</v>
      </c>
      <c r="T627" t="s">
        <v>1004</v>
      </c>
      <c r="U627">
        <v>4080</v>
      </c>
      <c r="V627">
        <v>147</v>
      </c>
      <c r="W627">
        <v>6</v>
      </c>
      <c r="X627">
        <v>98.66</v>
      </c>
      <c r="Y627">
        <v>492.83</v>
      </c>
      <c r="Z627">
        <v>591.49</v>
      </c>
      <c r="AA627" t="s">
        <v>62</v>
      </c>
      <c r="AB627">
        <v>0</v>
      </c>
      <c r="AC627">
        <v>98.42</v>
      </c>
      <c r="AD627">
        <v>100</v>
      </c>
      <c r="AE627">
        <v>67</v>
      </c>
    </row>
    <row r="628" spans="1:31" x14ac:dyDescent="0.25">
      <c r="A628" t="s">
        <v>2923</v>
      </c>
      <c r="B628" t="s">
        <v>1663</v>
      </c>
      <c r="C628" s="1">
        <v>44644</v>
      </c>
      <c r="D628" s="1">
        <v>45284</v>
      </c>
      <c r="E628" t="s">
        <v>50</v>
      </c>
      <c r="F628" t="s">
        <v>51</v>
      </c>
      <c r="G628" t="s">
        <v>113</v>
      </c>
      <c r="H628" t="s">
        <v>67</v>
      </c>
      <c r="I628" t="s">
        <v>2924</v>
      </c>
      <c r="J628" t="s">
        <v>38</v>
      </c>
      <c r="K628" t="s">
        <v>138</v>
      </c>
      <c r="L628" t="s">
        <v>2925</v>
      </c>
      <c r="M628">
        <v>27.69</v>
      </c>
      <c r="N628">
        <v>55</v>
      </c>
      <c r="O628" t="s">
        <v>2926</v>
      </c>
      <c r="P628" t="s">
        <v>84</v>
      </c>
      <c r="Q628" t="s">
        <v>708</v>
      </c>
      <c r="R628" t="s">
        <v>60</v>
      </c>
      <c r="S628" t="s">
        <v>87</v>
      </c>
      <c r="T628" t="s">
        <v>302</v>
      </c>
      <c r="U628">
        <v>2962</v>
      </c>
      <c r="V628">
        <v>233</v>
      </c>
      <c r="W628">
        <v>2</v>
      </c>
      <c r="X628">
        <v>1220.95</v>
      </c>
      <c r="Y628">
        <v>354.45</v>
      </c>
      <c r="Z628">
        <v>1575.4</v>
      </c>
      <c r="AA628" t="s">
        <v>62</v>
      </c>
      <c r="AB628">
        <v>0</v>
      </c>
      <c r="AC628">
        <v>83.47</v>
      </c>
      <c r="AD628">
        <v>329</v>
      </c>
      <c r="AE628">
        <v>351</v>
      </c>
    </row>
    <row r="629" spans="1:31" x14ac:dyDescent="0.25">
      <c r="A629" t="s">
        <v>2927</v>
      </c>
      <c r="B629" t="s">
        <v>2928</v>
      </c>
      <c r="C629" s="1">
        <v>44890</v>
      </c>
      <c r="D629" s="1">
        <v>45538</v>
      </c>
      <c r="E629" t="s">
        <v>65</v>
      </c>
      <c r="F629" t="s">
        <v>34</v>
      </c>
      <c r="G629" t="s">
        <v>113</v>
      </c>
      <c r="H629" t="s">
        <v>53</v>
      </c>
      <c r="I629" t="s">
        <v>2929</v>
      </c>
      <c r="J629" t="s">
        <v>38</v>
      </c>
      <c r="K629" t="s">
        <v>39</v>
      </c>
      <c r="L629" t="s">
        <v>2930</v>
      </c>
      <c r="M629">
        <v>266.5</v>
      </c>
      <c r="N629">
        <v>89</v>
      </c>
      <c r="O629" t="s">
        <v>2931</v>
      </c>
      <c r="P629" t="s">
        <v>84</v>
      </c>
      <c r="Q629" t="s">
        <v>43</v>
      </c>
      <c r="R629" t="s">
        <v>86</v>
      </c>
      <c r="S629" t="s">
        <v>73</v>
      </c>
      <c r="T629" t="s">
        <v>218</v>
      </c>
      <c r="U629">
        <v>4591</v>
      </c>
      <c r="V629">
        <v>221</v>
      </c>
      <c r="W629">
        <v>13</v>
      </c>
      <c r="X629">
        <v>630.46</v>
      </c>
      <c r="Y629">
        <v>336</v>
      </c>
      <c r="Z629">
        <v>966.46</v>
      </c>
      <c r="AA629" t="s">
        <v>62</v>
      </c>
      <c r="AB629">
        <v>0</v>
      </c>
      <c r="AC629">
        <v>73.88</v>
      </c>
      <c r="AD629">
        <v>391</v>
      </c>
      <c r="AE629">
        <v>378</v>
      </c>
    </row>
    <row r="630" spans="1:31" x14ac:dyDescent="0.25">
      <c r="A630" t="s">
        <v>2932</v>
      </c>
      <c r="B630" t="s">
        <v>2933</v>
      </c>
      <c r="C630" s="1">
        <v>45389</v>
      </c>
      <c r="D630" s="1">
        <v>44566</v>
      </c>
      <c r="E630" t="s">
        <v>65</v>
      </c>
      <c r="F630" t="s">
        <v>146</v>
      </c>
      <c r="G630" t="s">
        <v>343</v>
      </c>
      <c r="H630" t="s">
        <v>79</v>
      </c>
      <c r="I630" t="s">
        <v>2934</v>
      </c>
      <c r="J630" t="s">
        <v>165</v>
      </c>
      <c r="K630" t="s">
        <v>1098</v>
      </c>
      <c r="L630" t="s">
        <v>2935</v>
      </c>
      <c r="M630">
        <v>430.34</v>
      </c>
      <c r="N630">
        <v>88</v>
      </c>
      <c r="O630" t="s">
        <v>204</v>
      </c>
      <c r="P630" t="s">
        <v>141</v>
      </c>
      <c r="Q630" t="s">
        <v>151</v>
      </c>
      <c r="R630" t="s">
        <v>60</v>
      </c>
      <c r="S630" t="s">
        <v>98</v>
      </c>
      <c r="T630" t="s">
        <v>314</v>
      </c>
      <c r="U630">
        <v>4201</v>
      </c>
      <c r="V630">
        <v>449</v>
      </c>
      <c r="W630">
        <v>28</v>
      </c>
      <c r="X630">
        <v>1860.87</v>
      </c>
      <c r="Y630">
        <v>438.96</v>
      </c>
      <c r="Z630">
        <v>2299.83</v>
      </c>
      <c r="AA630" t="s">
        <v>62</v>
      </c>
      <c r="AB630">
        <v>0</v>
      </c>
      <c r="AC630">
        <v>97.06</v>
      </c>
      <c r="AD630">
        <v>242</v>
      </c>
      <c r="AE630">
        <v>216</v>
      </c>
    </row>
    <row r="631" spans="1:31" x14ac:dyDescent="0.25">
      <c r="A631" t="s">
        <v>2936</v>
      </c>
      <c r="B631" t="s">
        <v>2937</v>
      </c>
      <c r="C631" s="1">
        <v>44914</v>
      </c>
      <c r="D631" s="1">
        <v>45304</v>
      </c>
      <c r="E631" t="s">
        <v>50</v>
      </c>
      <c r="F631" t="s">
        <v>91</v>
      </c>
      <c r="G631" t="s">
        <v>343</v>
      </c>
      <c r="H631" t="s">
        <v>163</v>
      </c>
      <c r="I631" t="s">
        <v>2938</v>
      </c>
      <c r="J631" t="s">
        <v>165</v>
      </c>
      <c r="K631" t="s">
        <v>166</v>
      </c>
      <c r="L631" t="s">
        <v>2939</v>
      </c>
      <c r="M631">
        <v>213.44</v>
      </c>
      <c r="N631">
        <v>6</v>
      </c>
      <c r="O631" t="s">
        <v>1724</v>
      </c>
      <c r="P631" t="s">
        <v>84</v>
      </c>
      <c r="Q631" t="s">
        <v>252</v>
      </c>
      <c r="R631" t="s">
        <v>60</v>
      </c>
      <c r="S631" t="s">
        <v>87</v>
      </c>
      <c r="T631" t="s">
        <v>127</v>
      </c>
      <c r="U631">
        <v>3590</v>
      </c>
      <c r="V631">
        <v>216</v>
      </c>
      <c r="W631">
        <v>10</v>
      </c>
      <c r="X631">
        <v>277.41000000000003</v>
      </c>
      <c r="Y631">
        <v>42.56</v>
      </c>
      <c r="Z631">
        <v>319.97000000000003</v>
      </c>
      <c r="AA631" t="s">
        <v>62</v>
      </c>
      <c r="AB631">
        <v>0</v>
      </c>
      <c r="AC631">
        <v>86.74</v>
      </c>
      <c r="AD631">
        <v>82</v>
      </c>
      <c r="AE631">
        <v>81</v>
      </c>
    </row>
    <row r="632" spans="1:31" x14ac:dyDescent="0.25">
      <c r="A632" t="s">
        <v>2940</v>
      </c>
      <c r="B632" t="s">
        <v>2941</v>
      </c>
      <c r="C632" s="1">
        <v>44549</v>
      </c>
      <c r="D632" s="1">
        <v>44419</v>
      </c>
      <c r="E632" t="s">
        <v>65</v>
      </c>
      <c r="F632" t="s">
        <v>91</v>
      </c>
      <c r="G632" t="s">
        <v>92</v>
      </c>
      <c r="H632" t="s">
        <v>53</v>
      </c>
      <c r="I632" t="s">
        <v>2942</v>
      </c>
      <c r="J632" t="s">
        <v>38</v>
      </c>
      <c r="K632" t="s">
        <v>39</v>
      </c>
      <c r="L632" t="s">
        <v>2943</v>
      </c>
      <c r="M632">
        <v>28.94</v>
      </c>
      <c r="N632">
        <v>68</v>
      </c>
      <c r="O632" t="s">
        <v>307</v>
      </c>
      <c r="P632" t="s">
        <v>42</v>
      </c>
      <c r="Q632" t="s">
        <v>118</v>
      </c>
      <c r="R632" t="s">
        <v>86</v>
      </c>
      <c r="S632" t="s">
        <v>73</v>
      </c>
      <c r="T632" t="s">
        <v>1294</v>
      </c>
      <c r="U632">
        <v>300</v>
      </c>
      <c r="V632">
        <v>369</v>
      </c>
      <c r="W632">
        <v>20</v>
      </c>
      <c r="X632">
        <v>85.79</v>
      </c>
      <c r="Y632">
        <v>132.22999999999999</v>
      </c>
      <c r="Z632">
        <v>218.02</v>
      </c>
      <c r="AA632" t="s">
        <v>62</v>
      </c>
      <c r="AB632">
        <v>0</v>
      </c>
      <c r="AC632">
        <v>73.12</v>
      </c>
      <c r="AD632">
        <v>382</v>
      </c>
      <c r="AE632">
        <v>371</v>
      </c>
    </row>
    <row r="633" spans="1:31" x14ac:dyDescent="0.25">
      <c r="A633" t="s">
        <v>2944</v>
      </c>
      <c r="B633" t="s">
        <v>2945</v>
      </c>
      <c r="C633" s="1">
        <v>44924</v>
      </c>
      <c r="D633" s="1">
        <v>44747</v>
      </c>
      <c r="E633" t="s">
        <v>65</v>
      </c>
      <c r="F633" t="s">
        <v>91</v>
      </c>
      <c r="G633" t="s">
        <v>52</v>
      </c>
      <c r="H633" t="s">
        <v>221</v>
      </c>
      <c r="I633" t="s">
        <v>2946</v>
      </c>
      <c r="J633" t="s">
        <v>104</v>
      </c>
      <c r="K633" t="s">
        <v>229</v>
      </c>
      <c r="L633" t="s">
        <v>2947</v>
      </c>
      <c r="M633">
        <v>33.56</v>
      </c>
      <c r="N633">
        <v>6</v>
      </c>
      <c r="O633" t="s">
        <v>313</v>
      </c>
      <c r="P633" t="s">
        <v>108</v>
      </c>
      <c r="Q633" t="s">
        <v>491</v>
      </c>
      <c r="R633" t="s">
        <v>44</v>
      </c>
      <c r="S633" t="s">
        <v>98</v>
      </c>
      <c r="T633" t="s">
        <v>110</v>
      </c>
      <c r="U633">
        <v>1726</v>
      </c>
      <c r="V633">
        <v>410</v>
      </c>
      <c r="W633">
        <v>17</v>
      </c>
      <c r="X633">
        <v>1830.13</v>
      </c>
      <c r="Y633">
        <v>419.98</v>
      </c>
      <c r="Z633">
        <v>2250.11</v>
      </c>
      <c r="AA633" t="s">
        <v>62</v>
      </c>
      <c r="AB633">
        <v>0</v>
      </c>
      <c r="AC633">
        <v>76.489999999999995</v>
      </c>
      <c r="AD633">
        <v>168</v>
      </c>
      <c r="AE633">
        <v>136</v>
      </c>
    </row>
    <row r="634" spans="1:31" x14ac:dyDescent="0.25">
      <c r="A634" t="s">
        <v>2948</v>
      </c>
      <c r="B634" t="s">
        <v>1748</v>
      </c>
      <c r="C634" s="1">
        <v>44748</v>
      </c>
      <c r="D634" s="1">
        <v>45195</v>
      </c>
      <c r="E634" t="s">
        <v>65</v>
      </c>
      <c r="F634" t="s">
        <v>34</v>
      </c>
      <c r="G634" t="s">
        <v>343</v>
      </c>
      <c r="H634" t="s">
        <v>53</v>
      </c>
      <c r="I634" t="s">
        <v>2604</v>
      </c>
      <c r="J634" t="s">
        <v>38</v>
      </c>
      <c r="K634" t="s">
        <v>338</v>
      </c>
      <c r="L634" t="s">
        <v>2605</v>
      </c>
      <c r="M634">
        <v>37.409999999999997</v>
      </c>
      <c r="N634">
        <v>77</v>
      </c>
      <c r="O634" t="s">
        <v>301</v>
      </c>
      <c r="P634" t="s">
        <v>141</v>
      </c>
      <c r="Q634" t="s">
        <v>432</v>
      </c>
      <c r="R634" t="s">
        <v>152</v>
      </c>
      <c r="S634" t="s">
        <v>45</v>
      </c>
      <c r="T634" t="s">
        <v>1294</v>
      </c>
      <c r="U634">
        <v>1717</v>
      </c>
      <c r="V634">
        <v>80</v>
      </c>
      <c r="W634">
        <v>2</v>
      </c>
      <c r="X634">
        <v>628.51</v>
      </c>
      <c r="Y634">
        <v>100.25</v>
      </c>
      <c r="Z634">
        <v>728.76</v>
      </c>
      <c r="AA634" t="s">
        <v>62</v>
      </c>
      <c r="AB634">
        <v>0</v>
      </c>
      <c r="AC634">
        <v>91.99</v>
      </c>
      <c r="AD634">
        <v>225</v>
      </c>
      <c r="AE634">
        <v>197</v>
      </c>
    </row>
    <row r="635" spans="1:31" x14ac:dyDescent="0.25">
      <c r="A635" t="s">
        <v>2949</v>
      </c>
      <c r="B635" t="s">
        <v>2950</v>
      </c>
      <c r="C635" s="1">
        <v>45411</v>
      </c>
      <c r="D635" s="1">
        <v>45399</v>
      </c>
      <c r="E635" t="s">
        <v>33</v>
      </c>
      <c r="F635" t="s">
        <v>146</v>
      </c>
      <c r="G635" t="s">
        <v>35</v>
      </c>
      <c r="H635" t="s">
        <v>53</v>
      </c>
      <c r="I635" t="s">
        <v>2951</v>
      </c>
      <c r="J635" t="s">
        <v>38</v>
      </c>
      <c r="K635" t="s">
        <v>94</v>
      </c>
      <c r="L635" t="s">
        <v>2952</v>
      </c>
      <c r="M635">
        <v>321.05</v>
      </c>
      <c r="N635">
        <v>80</v>
      </c>
      <c r="O635" t="s">
        <v>2472</v>
      </c>
      <c r="P635" t="s">
        <v>84</v>
      </c>
      <c r="Q635" t="s">
        <v>320</v>
      </c>
      <c r="R635" t="s">
        <v>44</v>
      </c>
      <c r="S635" t="s">
        <v>98</v>
      </c>
      <c r="T635" t="s">
        <v>638</v>
      </c>
      <c r="U635">
        <v>1568</v>
      </c>
      <c r="V635">
        <v>447</v>
      </c>
      <c r="W635">
        <v>3</v>
      </c>
      <c r="X635">
        <v>509.65</v>
      </c>
      <c r="Y635">
        <v>218.12</v>
      </c>
      <c r="Z635">
        <v>727.77</v>
      </c>
      <c r="AA635" t="s">
        <v>62</v>
      </c>
      <c r="AB635">
        <v>0</v>
      </c>
      <c r="AC635">
        <v>90.88</v>
      </c>
      <c r="AD635">
        <v>485</v>
      </c>
      <c r="AE635">
        <v>512</v>
      </c>
    </row>
    <row r="636" spans="1:31" x14ac:dyDescent="0.25">
      <c r="A636" t="s">
        <v>2953</v>
      </c>
      <c r="B636" t="s">
        <v>2954</v>
      </c>
      <c r="C636" s="1">
        <v>43848</v>
      </c>
      <c r="D636" s="1">
        <v>44158</v>
      </c>
      <c r="E636" t="s">
        <v>65</v>
      </c>
      <c r="F636" t="s">
        <v>91</v>
      </c>
      <c r="G636" t="s">
        <v>35</v>
      </c>
      <c r="H636" t="s">
        <v>53</v>
      </c>
      <c r="I636" t="s">
        <v>2955</v>
      </c>
      <c r="J636" t="s">
        <v>38</v>
      </c>
      <c r="K636" t="s">
        <v>55</v>
      </c>
      <c r="L636" t="s">
        <v>2956</v>
      </c>
      <c r="M636">
        <v>396.34</v>
      </c>
      <c r="N636">
        <v>31</v>
      </c>
      <c r="O636" t="s">
        <v>877</v>
      </c>
      <c r="P636" t="s">
        <v>84</v>
      </c>
      <c r="Q636" t="s">
        <v>425</v>
      </c>
      <c r="R636" t="s">
        <v>152</v>
      </c>
      <c r="S636" t="s">
        <v>126</v>
      </c>
      <c r="T636" t="s">
        <v>259</v>
      </c>
      <c r="U636">
        <v>4475</v>
      </c>
      <c r="V636">
        <v>303</v>
      </c>
      <c r="W636">
        <v>18</v>
      </c>
      <c r="X636">
        <v>619.54999999999995</v>
      </c>
      <c r="Y636">
        <v>403.03</v>
      </c>
      <c r="Z636">
        <v>1022.58</v>
      </c>
      <c r="AA636" t="s">
        <v>62</v>
      </c>
      <c r="AB636">
        <v>0</v>
      </c>
      <c r="AC636">
        <v>92.62</v>
      </c>
      <c r="AD636">
        <v>416</v>
      </c>
      <c r="AE636">
        <v>445</v>
      </c>
    </row>
    <row r="637" spans="1:31" x14ac:dyDescent="0.25">
      <c r="A637" t="s">
        <v>2957</v>
      </c>
      <c r="B637" t="s">
        <v>2958</v>
      </c>
      <c r="C637" s="1">
        <v>44903</v>
      </c>
      <c r="D637" s="1">
        <v>44050</v>
      </c>
      <c r="E637" t="s">
        <v>65</v>
      </c>
      <c r="F637" t="s">
        <v>51</v>
      </c>
      <c r="G637" t="s">
        <v>35</v>
      </c>
      <c r="H637" t="s">
        <v>67</v>
      </c>
      <c r="I637" t="s">
        <v>870</v>
      </c>
      <c r="J637" t="s">
        <v>38</v>
      </c>
      <c r="K637" t="s">
        <v>39</v>
      </c>
      <c r="L637" t="s">
        <v>871</v>
      </c>
      <c r="M637">
        <v>378.94</v>
      </c>
      <c r="N637">
        <v>82</v>
      </c>
      <c r="O637" t="s">
        <v>2959</v>
      </c>
      <c r="P637" t="s">
        <v>84</v>
      </c>
      <c r="Q637" t="s">
        <v>295</v>
      </c>
      <c r="R637" t="s">
        <v>44</v>
      </c>
      <c r="S637" t="s">
        <v>73</v>
      </c>
      <c r="T637" t="s">
        <v>511</v>
      </c>
      <c r="U637">
        <v>2027</v>
      </c>
      <c r="V637">
        <v>376</v>
      </c>
      <c r="W637">
        <v>25</v>
      </c>
      <c r="X637">
        <v>713.29</v>
      </c>
      <c r="Y637">
        <v>119.9</v>
      </c>
      <c r="Z637">
        <v>833.18999999999994</v>
      </c>
      <c r="AA637" t="s">
        <v>62</v>
      </c>
      <c r="AB637">
        <v>0</v>
      </c>
      <c r="AC637">
        <v>95.91</v>
      </c>
      <c r="AD637">
        <v>356</v>
      </c>
      <c r="AE637">
        <v>330</v>
      </c>
    </row>
    <row r="638" spans="1:31" x14ac:dyDescent="0.25">
      <c r="A638" t="s">
        <v>2960</v>
      </c>
      <c r="B638" t="s">
        <v>2436</v>
      </c>
      <c r="C638" s="1">
        <v>44927</v>
      </c>
      <c r="D638" s="1">
        <v>44304</v>
      </c>
      <c r="E638" t="s">
        <v>50</v>
      </c>
      <c r="F638" t="s">
        <v>91</v>
      </c>
      <c r="G638" t="s">
        <v>66</v>
      </c>
      <c r="H638" t="s">
        <v>221</v>
      </c>
      <c r="I638" t="s">
        <v>2961</v>
      </c>
      <c r="J638" t="s">
        <v>38</v>
      </c>
      <c r="K638" t="s">
        <v>39</v>
      </c>
      <c r="L638" t="s">
        <v>2962</v>
      </c>
      <c r="M638">
        <v>119.51</v>
      </c>
      <c r="N638">
        <v>11</v>
      </c>
      <c r="O638" t="s">
        <v>2963</v>
      </c>
      <c r="P638" t="s">
        <v>58</v>
      </c>
      <c r="Q638" t="s">
        <v>432</v>
      </c>
      <c r="R638" t="s">
        <v>60</v>
      </c>
      <c r="S638" t="s">
        <v>45</v>
      </c>
      <c r="T638" t="s">
        <v>119</v>
      </c>
      <c r="U638">
        <v>3425</v>
      </c>
      <c r="V638">
        <v>340</v>
      </c>
      <c r="W638">
        <v>19</v>
      </c>
      <c r="X638">
        <v>1008.06</v>
      </c>
      <c r="Y638">
        <v>152.47</v>
      </c>
      <c r="Z638">
        <v>1160.53</v>
      </c>
      <c r="AA638" t="s">
        <v>62</v>
      </c>
      <c r="AB638">
        <v>0</v>
      </c>
      <c r="AC638">
        <v>84.44</v>
      </c>
      <c r="AD638">
        <v>176</v>
      </c>
      <c r="AE638">
        <v>172</v>
      </c>
    </row>
    <row r="639" spans="1:31" x14ac:dyDescent="0.25">
      <c r="A639" t="s">
        <v>2964</v>
      </c>
      <c r="B639" t="s">
        <v>2965</v>
      </c>
      <c r="C639" s="1">
        <v>45656</v>
      </c>
      <c r="D639" s="1">
        <v>44867</v>
      </c>
      <c r="E639" t="s">
        <v>50</v>
      </c>
      <c r="F639" t="s">
        <v>77</v>
      </c>
      <c r="G639" t="s">
        <v>78</v>
      </c>
      <c r="H639" t="s">
        <v>67</v>
      </c>
      <c r="I639" t="s">
        <v>2966</v>
      </c>
      <c r="J639" t="s">
        <v>38</v>
      </c>
      <c r="K639" t="s">
        <v>81</v>
      </c>
      <c r="L639" t="s">
        <v>2967</v>
      </c>
      <c r="M639">
        <v>405.96</v>
      </c>
      <c r="N639">
        <v>56</v>
      </c>
      <c r="O639" t="s">
        <v>340</v>
      </c>
      <c r="P639" t="s">
        <v>141</v>
      </c>
      <c r="Q639" t="s">
        <v>517</v>
      </c>
      <c r="R639" t="s">
        <v>152</v>
      </c>
      <c r="S639" t="s">
        <v>126</v>
      </c>
      <c r="T639" t="s">
        <v>185</v>
      </c>
      <c r="U639">
        <v>2396</v>
      </c>
      <c r="V639">
        <v>375</v>
      </c>
      <c r="W639">
        <v>19</v>
      </c>
      <c r="X639">
        <v>1966.33</v>
      </c>
      <c r="Y639">
        <v>125.53</v>
      </c>
      <c r="Z639">
        <v>2091.86</v>
      </c>
      <c r="AA639" t="s">
        <v>62</v>
      </c>
      <c r="AB639">
        <v>0</v>
      </c>
      <c r="AC639">
        <v>90.54</v>
      </c>
      <c r="AD639">
        <v>358</v>
      </c>
      <c r="AE639">
        <v>356</v>
      </c>
    </row>
    <row r="640" spans="1:31" x14ac:dyDescent="0.25">
      <c r="A640" t="s">
        <v>2968</v>
      </c>
      <c r="B640" t="s">
        <v>2969</v>
      </c>
      <c r="C640" s="1">
        <v>45421</v>
      </c>
      <c r="D640" s="1">
        <v>45562</v>
      </c>
      <c r="E640" t="s">
        <v>50</v>
      </c>
      <c r="F640" t="s">
        <v>34</v>
      </c>
      <c r="G640" t="s">
        <v>66</v>
      </c>
      <c r="H640" t="s">
        <v>53</v>
      </c>
      <c r="I640" t="s">
        <v>2970</v>
      </c>
      <c r="J640" t="s">
        <v>165</v>
      </c>
      <c r="K640" t="s">
        <v>1098</v>
      </c>
      <c r="L640" t="s">
        <v>2971</v>
      </c>
      <c r="M640">
        <v>29.84</v>
      </c>
      <c r="N640">
        <v>49</v>
      </c>
      <c r="O640" t="s">
        <v>940</v>
      </c>
      <c r="P640" t="s">
        <v>84</v>
      </c>
      <c r="Q640" t="s">
        <v>169</v>
      </c>
      <c r="R640" t="s">
        <v>60</v>
      </c>
      <c r="S640" t="s">
        <v>45</v>
      </c>
      <c r="T640" t="s">
        <v>206</v>
      </c>
      <c r="U640">
        <v>1520</v>
      </c>
      <c r="V640">
        <v>246</v>
      </c>
      <c r="W640">
        <v>17</v>
      </c>
      <c r="X640">
        <v>1910.21</v>
      </c>
      <c r="Y640">
        <v>136.76</v>
      </c>
      <c r="Z640">
        <v>2046.97</v>
      </c>
      <c r="AA640" t="s">
        <v>47</v>
      </c>
      <c r="AB640">
        <v>11</v>
      </c>
      <c r="AC640">
        <v>89.92</v>
      </c>
      <c r="AD640">
        <v>171</v>
      </c>
      <c r="AE640">
        <v>204</v>
      </c>
    </row>
    <row r="641" spans="1:31" x14ac:dyDescent="0.25">
      <c r="A641" t="s">
        <v>2972</v>
      </c>
      <c r="B641" t="s">
        <v>2973</v>
      </c>
      <c r="C641" s="1">
        <v>43916</v>
      </c>
      <c r="D641" s="1">
        <v>45365</v>
      </c>
      <c r="E641" t="s">
        <v>65</v>
      </c>
      <c r="F641" t="s">
        <v>146</v>
      </c>
      <c r="G641" t="s">
        <v>35</v>
      </c>
      <c r="H641" t="s">
        <v>114</v>
      </c>
      <c r="I641" t="s">
        <v>2974</v>
      </c>
      <c r="J641" t="s">
        <v>165</v>
      </c>
      <c r="K641" t="s">
        <v>166</v>
      </c>
      <c r="L641" t="s">
        <v>2975</v>
      </c>
      <c r="M641">
        <v>75.489999999999995</v>
      </c>
      <c r="N641">
        <v>43</v>
      </c>
      <c r="O641" t="s">
        <v>2976</v>
      </c>
      <c r="P641" t="s">
        <v>141</v>
      </c>
      <c r="Q641" t="s">
        <v>464</v>
      </c>
      <c r="R641" t="s">
        <v>86</v>
      </c>
      <c r="S641" t="s">
        <v>73</v>
      </c>
      <c r="T641" t="s">
        <v>563</v>
      </c>
      <c r="U641">
        <v>1155</v>
      </c>
      <c r="V641">
        <v>360</v>
      </c>
      <c r="W641">
        <v>15</v>
      </c>
      <c r="X641">
        <v>1953.5</v>
      </c>
      <c r="Y641">
        <v>337.27</v>
      </c>
      <c r="Z641">
        <v>2290.77</v>
      </c>
      <c r="AA641" t="s">
        <v>62</v>
      </c>
      <c r="AB641">
        <v>0</v>
      </c>
      <c r="AC641">
        <v>88.37</v>
      </c>
      <c r="AD641">
        <v>151</v>
      </c>
      <c r="AE641">
        <v>129</v>
      </c>
    </row>
    <row r="642" spans="1:31" x14ac:dyDescent="0.25">
      <c r="A642" t="s">
        <v>2977</v>
      </c>
      <c r="B642" t="s">
        <v>2978</v>
      </c>
      <c r="C642" s="1">
        <v>44133</v>
      </c>
      <c r="D642" s="1">
        <v>44235</v>
      </c>
      <c r="E642" t="s">
        <v>65</v>
      </c>
      <c r="F642" t="s">
        <v>146</v>
      </c>
      <c r="G642" t="s">
        <v>113</v>
      </c>
      <c r="H642" t="s">
        <v>163</v>
      </c>
      <c r="I642" t="s">
        <v>2979</v>
      </c>
      <c r="J642" t="s">
        <v>104</v>
      </c>
      <c r="K642" t="s">
        <v>181</v>
      </c>
      <c r="L642" t="s">
        <v>2980</v>
      </c>
      <c r="M642">
        <v>275.60000000000002</v>
      </c>
      <c r="N642">
        <v>67</v>
      </c>
      <c r="O642" t="s">
        <v>2981</v>
      </c>
      <c r="P642" t="s">
        <v>108</v>
      </c>
      <c r="Q642" t="s">
        <v>125</v>
      </c>
      <c r="R642" t="s">
        <v>44</v>
      </c>
      <c r="S642" t="s">
        <v>126</v>
      </c>
      <c r="T642" t="s">
        <v>654</v>
      </c>
      <c r="U642">
        <v>811</v>
      </c>
      <c r="V642">
        <v>319</v>
      </c>
      <c r="W642">
        <v>29</v>
      </c>
      <c r="X642">
        <v>1751.11</v>
      </c>
      <c r="Y642">
        <v>301.08</v>
      </c>
      <c r="Z642">
        <v>2052.19</v>
      </c>
      <c r="AA642" t="s">
        <v>62</v>
      </c>
      <c r="AB642">
        <v>0</v>
      </c>
      <c r="AC642">
        <v>81.77</v>
      </c>
      <c r="AD642">
        <v>129</v>
      </c>
      <c r="AE642">
        <v>93</v>
      </c>
    </row>
    <row r="643" spans="1:31" x14ac:dyDescent="0.25">
      <c r="A643" t="s">
        <v>2982</v>
      </c>
      <c r="B643" t="s">
        <v>2983</v>
      </c>
      <c r="C643" s="1">
        <v>44986</v>
      </c>
      <c r="D643" s="1">
        <v>44869</v>
      </c>
      <c r="E643" t="s">
        <v>65</v>
      </c>
      <c r="F643" t="s">
        <v>146</v>
      </c>
      <c r="G643" t="s">
        <v>66</v>
      </c>
      <c r="H643" t="s">
        <v>67</v>
      </c>
      <c r="I643" t="s">
        <v>2984</v>
      </c>
      <c r="J643" t="s">
        <v>104</v>
      </c>
      <c r="K643" t="s">
        <v>181</v>
      </c>
      <c r="L643" t="s">
        <v>2985</v>
      </c>
      <c r="M643">
        <v>203.98</v>
      </c>
      <c r="N643">
        <v>71</v>
      </c>
      <c r="O643" t="s">
        <v>1067</v>
      </c>
      <c r="P643" t="s">
        <v>141</v>
      </c>
      <c r="Q643" t="s">
        <v>708</v>
      </c>
      <c r="R643" t="s">
        <v>152</v>
      </c>
      <c r="S643" t="s">
        <v>45</v>
      </c>
      <c r="T643" t="s">
        <v>198</v>
      </c>
      <c r="U643">
        <v>742</v>
      </c>
      <c r="V643">
        <v>416</v>
      </c>
      <c r="W643">
        <v>21</v>
      </c>
      <c r="X643">
        <v>1950.98</v>
      </c>
      <c r="Y643">
        <v>187.82</v>
      </c>
      <c r="Z643">
        <v>2138.8000000000002</v>
      </c>
      <c r="AA643" t="s">
        <v>62</v>
      </c>
      <c r="AB643">
        <v>0</v>
      </c>
      <c r="AC643">
        <v>98.06</v>
      </c>
      <c r="AD643">
        <v>458</v>
      </c>
      <c r="AE643">
        <v>453</v>
      </c>
    </row>
    <row r="644" spans="1:31" x14ac:dyDescent="0.25">
      <c r="A644" t="s">
        <v>2986</v>
      </c>
      <c r="B644" t="s">
        <v>2987</v>
      </c>
      <c r="C644" s="1">
        <v>45314</v>
      </c>
      <c r="D644" s="1">
        <v>45171</v>
      </c>
      <c r="E644" t="s">
        <v>65</v>
      </c>
      <c r="F644" t="s">
        <v>77</v>
      </c>
      <c r="G644" t="s">
        <v>35</v>
      </c>
      <c r="H644" t="s">
        <v>79</v>
      </c>
      <c r="I644" t="s">
        <v>751</v>
      </c>
      <c r="J644" t="s">
        <v>38</v>
      </c>
      <c r="K644" t="s">
        <v>338</v>
      </c>
      <c r="L644" t="s">
        <v>752</v>
      </c>
      <c r="M644">
        <v>45.22</v>
      </c>
      <c r="N644">
        <v>27</v>
      </c>
      <c r="O644" t="s">
        <v>2386</v>
      </c>
      <c r="P644" t="s">
        <v>141</v>
      </c>
      <c r="Q644" t="s">
        <v>159</v>
      </c>
      <c r="R644" t="s">
        <v>44</v>
      </c>
      <c r="S644" t="s">
        <v>73</v>
      </c>
      <c r="T644" t="s">
        <v>185</v>
      </c>
      <c r="U644">
        <v>2622</v>
      </c>
      <c r="V644">
        <v>224</v>
      </c>
      <c r="W644">
        <v>19</v>
      </c>
      <c r="X644">
        <v>1078.24</v>
      </c>
      <c r="Y644">
        <v>70.180000000000007</v>
      </c>
      <c r="Z644">
        <v>1148.42</v>
      </c>
      <c r="AA644" t="s">
        <v>62</v>
      </c>
      <c r="AB644">
        <v>0</v>
      </c>
      <c r="AC644">
        <v>78.150000000000006</v>
      </c>
      <c r="AD644">
        <v>171</v>
      </c>
      <c r="AE644">
        <v>164</v>
      </c>
    </row>
    <row r="645" spans="1:31" x14ac:dyDescent="0.25">
      <c r="A645" t="s">
        <v>2988</v>
      </c>
      <c r="B645" t="s">
        <v>2989</v>
      </c>
      <c r="C645" s="1">
        <v>44858</v>
      </c>
      <c r="D645" s="1">
        <v>45326</v>
      </c>
      <c r="E645" t="s">
        <v>33</v>
      </c>
      <c r="F645" t="s">
        <v>51</v>
      </c>
      <c r="G645" t="s">
        <v>52</v>
      </c>
      <c r="H645" t="s">
        <v>147</v>
      </c>
      <c r="I645" t="s">
        <v>2990</v>
      </c>
      <c r="J645" t="s">
        <v>38</v>
      </c>
      <c r="K645" t="s">
        <v>338</v>
      </c>
      <c r="L645" t="s">
        <v>2991</v>
      </c>
      <c r="M645">
        <v>57.33</v>
      </c>
      <c r="N645">
        <v>54</v>
      </c>
      <c r="O645" t="s">
        <v>2992</v>
      </c>
      <c r="P645" t="s">
        <v>84</v>
      </c>
      <c r="Q645" t="s">
        <v>327</v>
      </c>
      <c r="R645" t="s">
        <v>86</v>
      </c>
      <c r="S645" t="s">
        <v>45</v>
      </c>
      <c r="T645" t="s">
        <v>267</v>
      </c>
      <c r="U645">
        <v>2261</v>
      </c>
      <c r="V645">
        <v>262</v>
      </c>
      <c r="W645">
        <v>1</v>
      </c>
      <c r="X645">
        <v>628.4</v>
      </c>
      <c r="Y645">
        <v>26.92</v>
      </c>
      <c r="Z645">
        <v>655.31999999999994</v>
      </c>
      <c r="AA645" t="s">
        <v>62</v>
      </c>
      <c r="AB645">
        <v>0</v>
      </c>
      <c r="AC645">
        <v>84.54</v>
      </c>
      <c r="AD645">
        <v>307</v>
      </c>
      <c r="AE645">
        <v>269</v>
      </c>
    </row>
    <row r="646" spans="1:31" x14ac:dyDescent="0.25">
      <c r="A646" t="s">
        <v>2993</v>
      </c>
      <c r="B646" t="s">
        <v>2994</v>
      </c>
      <c r="C646" s="1">
        <v>44110</v>
      </c>
      <c r="D646" s="1">
        <v>44366</v>
      </c>
      <c r="E646" t="s">
        <v>65</v>
      </c>
      <c r="F646" t="s">
        <v>91</v>
      </c>
      <c r="G646" t="s">
        <v>102</v>
      </c>
      <c r="H646" t="s">
        <v>114</v>
      </c>
      <c r="I646" t="s">
        <v>2995</v>
      </c>
      <c r="J646" t="s">
        <v>38</v>
      </c>
      <c r="K646" t="s">
        <v>94</v>
      </c>
      <c r="L646" t="s">
        <v>2996</v>
      </c>
      <c r="M646">
        <v>64.17</v>
      </c>
      <c r="N646">
        <v>35</v>
      </c>
      <c r="O646" t="s">
        <v>2997</v>
      </c>
      <c r="P646" t="s">
        <v>42</v>
      </c>
      <c r="Q646" t="s">
        <v>142</v>
      </c>
      <c r="R646" t="s">
        <v>44</v>
      </c>
      <c r="S646" t="s">
        <v>98</v>
      </c>
      <c r="T646" t="s">
        <v>409</v>
      </c>
      <c r="U646">
        <v>4749</v>
      </c>
      <c r="V646">
        <v>62</v>
      </c>
      <c r="W646">
        <v>21</v>
      </c>
      <c r="X646">
        <v>852.42</v>
      </c>
      <c r="Y646">
        <v>38.75</v>
      </c>
      <c r="Z646">
        <v>891.17</v>
      </c>
      <c r="AA646" t="s">
        <v>62</v>
      </c>
      <c r="AB646">
        <v>0</v>
      </c>
      <c r="AC646">
        <v>80.47</v>
      </c>
      <c r="AD646">
        <v>356</v>
      </c>
      <c r="AE646">
        <v>337</v>
      </c>
    </row>
    <row r="647" spans="1:31" x14ac:dyDescent="0.25">
      <c r="A647" t="s">
        <v>2998</v>
      </c>
      <c r="B647" t="s">
        <v>2999</v>
      </c>
      <c r="C647" s="1">
        <v>44887</v>
      </c>
      <c r="D647" s="1">
        <v>44527</v>
      </c>
      <c r="E647" t="s">
        <v>65</v>
      </c>
      <c r="F647" t="s">
        <v>51</v>
      </c>
      <c r="G647" t="s">
        <v>66</v>
      </c>
      <c r="H647" t="s">
        <v>67</v>
      </c>
      <c r="I647" t="s">
        <v>3000</v>
      </c>
      <c r="J647" t="s">
        <v>38</v>
      </c>
      <c r="K647" t="s">
        <v>94</v>
      </c>
      <c r="L647" t="s">
        <v>3001</v>
      </c>
      <c r="M647">
        <v>269.12</v>
      </c>
      <c r="N647">
        <v>28</v>
      </c>
      <c r="O647" t="s">
        <v>3002</v>
      </c>
      <c r="P647" t="s">
        <v>42</v>
      </c>
      <c r="Q647" t="s">
        <v>217</v>
      </c>
      <c r="R647" t="s">
        <v>60</v>
      </c>
      <c r="S647" t="s">
        <v>98</v>
      </c>
      <c r="T647" t="s">
        <v>160</v>
      </c>
      <c r="U647">
        <v>4118</v>
      </c>
      <c r="V647">
        <v>192</v>
      </c>
      <c r="W647">
        <v>21</v>
      </c>
      <c r="X647">
        <v>1128.6099999999999</v>
      </c>
      <c r="Y647">
        <v>30.65</v>
      </c>
      <c r="Z647">
        <v>1159.26</v>
      </c>
      <c r="AA647" t="s">
        <v>62</v>
      </c>
      <c r="AB647">
        <v>0</v>
      </c>
      <c r="AC647">
        <v>99.39</v>
      </c>
      <c r="AD647">
        <v>79</v>
      </c>
      <c r="AE647">
        <v>45</v>
      </c>
    </row>
    <row r="648" spans="1:31" x14ac:dyDescent="0.25">
      <c r="A648" t="s">
        <v>3003</v>
      </c>
      <c r="B648" t="s">
        <v>3004</v>
      </c>
      <c r="C648" s="1">
        <v>44783</v>
      </c>
      <c r="D648" s="1">
        <v>45282</v>
      </c>
      <c r="E648" t="s">
        <v>50</v>
      </c>
      <c r="F648" t="s">
        <v>51</v>
      </c>
      <c r="G648" t="s">
        <v>102</v>
      </c>
      <c r="H648" t="s">
        <v>36</v>
      </c>
      <c r="I648" t="s">
        <v>3005</v>
      </c>
      <c r="J648" t="s">
        <v>38</v>
      </c>
      <c r="K648" t="s">
        <v>55</v>
      </c>
      <c r="L648" t="s">
        <v>3006</v>
      </c>
      <c r="M648">
        <v>125.26</v>
      </c>
      <c r="N648">
        <v>55</v>
      </c>
      <c r="O648" t="s">
        <v>1024</v>
      </c>
      <c r="P648" t="s">
        <v>58</v>
      </c>
      <c r="Q648" t="s">
        <v>125</v>
      </c>
      <c r="R648" t="s">
        <v>44</v>
      </c>
      <c r="S648" t="s">
        <v>98</v>
      </c>
      <c r="T648" t="s">
        <v>239</v>
      </c>
      <c r="U648">
        <v>2441</v>
      </c>
      <c r="V648">
        <v>133</v>
      </c>
      <c r="W648">
        <v>27</v>
      </c>
      <c r="X648">
        <v>767.99</v>
      </c>
      <c r="Y648">
        <v>422.62</v>
      </c>
      <c r="Z648">
        <v>1190.6099999999999</v>
      </c>
      <c r="AA648" t="s">
        <v>62</v>
      </c>
      <c r="AB648">
        <v>0</v>
      </c>
      <c r="AC648">
        <v>92.57</v>
      </c>
      <c r="AD648">
        <v>314</v>
      </c>
      <c r="AE648">
        <v>279</v>
      </c>
    </row>
    <row r="649" spans="1:31" x14ac:dyDescent="0.25">
      <c r="A649" t="s">
        <v>3007</v>
      </c>
      <c r="B649" t="s">
        <v>3008</v>
      </c>
      <c r="C649" s="1">
        <v>44917</v>
      </c>
      <c r="D649" s="1">
        <v>44342</v>
      </c>
      <c r="E649" t="s">
        <v>65</v>
      </c>
      <c r="F649" t="s">
        <v>77</v>
      </c>
      <c r="G649" t="s">
        <v>66</v>
      </c>
      <c r="H649" t="s">
        <v>36</v>
      </c>
      <c r="I649" t="s">
        <v>3009</v>
      </c>
      <c r="J649" t="s">
        <v>38</v>
      </c>
      <c r="K649" t="s">
        <v>55</v>
      </c>
      <c r="L649" t="s">
        <v>3010</v>
      </c>
      <c r="M649">
        <v>399.09</v>
      </c>
      <c r="N649">
        <v>70</v>
      </c>
      <c r="O649" t="s">
        <v>3011</v>
      </c>
      <c r="P649" t="s">
        <v>108</v>
      </c>
      <c r="Q649" t="s">
        <v>333</v>
      </c>
      <c r="R649" t="s">
        <v>60</v>
      </c>
      <c r="S649" t="s">
        <v>98</v>
      </c>
      <c r="T649" t="s">
        <v>170</v>
      </c>
      <c r="U649">
        <v>1493</v>
      </c>
      <c r="V649">
        <v>418</v>
      </c>
      <c r="W649">
        <v>21</v>
      </c>
      <c r="X649">
        <v>1592.27</v>
      </c>
      <c r="Y649">
        <v>320.58999999999997</v>
      </c>
      <c r="Z649">
        <v>1912.86</v>
      </c>
      <c r="AA649" t="s">
        <v>62</v>
      </c>
      <c r="AB649">
        <v>0</v>
      </c>
      <c r="AC649">
        <v>98.08</v>
      </c>
      <c r="AD649">
        <v>480</v>
      </c>
      <c r="AE649">
        <v>471</v>
      </c>
    </row>
    <row r="650" spans="1:31" x14ac:dyDescent="0.25">
      <c r="A650" t="s">
        <v>3012</v>
      </c>
      <c r="B650" t="s">
        <v>3013</v>
      </c>
      <c r="C650" s="1">
        <v>45003</v>
      </c>
      <c r="D650" s="1">
        <v>45511</v>
      </c>
      <c r="E650" t="s">
        <v>33</v>
      </c>
      <c r="F650" t="s">
        <v>146</v>
      </c>
      <c r="G650" t="s">
        <v>78</v>
      </c>
      <c r="H650" t="s">
        <v>221</v>
      </c>
      <c r="I650" t="s">
        <v>3014</v>
      </c>
      <c r="J650" t="s">
        <v>38</v>
      </c>
      <c r="K650" t="s">
        <v>55</v>
      </c>
      <c r="L650" t="s">
        <v>3015</v>
      </c>
      <c r="M650">
        <v>206.16</v>
      </c>
      <c r="N650">
        <v>85</v>
      </c>
      <c r="O650" t="s">
        <v>2370</v>
      </c>
      <c r="P650" t="s">
        <v>58</v>
      </c>
      <c r="Q650" t="s">
        <v>377</v>
      </c>
      <c r="R650" t="s">
        <v>60</v>
      </c>
      <c r="S650" t="s">
        <v>45</v>
      </c>
      <c r="T650" t="s">
        <v>644</v>
      </c>
      <c r="U650">
        <v>3018</v>
      </c>
      <c r="V650">
        <v>441</v>
      </c>
      <c r="W650">
        <v>18</v>
      </c>
      <c r="X650">
        <v>1769.19</v>
      </c>
      <c r="Y650">
        <v>211.68</v>
      </c>
      <c r="Z650">
        <v>1980.87</v>
      </c>
      <c r="AA650" t="s">
        <v>62</v>
      </c>
      <c r="AB650">
        <v>0</v>
      </c>
      <c r="AC650">
        <v>77.2</v>
      </c>
      <c r="AD650">
        <v>85</v>
      </c>
      <c r="AE650">
        <v>76</v>
      </c>
    </row>
    <row r="651" spans="1:31" x14ac:dyDescent="0.25">
      <c r="A651" t="s">
        <v>3016</v>
      </c>
      <c r="B651" t="s">
        <v>3017</v>
      </c>
      <c r="C651" s="1">
        <v>44414</v>
      </c>
      <c r="D651" s="1">
        <v>45281</v>
      </c>
      <c r="E651" t="s">
        <v>50</v>
      </c>
      <c r="F651" t="s">
        <v>91</v>
      </c>
      <c r="G651" t="s">
        <v>52</v>
      </c>
      <c r="H651" t="s">
        <v>67</v>
      </c>
      <c r="I651" t="s">
        <v>435</v>
      </c>
      <c r="J651" t="s">
        <v>38</v>
      </c>
      <c r="K651" t="s">
        <v>263</v>
      </c>
      <c r="L651" t="s">
        <v>271</v>
      </c>
      <c r="M651">
        <v>25.38</v>
      </c>
      <c r="N651">
        <v>51</v>
      </c>
      <c r="O651" t="s">
        <v>1380</v>
      </c>
      <c r="P651" t="s">
        <v>108</v>
      </c>
      <c r="Q651" t="s">
        <v>118</v>
      </c>
      <c r="R651" t="s">
        <v>152</v>
      </c>
      <c r="S651" t="s">
        <v>98</v>
      </c>
      <c r="T651" t="s">
        <v>922</v>
      </c>
      <c r="U651">
        <v>2094</v>
      </c>
      <c r="V651">
        <v>456</v>
      </c>
      <c r="W651">
        <v>3</v>
      </c>
      <c r="X651">
        <v>1514.06</v>
      </c>
      <c r="Y651">
        <v>168.17</v>
      </c>
      <c r="Z651">
        <v>1682.23</v>
      </c>
      <c r="AA651" t="s">
        <v>62</v>
      </c>
      <c r="AB651">
        <v>0</v>
      </c>
      <c r="AC651">
        <v>89.26</v>
      </c>
      <c r="AD651">
        <v>179</v>
      </c>
      <c r="AE651">
        <v>196</v>
      </c>
    </row>
    <row r="652" spans="1:31" x14ac:dyDescent="0.25">
      <c r="A652" t="s">
        <v>3018</v>
      </c>
      <c r="B652" t="s">
        <v>3019</v>
      </c>
      <c r="C652" s="1">
        <v>44161</v>
      </c>
      <c r="D652" s="1">
        <v>44550</v>
      </c>
      <c r="E652" t="s">
        <v>65</v>
      </c>
      <c r="F652" t="s">
        <v>34</v>
      </c>
      <c r="G652" t="s">
        <v>92</v>
      </c>
      <c r="H652" t="s">
        <v>221</v>
      </c>
      <c r="I652" t="s">
        <v>3020</v>
      </c>
      <c r="J652" t="s">
        <v>38</v>
      </c>
      <c r="K652" t="s">
        <v>39</v>
      </c>
      <c r="L652" t="s">
        <v>3021</v>
      </c>
      <c r="M652">
        <v>181.96</v>
      </c>
      <c r="N652">
        <v>41</v>
      </c>
      <c r="O652" t="s">
        <v>277</v>
      </c>
      <c r="P652" t="s">
        <v>84</v>
      </c>
      <c r="Q652" t="s">
        <v>389</v>
      </c>
      <c r="R652" t="s">
        <v>86</v>
      </c>
      <c r="S652" t="s">
        <v>126</v>
      </c>
      <c r="T652" t="s">
        <v>638</v>
      </c>
      <c r="U652">
        <v>2369</v>
      </c>
      <c r="V652">
        <v>70</v>
      </c>
      <c r="W652">
        <v>27</v>
      </c>
      <c r="X652">
        <v>1223.1400000000001</v>
      </c>
      <c r="Y652">
        <v>97.63</v>
      </c>
      <c r="Z652">
        <v>1320.77</v>
      </c>
      <c r="AA652" t="s">
        <v>62</v>
      </c>
      <c r="AB652">
        <v>0</v>
      </c>
      <c r="AC652">
        <v>99.92</v>
      </c>
      <c r="AD652">
        <v>155</v>
      </c>
      <c r="AE652">
        <v>121</v>
      </c>
    </row>
    <row r="653" spans="1:31" x14ac:dyDescent="0.25">
      <c r="A653" t="s">
        <v>3022</v>
      </c>
      <c r="B653" t="s">
        <v>3023</v>
      </c>
      <c r="C653" s="1">
        <v>44915</v>
      </c>
      <c r="D653" s="1">
        <v>45409</v>
      </c>
      <c r="E653" t="s">
        <v>33</v>
      </c>
      <c r="F653" t="s">
        <v>34</v>
      </c>
      <c r="G653" t="s">
        <v>113</v>
      </c>
      <c r="H653" t="s">
        <v>163</v>
      </c>
      <c r="I653" t="s">
        <v>3024</v>
      </c>
      <c r="J653" t="s">
        <v>38</v>
      </c>
      <c r="K653" t="s">
        <v>81</v>
      </c>
      <c r="L653" t="s">
        <v>3025</v>
      </c>
      <c r="M653">
        <v>407.9</v>
      </c>
      <c r="N653">
        <v>62</v>
      </c>
      <c r="O653" t="s">
        <v>3026</v>
      </c>
      <c r="P653" t="s">
        <v>84</v>
      </c>
      <c r="Q653" t="s">
        <v>109</v>
      </c>
      <c r="R653" t="s">
        <v>60</v>
      </c>
      <c r="S653" t="s">
        <v>87</v>
      </c>
      <c r="T653" t="s">
        <v>1294</v>
      </c>
      <c r="U653">
        <v>856</v>
      </c>
      <c r="V653">
        <v>380</v>
      </c>
      <c r="W653">
        <v>8</v>
      </c>
      <c r="X653">
        <v>907</v>
      </c>
      <c r="Y653">
        <v>48.93</v>
      </c>
      <c r="Z653">
        <v>955.93</v>
      </c>
      <c r="AA653" t="s">
        <v>62</v>
      </c>
      <c r="AB653">
        <v>0</v>
      </c>
      <c r="AC653">
        <v>95.27</v>
      </c>
      <c r="AD653">
        <v>256</v>
      </c>
      <c r="AE653">
        <v>287</v>
      </c>
    </row>
    <row r="654" spans="1:31" x14ac:dyDescent="0.25">
      <c r="A654" t="s">
        <v>3027</v>
      </c>
      <c r="B654" t="s">
        <v>3028</v>
      </c>
      <c r="C654" s="1">
        <v>45652</v>
      </c>
      <c r="D654" s="1">
        <v>45490</v>
      </c>
      <c r="E654" t="s">
        <v>50</v>
      </c>
      <c r="F654" t="s">
        <v>91</v>
      </c>
      <c r="G654" t="s">
        <v>66</v>
      </c>
      <c r="H654" t="s">
        <v>114</v>
      </c>
      <c r="I654" t="s">
        <v>305</v>
      </c>
      <c r="J654" t="s">
        <v>165</v>
      </c>
      <c r="K654" t="s">
        <v>202</v>
      </c>
      <c r="L654" t="s">
        <v>306</v>
      </c>
      <c r="M654">
        <v>75.73</v>
      </c>
      <c r="N654">
        <v>12</v>
      </c>
      <c r="O654" t="s">
        <v>1454</v>
      </c>
      <c r="P654" t="s">
        <v>42</v>
      </c>
      <c r="Q654" t="s">
        <v>686</v>
      </c>
      <c r="R654" t="s">
        <v>152</v>
      </c>
      <c r="S654" t="s">
        <v>73</v>
      </c>
      <c r="T654" t="s">
        <v>88</v>
      </c>
      <c r="U654">
        <v>4821</v>
      </c>
      <c r="V654">
        <v>350</v>
      </c>
      <c r="W654">
        <v>12</v>
      </c>
      <c r="X654">
        <v>1702.38</v>
      </c>
      <c r="Y654">
        <v>34.83</v>
      </c>
      <c r="Z654">
        <v>1737.21</v>
      </c>
      <c r="AA654" t="s">
        <v>62</v>
      </c>
      <c r="AB654">
        <v>0</v>
      </c>
      <c r="AC654">
        <v>81.16</v>
      </c>
      <c r="AD654">
        <v>442</v>
      </c>
      <c r="AE654">
        <v>441</v>
      </c>
    </row>
    <row r="655" spans="1:31" x14ac:dyDescent="0.25">
      <c r="A655" t="s">
        <v>3029</v>
      </c>
      <c r="B655" t="s">
        <v>3030</v>
      </c>
      <c r="C655" s="1">
        <v>44980</v>
      </c>
      <c r="D655" s="1">
        <v>44187</v>
      </c>
      <c r="E655" t="s">
        <v>65</v>
      </c>
      <c r="F655" t="s">
        <v>77</v>
      </c>
      <c r="G655" t="s">
        <v>343</v>
      </c>
      <c r="H655" t="s">
        <v>53</v>
      </c>
      <c r="I655" t="s">
        <v>3031</v>
      </c>
      <c r="J655" t="s">
        <v>165</v>
      </c>
      <c r="K655" t="s">
        <v>1098</v>
      </c>
      <c r="L655" t="s">
        <v>3032</v>
      </c>
      <c r="M655">
        <v>486.61</v>
      </c>
      <c r="N655">
        <v>58</v>
      </c>
      <c r="O655" t="s">
        <v>1361</v>
      </c>
      <c r="P655" t="s">
        <v>58</v>
      </c>
      <c r="Q655" t="s">
        <v>205</v>
      </c>
      <c r="R655" t="s">
        <v>152</v>
      </c>
      <c r="S655" t="s">
        <v>87</v>
      </c>
      <c r="T655" t="s">
        <v>302</v>
      </c>
      <c r="U655">
        <v>1807</v>
      </c>
      <c r="V655">
        <v>487</v>
      </c>
      <c r="W655">
        <v>20</v>
      </c>
      <c r="X655">
        <v>255.05</v>
      </c>
      <c r="Y655">
        <v>393.12</v>
      </c>
      <c r="Z655">
        <v>648.17000000000007</v>
      </c>
      <c r="AA655" t="s">
        <v>62</v>
      </c>
      <c r="AB655">
        <v>0</v>
      </c>
      <c r="AC655">
        <v>95.8</v>
      </c>
      <c r="AD655">
        <v>412</v>
      </c>
      <c r="AE655">
        <v>422</v>
      </c>
    </row>
    <row r="656" spans="1:31" x14ac:dyDescent="0.25">
      <c r="A656" t="s">
        <v>3033</v>
      </c>
      <c r="B656" t="s">
        <v>3034</v>
      </c>
      <c r="C656" s="1">
        <v>45422</v>
      </c>
      <c r="D656" s="1">
        <v>45474</v>
      </c>
      <c r="E656" t="s">
        <v>65</v>
      </c>
      <c r="F656" t="s">
        <v>77</v>
      </c>
      <c r="G656" t="s">
        <v>52</v>
      </c>
      <c r="H656" t="s">
        <v>221</v>
      </c>
      <c r="I656" t="s">
        <v>3035</v>
      </c>
      <c r="J656" t="s">
        <v>165</v>
      </c>
      <c r="K656" t="s">
        <v>166</v>
      </c>
      <c r="L656" t="s">
        <v>3036</v>
      </c>
      <c r="M656">
        <v>481.76</v>
      </c>
      <c r="N656">
        <v>53</v>
      </c>
      <c r="O656" t="s">
        <v>2104</v>
      </c>
      <c r="P656" t="s">
        <v>42</v>
      </c>
      <c r="Q656" t="s">
        <v>184</v>
      </c>
      <c r="R656" t="s">
        <v>86</v>
      </c>
      <c r="S656" t="s">
        <v>73</v>
      </c>
      <c r="T656" t="s">
        <v>545</v>
      </c>
      <c r="U656">
        <v>2864</v>
      </c>
      <c r="V656">
        <v>482</v>
      </c>
      <c r="W656">
        <v>12</v>
      </c>
      <c r="X656">
        <v>1718.96</v>
      </c>
      <c r="Y656">
        <v>291.57</v>
      </c>
      <c r="Z656">
        <v>2010.53</v>
      </c>
      <c r="AA656" t="s">
        <v>62</v>
      </c>
      <c r="AB656">
        <v>0</v>
      </c>
      <c r="AC656">
        <v>71.290000000000006</v>
      </c>
      <c r="AD656">
        <v>146</v>
      </c>
      <c r="AE656">
        <v>186</v>
      </c>
    </row>
    <row r="657" spans="1:31" x14ac:dyDescent="0.25">
      <c r="A657" t="s">
        <v>3037</v>
      </c>
      <c r="B657" t="s">
        <v>3038</v>
      </c>
      <c r="C657" s="1">
        <v>45383</v>
      </c>
      <c r="D657" s="1">
        <v>45293</v>
      </c>
      <c r="E657" t="s">
        <v>65</v>
      </c>
      <c r="F657" t="s">
        <v>51</v>
      </c>
      <c r="G657" t="s">
        <v>113</v>
      </c>
      <c r="H657" t="s">
        <v>147</v>
      </c>
      <c r="I657" t="s">
        <v>2868</v>
      </c>
      <c r="J657" t="s">
        <v>165</v>
      </c>
      <c r="K657" t="s">
        <v>166</v>
      </c>
      <c r="L657" t="s">
        <v>2869</v>
      </c>
      <c r="M657">
        <v>97.52</v>
      </c>
      <c r="N657">
        <v>26</v>
      </c>
      <c r="O657" t="s">
        <v>1635</v>
      </c>
      <c r="P657" t="s">
        <v>58</v>
      </c>
      <c r="Q657" t="s">
        <v>686</v>
      </c>
      <c r="R657" t="s">
        <v>60</v>
      </c>
      <c r="S657" t="s">
        <v>45</v>
      </c>
      <c r="T657" t="s">
        <v>347</v>
      </c>
      <c r="U657">
        <v>1160</v>
      </c>
      <c r="V657">
        <v>332</v>
      </c>
      <c r="W657">
        <v>9</v>
      </c>
      <c r="X657">
        <v>893.68</v>
      </c>
      <c r="Y657">
        <v>241.95</v>
      </c>
      <c r="Z657">
        <v>1135.6300000000001</v>
      </c>
      <c r="AA657" t="s">
        <v>62</v>
      </c>
      <c r="AB657">
        <v>0</v>
      </c>
      <c r="AC657">
        <v>96.54</v>
      </c>
      <c r="AD657">
        <v>287</v>
      </c>
      <c r="AE657">
        <v>243</v>
      </c>
    </row>
    <row r="658" spans="1:31" x14ac:dyDescent="0.25">
      <c r="A658" t="s">
        <v>3039</v>
      </c>
      <c r="B658" t="s">
        <v>3040</v>
      </c>
      <c r="C658" s="1">
        <v>45564</v>
      </c>
      <c r="D658" s="1">
        <v>44858</v>
      </c>
      <c r="E658" t="s">
        <v>65</v>
      </c>
      <c r="F658" t="s">
        <v>51</v>
      </c>
      <c r="G658" t="s">
        <v>113</v>
      </c>
      <c r="H658" t="s">
        <v>221</v>
      </c>
      <c r="I658" t="s">
        <v>3041</v>
      </c>
      <c r="J658" t="s">
        <v>165</v>
      </c>
      <c r="K658" t="s">
        <v>166</v>
      </c>
      <c r="L658" t="s">
        <v>3042</v>
      </c>
      <c r="M658">
        <v>323.66000000000003</v>
      </c>
      <c r="N658">
        <v>60</v>
      </c>
      <c r="O658" t="s">
        <v>224</v>
      </c>
      <c r="P658" t="s">
        <v>108</v>
      </c>
      <c r="Q658" t="s">
        <v>238</v>
      </c>
      <c r="R658" t="s">
        <v>152</v>
      </c>
      <c r="S658" t="s">
        <v>126</v>
      </c>
      <c r="T658" t="s">
        <v>738</v>
      </c>
      <c r="U658">
        <v>4472</v>
      </c>
      <c r="V658">
        <v>96</v>
      </c>
      <c r="W658">
        <v>25</v>
      </c>
      <c r="X658">
        <v>1856.05</v>
      </c>
      <c r="Y658">
        <v>110.62</v>
      </c>
      <c r="Z658">
        <v>1966.67</v>
      </c>
      <c r="AA658" t="s">
        <v>62</v>
      </c>
      <c r="AB658">
        <v>0</v>
      </c>
      <c r="AC658">
        <v>86.12</v>
      </c>
      <c r="AD658">
        <v>427</v>
      </c>
      <c r="AE658">
        <v>461</v>
      </c>
    </row>
    <row r="659" spans="1:31" x14ac:dyDescent="0.25">
      <c r="A659" t="s">
        <v>3043</v>
      </c>
      <c r="B659" t="s">
        <v>3044</v>
      </c>
      <c r="C659" s="1">
        <v>44580</v>
      </c>
      <c r="D659" s="1">
        <v>44751</v>
      </c>
      <c r="E659" t="s">
        <v>50</v>
      </c>
      <c r="F659" t="s">
        <v>77</v>
      </c>
      <c r="G659" t="s">
        <v>52</v>
      </c>
      <c r="H659" t="s">
        <v>79</v>
      </c>
      <c r="I659" t="s">
        <v>164</v>
      </c>
      <c r="J659" t="s">
        <v>165</v>
      </c>
      <c r="K659" t="s">
        <v>166</v>
      </c>
      <c r="L659" t="s">
        <v>167</v>
      </c>
      <c r="M659">
        <v>124.41</v>
      </c>
      <c r="N659">
        <v>69</v>
      </c>
      <c r="O659" t="s">
        <v>1167</v>
      </c>
      <c r="P659" t="s">
        <v>108</v>
      </c>
      <c r="Q659" t="s">
        <v>464</v>
      </c>
      <c r="R659" t="s">
        <v>152</v>
      </c>
      <c r="S659" t="s">
        <v>87</v>
      </c>
      <c r="T659" t="s">
        <v>426</v>
      </c>
      <c r="U659">
        <v>3496</v>
      </c>
      <c r="V659">
        <v>167</v>
      </c>
      <c r="W659">
        <v>11</v>
      </c>
      <c r="X659">
        <v>774.91</v>
      </c>
      <c r="Y659">
        <v>355.77</v>
      </c>
      <c r="Z659">
        <v>1130.68</v>
      </c>
      <c r="AA659" t="s">
        <v>47</v>
      </c>
      <c r="AB659">
        <v>9</v>
      </c>
      <c r="AC659">
        <v>91.18</v>
      </c>
      <c r="AD659">
        <v>136</v>
      </c>
      <c r="AE659">
        <v>114</v>
      </c>
    </row>
    <row r="660" spans="1:31" x14ac:dyDescent="0.25">
      <c r="A660" t="s">
        <v>3045</v>
      </c>
      <c r="B660" t="s">
        <v>3046</v>
      </c>
      <c r="C660" s="1">
        <v>44344</v>
      </c>
      <c r="D660" s="1">
        <v>45589</v>
      </c>
      <c r="E660" t="s">
        <v>50</v>
      </c>
      <c r="F660" t="s">
        <v>91</v>
      </c>
      <c r="G660" t="s">
        <v>92</v>
      </c>
      <c r="H660" t="s">
        <v>147</v>
      </c>
      <c r="I660" t="s">
        <v>3047</v>
      </c>
      <c r="J660" t="s">
        <v>104</v>
      </c>
      <c r="K660" t="s">
        <v>105</v>
      </c>
      <c r="L660" t="s">
        <v>3048</v>
      </c>
      <c r="M660">
        <v>155.05000000000001</v>
      </c>
      <c r="N660">
        <v>39</v>
      </c>
      <c r="O660" t="s">
        <v>1304</v>
      </c>
      <c r="P660" t="s">
        <v>108</v>
      </c>
      <c r="Q660" t="s">
        <v>169</v>
      </c>
      <c r="R660" t="s">
        <v>44</v>
      </c>
      <c r="S660" t="s">
        <v>73</v>
      </c>
      <c r="T660" t="s">
        <v>922</v>
      </c>
      <c r="U660">
        <v>3178</v>
      </c>
      <c r="V660">
        <v>116</v>
      </c>
      <c r="W660">
        <v>7</v>
      </c>
      <c r="X660">
        <v>504.2</v>
      </c>
      <c r="Y660">
        <v>54.12</v>
      </c>
      <c r="Z660">
        <v>558.31999999999994</v>
      </c>
      <c r="AA660" t="s">
        <v>62</v>
      </c>
      <c r="AB660">
        <v>0</v>
      </c>
      <c r="AC660">
        <v>91.08</v>
      </c>
      <c r="AD660">
        <v>54</v>
      </c>
      <c r="AE660">
        <v>71</v>
      </c>
    </row>
    <row r="661" spans="1:31" x14ac:dyDescent="0.25">
      <c r="A661" t="s">
        <v>3049</v>
      </c>
      <c r="B661" t="s">
        <v>3050</v>
      </c>
      <c r="C661" s="1">
        <v>45316</v>
      </c>
      <c r="D661" s="1">
        <v>44073</v>
      </c>
      <c r="E661" t="s">
        <v>50</v>
      </c>
      <c r="F661" t="s">
        <v>91</v>
      </c>
      <c r="G661" t="s">
        <v>92</v>
      </c>
      <c r="H661" t="s">
        <v>53</v>
      </c>
      <c r="I661" t="s">
        <v>3051</v>
      </c>
      <c r="J661" t="s">
        <v>104</v>
      </c>
      <c r="K661" t="s">
        <v>105</v>
      </c>
      <c r="L661" t="s">
        <v>3052</v>
      </c>
      <c r="M661">
        <v>291.41000000000003</v>
      </c>
      <c r="N661">
        <v>76</v>
      </c>
      <c r="O661" t="s">
        <v>713</v>
      </c>
      <c r="P661" t="s">
        <v>42</v>
      </c>
      <c r="Q661" t="s">
        <v>708</v>
      </c>
      <c r="R661" t="s">
        <v>152</v>
      </c>
      <c r="S661" t="s">
        <v>73</v>
      </c>
      <c r="T661" t="s">
        <v>177</v>
      </c>
      <c r="U661">
        <v>1623</v>
      </c>
      <c r="V661">
        <v>71</v>
      </c>
      <c r="W661">
        <v>27</v>
      </c>
      <c r="X661">
        <v>870.17</v>
      </c>
      <c r="Y661">
        <v>274.69</v>
      </c>
      <c r="Z661">
        <v>1144.8599999999999</v>
      </c>
      <c r="AA661" t="s">
        <v>62</v>
      </c>
      <c r="AB661">
        <v>0</v>
      </c>
      <c r="AC661">
        <v>74.44</v>
      </c>
      <c r="AD661">
        <v>259</v>
      </c>
      <c r="AE661">
        <v>260</v>
      </c>
    </row>
    <row r="662" spans="1:31" x14ac:dyDescent="0.25">
      <c r="A662" t="s">
        <v>3053</v>
      </c>
      <c r="B662" t="s">
        <v>2330</v>
      </c>
      <c r="C662" s="1">
        <v>44622</v>
      </c>
      <c r="D662" s="1">
        <v>44899</v>
      </c>
      <c r="E662" t="s">
        <v>65</v>
      </c>
      <c r="F662" t="s">
        <v>146</v>
      </c>
      <c r="G662" t="s">
        <v>35</v>
      </c>
      <c r="H662" t="s">
        <v>221</v>
      </c>
      <c r="I662" t="s">
        <v>3054</v>
      </c>
      <c r="J662" t="s">
        <v>38</v>
      </c>
      <c r="K662" t="s">
        <v>55</v>
      </c>
      <c r="L662" t="s">
        <v>3055</v>
      </c>
      <c r="M662">
        <v>458.92</v>
      </c>
      <c r="N662">
        <v>76</v>
      </c>
      <c r="O662" t="s">
        <v>3056</v>
      </c>
      <c r="P662" t="s">
        <v>58</v>
      </c>
      <c r="Q662" t="s">
        <v>517</v>
      </c>
      <c r="R662" t="s">
        <v>60</v>
      </c>
      <c r="S662" t="s">
        <v>45</v>
      </c>
      <c r="T662" t="s">
        <v>481</v>
      </c>
      <c r="U662">
        <v>3816</v>
      </c>
      <c r="V662">
        <v>341</v>
      </c>
      <c r="W662">
        <v>27</v>
      </c>
      <c r="X662">
        <v>1651.32</v>
      </c>
      <c r="Y662">
        <v>251.56</v>
      </c>
      <c r="Z662">
        <v>1902.88</v>
      </c>
      <c r="AA662" t="s">
        <v>62</v>
      </c>
      <c r="AB662">
        <v>0</v>
      </c>
      <c r="AC662">
        <v>94.3</v>
      </c>
      <c r="AD662">
        <v>384</v>
      </c>
      <c r="AE662">
        <v>421</v>
      </c>
    </row>
    <row r="663" spans="1:31" x14ac:dyDescent="0.25">
      <c r="A663" t="s">
        <v>3057</v>
      </c>
      <c r="B663" t="s">
        <v>3058</v>
      </c>
      <c r="C663" s="1">
        <v>44813</v>
      </c>
      <c r="D663" s="1">
        <v>45305</v>
      </c>
      <c r="E663" t="s">
        <v>65</v>
      </c>
      <c r="F663" t="s">
        <v>146</v>
      </c>
      <c r="G663" t="s">
        <v>52</v>
      </c>
      <c r="H663" t="s">
        <v>36</v>
      </c>
      <c r="I663" t="s">
        <v>3059</v>
      </c>
      <c r="J663" t="s">
        <v>38</v>
      </c>
      <c r="K663" t="s">
        <v>81</v>
      </c>
      <c r="L663" t="s">
        <v>3060</v>
      </c>
      <c r="M663">
        <v>356.58</v>
      </c>
      <c r="N663">
        <v>7</v>
      </c>
      <c r="O663" t="s">
        <v>3061</v>
      </c>
      <c r="P663" t="s">
        <v>108</v>
      </c>
      <c r="Q663" t="s">
        <v>142</v>
      </c>
      <c r="R663" t="s">
        <v>60</v>
      </c>
      <c r="S663" t="s">
        <v>73</v>
      </c>
      <c r="T663" t="s">
        <v>127</v>
      </c>
      <c r="U663">
        <v>637</v>
      </c>
      <c r="V663">
        <v>244</v>
      </c>
      <c r="W663">
        <v>25</v>
      </c>
      <c r="X663">
        <v>581.17999999999995</v>
      </c>
      <c r="Y663">
        <v>452.91</v>
      </c>
      <c r="Z663">
        <v>1034.0899999999999</v>
      </c>
      <c r="AA663" t="s">
        <v>62</v>
      </c>
      <c r="AB663">
        <v>0</v>
      </c>
      <c r="AC663">
        <v>92.4</v>
      </c>
      <c r="AD663">
        <v>304</v>
      </c>
      <c r="AE663">
        <v>264</v>
      </c>
    </row>
    <row r="664" spans="1:31" x14ac:dyDescent="0.25">
      <c r="A664" t="s">
        <v>3062</v>
      </c>
      <c r="B664" t="s">
        <v>3063</v>
      </c>
      <c r="C664" s="1">
        <v>45131</v>
      </c>
      <c r="D664" s="1">
        <v>45130</v>
      </c>
      <c r="E664" t="s">
        <v>65</v>
      </c>
      <c r="F664" t="s">
        <v>146</v>
      </c>
      <c r="G664" t="s">
        <v>92</v>
      </c>
      <c r="H664" t="s">
        <v>147</v>
      </c>
      <c r="I664" t="s">
        <v>850</v>
      </c>
      <c r="J664" t="s">
        <v>38</v>
      </c>
      <c r="K664" t="s">
        <v>81</v>
      </c>
      <c r="L664" t="s">
        <v>851</v>
      </c>
      <c r="M664">
        <v>378.73</v>
      </c>
      <c r="N664">
        <v>94</v>
      </c>
      <c r="O664" t="s">
        <v>3064</v>
      </c>
      <c r="P664" t="s">
        <v>58</v>
      </c>
      <c r="Q664" t="s">
        <v>377</v>
      </c>
      <c r="R664" t="s">
        <v>60</v>
      </c>
      <c r="S664" t="s">
        <v>98</v>
      </c>
      <c r="T664" t="s">
        <v>284</v>
      </c>
      <c r="U664">
        <v>165</v>
      </c>
      <c r="V664">
        <v>479</v>
      </c>
      <c r="W664">
        <v>13</v>
      </c>
      <c r="X664">
        <v>596.32000000000005</v>
      </c>
      <c r="Y664">
        <v>203.61</v>
      </c>
      <c r="Z664">
        <v>799.93000000000006</v>
      </c>
      <c r="AA664" t="s">
        <v>62</v>
      </c>
      <c r="AB664">
        <v>0</v>
      </c>
      <c r="AC664">
        <v>78.69</v>
      </c>
      <c r="AD664">
        <v>440</v>
      </c>
      <c r="AE664">
        <v>435</v>
      </c>
    </row>
    <row r="665" spans="1:31" x14ac:dyDescent="0.25">
      <c r="A665" t="s">
        <v>3065</v>
      </c>
      <c r="B665" t="s">
        <v>3066</v>
      </c>
      <c r="C665" s="1">
        <v>44544</v>
      </c>
      <c r="D665" s="1">
        <v>44820</v>
      </c>
      <c r="E665" t="s">
        <v>65</v>
      </c>
      <c r="F665" t="s">
        <v>34</v>
      </c>
      <c r="G665" t="s">
        <v>52</v>
      </c>
      <c r="H665" t="s">
        <v>36</v>
      </c>
      <c r="I665" t="s">
        <v>3067</v>
      </c>
      <c r="J665" t="s">
        <v>165</v>
      </c>
      <c r="K665" t="s">
        <v>202</v>
      </c>
      <c r="L665" t="s">
        <v>3068</v>
      </c>
      <c r="M665">
        <v>209.16</v>
      </c>
      <c r="N665">
        <v>20</v>
      </c>
      <c r="O665" t="s">
        <v>2491</v>
      </c>
      <c r="P665" t="s">
        <v>108</v>
      </c>
      <c r="Q665" t="s">
        <v>408</v>
      </c>
      <c r="R665" t="s">
        <v>44</v>
      </c>
      <c r="S665" t="s">
        <v>45</v>
      </c>
      <c r="T665" t="s">
        <v>308</v>
      </c>
      <c r="U665">
        <v>2903</v>
      </c>
      <c r="V665">
        <v>120</v>
      </c>
      <c r="W665">
        <v>20</v>
      </c>
      <c r="X665">
        <v>466.95</v>
      </c>
      <c r="Y665">
        <v>418.85</v>
      </c>
      <c r="Z665">
        <v>885.8</v>
      </c>
      <c r="AA665" t="s">
        <v>62</v>
      </c>
      <c r="AB665">
        <v>0</v>
      </c>
      <c r="AC665">
        <v>77.930000000000007</v>
      </c>
      <c r="AD665">
        <v>424</v>
      </c>
      <c r="AE665">
        <v>403</v>
      </c>
    </row>
    <row r="666" spans="1:31" x14ac:dyDescent="0.25">
      <c r="A666" t="s">
        <v>3069</v>
      </c>
      <c r="B666" t="s">
        <v>3070</v>
      </c>
      <c r="C666" s="1">
        <v>43897</v>
      </c>
      <c r="D666" s="1">
        <v>44602</v>
      </c>
      <c r="E666" t="s">
        <v>65</v>
      </c>
      <c r="F666" t="s">
        <v>51</v>
      </c>
      <c r="G666" t="s">
        <v>343</v>
      </c>
      <c r="H666" t="s">
        <v>53</v>
      </c>
      <c r="I666" t="s">
        <v>3071</v>
      </c>
      <c r="J666" t="s">
        <v>165</v>
      </c>
      <c r="K666" t="s">
        <v>166</v>
      </c>
      <c r="L666" t="s">
        <v>3072</v>
      </c>
      <c r="M666">
        <v>187.63</v>
      </c>
      <c r="N666">
        <v>91</v>
      </c>
      <c r="O666" t="s">
        <v>3073</v>
      </c>
      <c r="P666" t="s">
        <v>42</v>
      </c>
      <c r="Q666" t="s">
        <v>1244</v>
      </c>
      <c r="R666" t="s">
        <v>86</v>
      </c>
      <c r="S666" t="s">
        <v>45</v>
      </c>
      <c r="T666" t="s">
        <v>314</v>
      </c>
      <c r="U666">
        <v>3549</v>
      </c>
      <c r="V666">
        <v>334</v>
      </c>
      <c r="W666">
        <v>3</v>
      </c>
      <c r="X666">
        <v>577.17999999999995</v>
      </c>
      <c r="Y666">
        <v>274.11</v>
      </c>
      <c r="Z666">
        <v>851.29</v>
      </c>
      <c r="AA666" t="s">
        <v>47</v>
      </c>
      <c r="AB666">
        <v>3</v>
      </c>
      <c r="AC666">
        <v>77.08</v>
      </c>
      <c r="AD666">
        <v>196</v>
      </c>
      <c r="AE666">
        <v>189</v>
      </c>
    </row>
    <row r="667" spans="1:31" x14ac:dyDescent="0.25">
      <c r="A667" t="s">
        <v>3074</v>
      </c>
      <c r="B667" t="s">
        <v>2007</v>
      </c>
      <c r="C667" s="1">
        <v>45248</v>
      </c>
      <c r="D667" s="1">
        <v>45242</v>
      </c>
      <c r="E667" t="s">
        <v>50</v>
      </c>
      <c r="F667" t="s">
        <v>34</v>
      </c>
      <c r="G667" t="s">
        <v>92</v>
      </c>
      <c r="H667" t="s">
        <v>147</v>
      </c>
      <c r="I667" t="s">
        <v>3075</v>
      </c>
      <c r="J667" t="s">
        <v>38</v>
      </c>
      <c r="K667" t="s">
        <v>94</v>
      </c>
      <c r="L667" t="s">
        <v>3076</v>
      </c>
      <c r="M667">
        <v>39.299999999999997</v>
      </c>
      <c r="N667">
        <v>43</v>
      </c>
      <c r="O667" t="s">
        <v>1733</v>
      </c>
      <c r="P667" t="s">
        <v>58</v>
      </c>
      <c r="Q667" t="s">
        <v>686</v>
      </c>
      <c r="R667" t="s">
        <v>86</v>
      </c>
      <c r="S667" t="s">
        <v>126</v>
      </c>
      <c r="T667" t="s">
        <v>1038</v>
      </c>
      <c r="U667">
        <v>636</v>
      </c>
      <c r="V667">
        <v>62</v>
      </c>
      <c r="W667">
        <v>1</v>
      </c>
      <c r="X667">
        <v>1087.5899999999999</v>
      </c>
      <c r="Y667">
        <v>208.36</v>
      </c>
      <c r="Z667">
        <v>1295.95</v>
      </c>
      <c r="AA667" t="s">
        <v>47</v>
      </c>
      <c r="AB667">
        <v>9</v>
      </c>
      <c r="AC667">
        <v>81.02</v>
      </c>
      <c r="AD667">
        <v>383</v>
      </c>
      <c r="AE667">
        <v>338</v>
      </c>
    </row>
    <row r="668" spans="1:31" x14ac:dyDescent="0.25">
      <c r="A668" t="s">
        <v>3077</v>
      </c>
      <c r="B668" t="s">
        <v>3078</v>
      </c>
      <c r="C668" s="1">
        <v>44480</v>
      </c>
      <c r="D668" s="1">
        <v>44563</v>
      </c>
      <c r="E668" t="s">
        <v>65</v>
      </c>
      <c r="F668" t="s">
        <v>77</v>
      </c>
      <c r="G668" t="s">
        <v>66</v>
      </c>
      <c r="H668" t="s">
        <v>114</v>
      </c>
      <c r="I668" t="s">
        <v>3079</v>
      </c>
      <c r="J668" t="s">
        <v>38</v>
      </c>
      <c r="K668" t="s">
        <v>735</v>
      </c>
      <c r="L668" t="s">
        <v>3080</v>
      </c>
      <c r="M668">
        <v>82.17</v>
      </c>
      <c r="N668">
        <v>22</v>
      </c>
      <c r="O668" t="s">
        <v>3081</v>
      </c>
      <c r="P668" t="s">
        <v>42</v>
      </c>
      <c r="Q668" t="s">
        <v>85</v>
      </c>
      <c r="R668" t="s">
        <v>152</v>
      </c>
      <c r="S668" t="s">
        <v>73</v>
      </c>
      <c r="T668" t="s">
        <v>371</v>
      </c>
      <c r="U668">
        <v>4309</v>
      </c>
      <c r="V668">
        <v>422</v>
      </c>
      <c r="W668">
        <v>2</v>
      </c>
      <c r="X668">
        <v>1642.18</v>
      </c>
      <c r="Y668">
        <v>163.80000000000001</v>
      </c>
      <c r="Z668">
        <v>1805.98</v>
      </c>
      <c r="AA668" t="s">
        <v>47</v>
      </c>
      <c r="AB668">
        <v>9</v>
      </c>
      <c r="AC668">
        <v>89.73</v>
      </c>
      <c r="AD668">
        <v>199</v>
      </c>
      <c r="AE668">
        <v>178</v>
      </c>
    </row>
    <row r="669" spans="1:31" x14ac:dyDescent="0.25">
      <c r="A669" t="s">
        <v>3082</v>
      </c>
      <c r="B669" t="s">
        <v>3083</v>
      </c>
      <c r="C669" s="1">
        <v>44809</v>
      </c>
      <c r="D669" s="1">
        <v>44453</v>
      </c>
      <c r="E669" t="s">
        <v>65</v>
      </c>
      <c r="F669" t="s">
        <v>77</v>
      </c>
      <c r="G669" t="s">
        <v>343</v>
      </c>
      <c r="H669" t="s">
        <v>163</v>
      </c>
      <c r="I669" t="s">
        <v>3084</v>
      </c>
      <c r="J669" t="s">
        <v>165</v>
      </c>
      <c r="K669" t="s">
        <v>202</v>
      </c>
      <c r="L669" t="s">
        <v>3085</v>
      </c>
      <c r="M669">
        <v>319.85000000000002</v>
      </c>
      <c r="N669">
        <v>48</v>
      </c>
      <c r="O669" t="s">
        <v>2366</v>
      </c>
      <c r="P669" t="s">
        <v>84</v>
      </c>
      <c r="Q669" t="s">
        <v>333</v>
      </c>
      <c r="R669" t="s">
        <v>152</v>
      </c>
      <c r="S669" t="s">
        <v>98</v>
      </c>
      <c r="T669" t="s">
        <v>916</v>
      </c>
      <c r="U669">
        <v>1301</v>
      </c>
      <c r="V669">
        <v>76</v>
      </c>
      <c r="W669">
        <v>18</v>
      </c>
      <c r="X669">
        <v>824.36</v>
      </c>
      <c r="Y669">
        <v>197.84</v>
      </c>
      <c r="Z669">
        <v>1022.2</v>
      </c>
      <c r="AA669" t="s">
        <v>62</v>
      </c>
      <c r="AB669">
        <v>0</v>
      </c>
      <c r="AC669">
        <v>73.709999999999994</v>
      </c>
      <c r="AD669">
        <v>180</v>
      </c>
      <c r="AE669">
        <v>202</v>
      </c>
    </row>
    <row r="670" spans="1:31" x14ac:dyDescent="0.25">
      <c r="A670" t="s">
        <v>3086</v>
      </c>
      <c r="B670" t="s">
        <v>3087</v>
      </c>
      <c r="C670" s="1">
        <v>45234</v>
      </c>
      <c r="D670" s="1">
        <v>45192</v>
      </c>
      <c r="E670" t="s">
        <v>65</v>
      </c>
      <c r="F670" t="s">
        <v>91</v>
      </c>
      <c r="G670" t="s">
        <v>78</v>
      </c>
      <c r="H670" t="s">
        <v>221</v>
      </c>
      <c r="I670" t="s">
        <v>3088</v>
      </c>
      <c r="J670" t="s">
        <v>104</v>
      </c>
      <c r="K670" t="s">
        <v>181</v>
      </c>
      <c r="L670" t="s">
        <v>3089</v>
      </c>
      <c r="M670">
        <v>133.22999999999999</v>
      </c>
      <c r="N670">
        <v>62</v>
      </c>
      <c r="O670" t="s">
        <v>3090</v>
      </c>
      <c r="P670" t="s">
        <v>84</v>
      </c>
      <c r="Q670" t="s">
        <v>327</v>
      </c>
      <c r="R670" t="s">
        <v>152</v>
      </c>
      <c r="S670" t="s">
        <v>45</v>
      </c>
      <c r="T670" t="s">
        <v>74</v>
      </c>
      <c r="U670">
        <v>4556</v>
      </c>
      <c r="V670">
        <v>339</v>
      </c>
      <c r="W670">
        <v>16</v>
      </c>
      <c r="X670">
        <v>1659.81</v>
      </c>
      <c r="Y670">
        <v>120.29</v>
      </c>
      <c r="Z670">
        <v>1780.1</v>
      </c>
      <c r="AA670" t="s">
        <v>62</v>
      </c>
      <c r="AB670">
        <v>0</v>
      </c>
      <c r="AC670">
        <v>98.76</v>
      </c>
      <c r="AD670">
        <v>444</v>
      </c>
      <c r="AE670">
        <v>395</v>
      </c>
    </row>
    <row r="671" spans="1:31" x14ac:dyDescent="0.25">
      <c r="A671" t="s">
        <v>3091</v>
      </c>
      <c r="B671" t="s">
        <v>3092</v>
      </c>
      <c r="C671" s="1">
        <v>45099</v>
      </c>
      <c r="D671" s="1">
        <v>44433</v>
      </c>
      <c r="E671" t="s">
        <v>65</v>
      </c>
      <c r="F671" t="s">
        <v>51</v>
      </c>
      <c r="G671" t="s">
        <v>35</v>
      </c>
      <c r="H671" t="s">
        <v>114</v>
      </c>
      <c r="I671" t="s">
        <v>3093</v>
      </c>
      <c r="J671" t="s">
        <v>104</v>
      </c>
      <c r="K671" t="s">
        <v>554</v>
      </c>
      <c r="L671" t="s">
        <v>3094</v>
      </c>
      <c r="M671">
        <v>394.41</v>
      </c>
      <c r="N671">
        <v>37</v>
      </c>
      <c r="O671" t="s">
        <v>500</v>
      </c>
      <c r="P671" t="s">
        <v>42</v>
      </c>
      <c r="Q671" t="s">
        <v>238</v>
      </c>
      <c r="R671" t="s">
        <v>60</v>
      </c>
      <c r="S671" t="s">
        <v>98</v>
      </c>
      <c r="T671" t="s">
        <v>284</v>
      </c>
      <c r="U671">
        <v>807</v>
      </c>
      <c r="V671">
        <v>192</v>
      </c>
      <c r="W671">
        <v>10</v>
      </c>
      <c r="X671">
        <v>1712.56</v>
      </c>
      <c r="Y671">
        <v>99.59</v>
      </c>
      <c r="Z671">
        <v>1812.15</v>
      </c>
      <c r="AA671" t="s">
        <v>62</v>
      </c>
      <c r="AB671">
        <v>0</v>
      </c>
      <c r="AC671">
        <v>88.49</v>
      </c>
      <c r="AD671">
        <v>267</v>
      </c>
      <c r="AE671">
        <v>236</v>
      </c>
    </row>
    <row r="672" spans="1:31" x14ac:dyDescent="0.25">
      <c r="A672" t="s">
        <v>3095</v>
      </c>
      <c r="B672" t="s">
        <v>3096</v>
      </c>
      <c r="C672" s="1">
        <v>45318</v>
      </c>
      <c r="D672" s="1">
        <v>44613</v>
      </c>
      <c r="E672" t="s">
        <v>33</v>
      </c>
      <c r="F672" t="s">
        <v>51</v>
      </c>
      <c r="G672" t="s">
        <v>92</v>
      </c>
      <c r="H672" t="s">
        <v>147</v>
      </c>
      <c r="I672" t="s">
        <v>3097</v>
      </c>
      <c r="J672" t="s">
        <v>38</v>
      </c>
      <c r="K672" t="s">
        <v>94</v>
      </c>
      <c r="L672" t="s">
        <v>3098</v>
      </c>
      <c r="M672">
        <v>303.42</v>
      </c>
      <c r="N672">
        <v>16</v>
      </c>
      <c r="O672" t="s">
        <v>1037</v>
      </c>
      <c r="P672" t="s">
        <v>58</v>
      </c>
      <c r="Q672" t="s">
        <v>191</v>
      </c>
      <c r="R672" t="s">
        <v>60</v>
      </c>
      <c r="S672" t="s">
        <v>73</v>
      </c>
      <c r="T672" t="s">
        <v>437</v>
      </c>
      <c r="U672">
        <v>814</v>
      </c>
      <c r="V672">
        <v>224</v>
      </c>
      <c r="W672">
        <v>27</v>
      </c>
      <c r="X672">
        <v>762.14</v>
      </c>
      <c r="Y672">
        <v>384.4</v>
      </c>
      <c r="Z672">
        <v>1146.54</v>
      </c>
      <c r="AA672" t="s">
        <v>62</v>
      </c>
      <c r="AB672">
        <v>0</v>
      </c>
      <c r="AC672">
        <v>93.93</v>
      </c>
      <c r="AD672">
        <v>336</v>
      </c>
      <c r="AE672">
        <v>377</v>
      </c>
    </row>
    <row r="673" spans="1:31" x14ac:dyDescent="0.25">
      <c r="A673" t="s">
        <v>3099</v>
      </c>
      <c r="B673" t="s">
        <v>3100</v>
      </c>
      <c r="C673" s="1">
        <v>45531</v>
      </c>
      <c r="D673" s="1">
        <v>45043</v>
      </c>
      <c r="E673" t="s">
        <v>65</v>
      </c>
      <c r="F673" t="s">
        <v>77</v>
      </c>
      <c r="G673" t="s">
        <v>78</v>
      </c>
      <c r="H673" t="s">
        <v>36</v>
      </c>
      <c r="I673" t="s">
        <v>93</v>
      </c>
      <c r="J673" t="s">
        <v>38</v>
      </c>
      <c r="K673" t="s">
        <v>94</v>
      </c>
      <c r="L673" t="s">
        <v>95</v>
      </c>
      <c r="M673">
        <v>134.91999999999999</v>
      </c>
      <c r="N673">
        <v>8</v>
      </c>
      <c r="O673" t="s">
        <v>3101</v>
      </c>
      <c r="P673" t="s">
        <v>108</v>
      </c>
      <c r="Q673" t="s">
        <v>205</v>
      </c>
      <c r="R673" t="s">
        <v>44</v>
      </c>
      <c r="S673" t="s">
        <v>45</v>
      </c>
      <c r="T673" t="s">
        <v>359</v>
      </c>
      <c r="U673">
        <v>3687</v>
      </c>
      <c r="V673">
        <v>459</v>
      </c>
      <c r="W673">
        <v>1</v>
      </c>
      <c r="X673">
        <v>551.12</v>
      </c>
      <c r="Y673">
        <v>209.74</v>
      </c>
      <c r="Z673">
        <v>760.86</v>
      </c>
      <c r="AA673" t="s">
        <v>62</v>
      </c>
      <c r="AB673">
        <v>0</v>
      </c>
      <c r="AC673">
        <v>94.24</v>
      </c>
      <c r="AD673">
        <v>352</v>
      </c>
      <c r="AE673">
        <v>388</v>
      </c>
    </row>
    <row r="674" spans="1:31" x14ac:dyDescent="0.25">
      <c r="A674" t="s">
        <v>3102</v>
      </c>
      <c r="B674" t="s">
        <v>3103</v>
      </c>
      <c r="C674" s="1">
        <v>45083</v>
      </c>
      <c r="D674" s="1">
        <v>44113</v>
      </c>
      <c r="E674" t="s">
        <v>65</v>
      </c>
      <c r="F674" t="s">
        <v>51</v>
      </c>
      <c r="G674" t="s">
        <v>52</v>
      </c>
      <c r="H674" t="s">
        <v>36</v>
      </c>
      <c r="I674" t="s">
        <v>3104</v>
      </c>
      <c r="J674" t="s">
        <v>165</v>
      </c>
      <c r="K674" t="s">
        <v>166</v>
      </c>
      <c r="L674" t="s">
        <v>3105</v>
      </c>
      <c r="M674">
        <v>237.43</v>
      </c>
      <c r="N674">
        <v>14</v>
      </c>
      <c r="O674" t="s">
        <v>3106</v>
      </c>
      <c r="P674" t="s">
        <v>58</v>
      </c>
      <c r="Q674" t="s">
        <v>295</v>
      </c>
      <c r="R674" t="s">
        <v>86</v>
      </c>
      <c r="S674" t="s">
        <v>98</v>
      </c>
      <c r="T674" t="s">
        <v>359</v>
      </c>
      <c r="U674">
        <v>1960</v>
      </c>
      <c r="V674">
        <v>181</v>
      </c>
      <c r="W674">
        <v>9</v>
      </c>
      <c r="X674">
        <v>1343.01</v>
      </c>
      <c r="Y674">
        <v>243.8</v>
      </c>
      <c r="Z674">
        <v>1586.81</v>
      </c>
      <c r="AA674" t="s">
        <v>62</v>
      </c>
      <c r="AB674">
        <v>0</v>
      </c>
      <c r="AC674">
        <v>72.150000000000006</v>
      </c>
      <c r="AD674">
        <v>222</v>
      </c>
      <c r="AE674">
        <v>212</v>
      </c>
    </row>
    <row r="675" spans="1:31" x14ac:dyDescent="0.25">
      <c r="A675" t="s">
        <v>3107</v>
      </c>
      <c r="B675" t="s">
        <v>3108</v>
      </c>
      <c r="C675" s="1">
        <v>45510</v>
      </c>
      <c r="D675" s="1">
        <v>45255</v>
      </c>
      <c r="E675" t="s">
        <v>33</v>
      </c>
      <c r="F675" t="s">
        <v>146</v>
      </c>
      <c r="G675" t="s">
        <v>343</v>
      </c>
      <c r="H675" t="s">
        <v>36</v>
      </c>
      <c r="I675" t="s">
        <v>1704</v>
      </c>
      <c r="J675" t="s">
        <v>104</v>
      </c>
      <c r="K675" t="s">
        <v>554</v>
      </c>
      <c r="L675" t="s">
        <v>1705</v>
      </c>
      <c r="M675">
        <v>240.85</v>
      </c>
      <c r="N675">
        <v>91</v>
      </c>
      <c r="O675" t="s">
        <v>2132</v>
      </c>
      <c r="P675" t="s">
        <v>141</v>
      </c>
      <c r="Q675" t="s">
        <v>980</v>
      </c>
      <c r="R675" t="s">
        <v>44</v>
      </c>
      <c r="S675" t="s">
        <v>126</v>
      </c>
      <c r="T675" t="s">
        <v>302</v>
      </c>
      <c r="U675">
        <v>3454</v>
      </c>
      <c r="V675">
        <v>226</v>
      </c>
      <c r="W675">
        <v>25</v>
      </c>
      <c r="X675">
        <v>1826.94</v>
      </c>
      <c r="Y675">
        <v>357.49</v>
      </c>
      <c r="Z675">
        <v>2184.4299999999998</v>
      </c>
      <c r="AA675" t="s">
        <v>62</v>
      </c>
      <c r="AB675">
        <v>0</v>
      </c>
      <c r="AC675">
        <v>74.239999999999995</v>
      </c>
      <c r="AD675">
        <v>150</v>
      </c>
      <c r="AE675">
        <v>195</v>
      </c>
    </row>
    <row r="676" spans="1:31" x14ac:dyDescent="0.25">
      <c r="A676" t="s">
        <v>3109</v>
      </c>
      <c r="B676" t="s">
        <v>3110</v>
      </c>
      <c r="C676" s="1">
        <v>43986</v>
      </c>
      <c r="D676" s="1">
        <v>45499</v>
      </c>
      <c r="E676" t="s">
        <v>65</v>
      </c>
      <c r="F676" t="s">
        <v>34</v>
      </c>
      <c r="G676" t="s">
        <v>78</v>
      </c>
      <c r="H676" t="s">
        <v>163</v>
      </c>
      <c r="I676" t="s">
        <v>536</v>
      </c>
      <c r="J676" t="s">
        <v>38</v>
      </c>
      <c r="K676" t="s">
        <v>81</v>
      </c>
      <c r="L676" t="s">
        <v>537</v>
      </c>
      <c r="M676">
        <v>282.7</v>
      </c>
      <c r="N676">
        <v>41</v>
      </c>
      <c r="O676" t="s">
        <v>3111</v>
      </c>
      <c r="P676" t="s">
        <v>58</v>
      </c>
      <c r="Q676" t="s">
        <v>142</v>
      </c>
      <c r="R676" t="s">
        <v>60</v>
      </c>
      <c r="S676" t="s">
        <v>87</v>
      </c>
      <c r="T676" t="s">
        <v>910</v>
      </c>
      <c r="U676">
        <v>930</v>
      </c>
      <c r="V676">
        <v>76</v>
      </c>
      <c r="W676">
        <v>6</v>
      </c>
      <c r="X676">
        <v>1353.78</v>
      </c>
      <c r="Y676">
        <v>258.94</v>
      </c>
      <c r="Z676">
        <v>1612.72</v>
      </c>
      <c r="AA676" t="s">
        <v>62</v>
      </c>
      <c r="AB676">
        <v>0</v>
      </c>
      <c r="AC676">
        <v>79.28</v>
      </c>
      <c r="AD676">
        <v>235</v>
      </c>
      <c r="AE676">
        <v>219</v>
      </c>
    </row>
    <row r="677" spans="1:31" x14ac:dyDescent="0.25">
      <c r="A677" t="s">
        <v>3112</v>
      </c>
      <c r="B677" t="s">
        <v>3113</v>
      </c>
      <c r="C677" s="1">
        <v>45495</v>
      </c>
      <c r="D677" s="1">
        <v>44689</v>
      </c>
      <c r="E677" t="s">
        <v>50</v>
      </c>
      <c r="F677" t="s">
        <v>91</v>
      </c>
      <c r="G677" t="s">
        <v>343</v>
      </c>
      <c r="H677" t="s">
        <v>67</v>
      </c>
      <c r="I677" t="s">
        <v>2256</v>
      </c>
      <c r="J677" t="s">
        <v>165</v>
      </c>
      <c r="K677" t="s">
        <v>202</v>
      </c>
      <c r="L677" t="s">
        <v>2257</v>
      </c>
      <c r="M677">
        <v>40.340000000000003</v>
      </c>
      <c r="N677">
        <v>15</v>
      </c>
      <c r="O677" t="s">
        <v>3114</v>
      </c>
      <c r="P677" t="s">
        <v>108</v>
      </c>
      <c r="Q677" t="s">
        <v>205</v>
      </c>
      <c r="R677" t="s">
        <v>44</v>
      </c>
      <c r="S677" t="s">
        <v>126</v>
      </c>
      <c r="T677" t="s">
        <v>308</v>
      </c>
      <c r="U677">
        <v>1330</v>
      </c>
      <c r="V677">
        <v>198</v>
      </c>
      <c r="W677">
        <v>15</v>
      </c>
      <c r="X677">
        <v>1286.5899999999999</v>
      </c>
      <c r="Y677">
        <v>123.66</v>
      </c>
      <c r="Z677">
        <v>1410.25</v>
      </c>
      <c r="AA677" t="s">
        <v>62</v>
      </c>
      <c r="AB677">
        <v>0</v>
      </c>
      <c r="AC677">
        <v>77.61</v>
      </c>
      <c r="AD677">
        <v>195</v>
      </c>
      <c r="AE677">
        <v>159</v>
      </c>
    </row>
    <row r="678" spans="1:31" x14ac:dyDescent="0.25">
      <c r="A678" t="s">
        <v>3115</v>
      </c>
      <c r="B678" t="s">
        <v>3116</v>
      </c>
      <c r="C678" s="1">
        <v>44991</v>
      </c>
      <c r="D678" s="1">
        <v>45234</v>
      </c>
      <c r="E678" t="s">
        <v>33</v>
      </c>
      <c r="F678" t="s">
        <v>91</v>
      </c>
      <c r="G678" t="s">
        <v>52</v>
      </c>
      <c r="H678" t="s">
        <v>53</v>
      </c>
      <c r="I678" t="s">
        <v>2087</v>
      </c>
      <c r="J678" t="s">
        <v>104</v>
      </c>
      <c r="K678" t="s">
        <v>105</v>
      </c>
      <c r="L678" t="s">
        <v>2088</v>
      </c>
      <c r="M678">
        <v>10.039999999999999</v>
      </c>
      <c r="N678">
        <v>51</v>
      </c>
      <c r="O678" t="s">
        <v>1067</v>
      </c>
      <c r="P678" t="s">
        <v>58</v>
      </c>
      <c r="Q678" t="s">
        <v>517</v>
      </c>
      <c r="R678" t="s">
        <v>152</v>
      </c>
      <c r="S678" t="s">
        <v>87</v>
      </c>
      <c r="T678" t="s">
        <v>296</v>
      </c>
      <c r="U678">
        <v>1153</v>
      </c>
      <c r="V678">
        <v>348</v>
      </c>
      <c r="W678">
        <v>10</v>
      </c>
      <c r="X678">
        <v>1298.67</v>
      </c>
      <c r="Y678">
        <v>280.16000000000003</v>
      </c>
      <c r="Z678">
        <v>1578.83</v>
      </c>
      <c r="AA678" t="s">
        <v>62</v>
      </c>
      <c r="AB678">
        <v>0</v>
      </c>
      <c r="AC678">
        <v>85.9</v>
      </c>
      <c r="AD678">
        <v>282</v>
      </c>
      <c r="AE678">
        <v>280</v>
      </c>
    </row>
    <row r="679" spans="1:31" x14ac:dyDescent="0.25">
      <c r="A679" t="s">
        <v>3117</v>
      </c>
      <c r="B679" t="s">
        <v>3118</v>
      </c>
      <c r="C679" s="1">
        <v>44181</v>
      </c>
      <c r="D679" s="1">
        <v>45575</v>
      </c>
      <c r="E679" t="s">
        <v>65</v>
      </c>
      <c r="F679" t="s">
        <v>51</v>
      </c>
      <c r="G679" t="s">
        <v>343</v>
      </c>
      <c r="H679" t="s">
        <v>67</v>
      </c>
      <c r="I679" t="s">
        <v>3119</v>
      </c>
      <c r="J679" t="s">
        <v>38</v>
      </c>
      <c r="K679" t="s">
        <v>55</v>
      </c>
      <c r="L679" t="s">
        <v>3120</v>
      </c>
      <c r="M679">
        <v>241.72</v>
      </c>
      <c r="N679">
        <v>35</v>
      </c>
      <c r="O679" t="s">
        <v>1979</v>
      </c>
      <c r="P679" t="s">
        <v>141</v>
      </c>
      <c r="Q679" t="s">
        <v>544</v>
      </c>
      <c r="R679" t="s">
        <v>86</v>
      </c>
      <c r="S679" t="s">
        <v>73</v>
      </c>
      <c r="T679" t="s">
        <v>359</v>
      </c>
      <c r="U679">
        <v>149</v>
      </c>
      <c r="V679">
        <v>288</v>
      </c>
      <c r="W679">
        <v>4</v>
      </c>
      <c r="X679">
        <v>1241.0999999999999</v>
      </c>
      <c r="Y679">
        <v>147.41999999999999</v>
      </c>
      <c r="Z679">
        <v>1388.52</v>
      </c>
      <c r="AA679" t="s">
        <v>62</v>
      </c>
      <c r="AB679">
        <v>0</v>
      </c>
      <c r="AC679">
        <v>89.31</v>
      </c>
      <c r="AD679">
        <v>368</v>
      </c>
      <c r="AE679">
        <v>380</v>
      </c>
    </row>
    <row r="680" spans="1:31" x14ac:dyDescent="0.25">
      <c r="A680" t="s">
        <v>3121</v>
      </c>
      <c r="B680" t="s">
        <v>3122</v>
      </c>
      <c r="C680" s="1">
        <v>44660</v>
      </c>
      <c r="D680" s="1">
        <v>45342</v>
      </c>
      <c r="E680" t="s">
        <v>65</v>
      </c>
      <c r="F680" t="s">
        <v>51</v>
      </c>
      <c r="G680" t="s">
        <v>66</v>
      </c>
      <c r="H680" t="s">
        <v>221</v>
      </c>
      <c r="I680" t="s">
        <v>624</v>
      </c>
      <c r="J680" t="s">
        <v>38</v>
      </c>
      <c r="K680" t="s">
        <v>55</v>
      </c>
      <c r="L680" t="s">
        <v>625</v>
      </c>
      <c r="M680">
        <v>134.72</v>
      </c>
      <c r="N680">
        <v>66</v>
      </c>
      <c r="O680" t="s">
        <v>1234</v>
      </c>
      <c r="P680" t="s">
        <v>141</v>
      </c>
      <c r="Q680" t="s">
        <v>142</v>
      </c>
      <c r="R680" t="s">
        <v>152</v>
      </c>
      <c r="S680" t="s">
        <v>98</v>
      </c>
      <c r="T680" t="s">
        <v>922</v>
      </c>
      <c r="U680">
        <v>2111</v>
      </c>
      <c r="V680">
        <v>241</v>
      </c>
      <c r="W680">
        <v>17</v>
      </c>
      <c r="X680">
        <v>518.37</v>
      </c>
      <c r="Y680">
        <v>327.12</v>
      </c>
      <c r="Z680">
        <v>845.49</v>
      </c>
      <c r="AA680" t="s">
        <v>62</v>
      </c>
      <c r="AB680">
        <v>0</v>
      </c>
      <c r="AC680">
        <v>84.41</v>
      </c>
      <c r="AD680">
        <v>364</v>
      </c>
      <c r="AE680">
        <v>363</v>
      </c>
    </row>
    <row r="681" spans="1:31" x14ac:dyDescent="0.25">
      <c r="A681" t="s">
        <v>3123</v>
      </c>
      <c r="B681" t="s">
        <v>3124</v>
      </c>
      <c r="C681" s="1">
        <v>45258</v>
      </c>
      <c r="D681" s="1">
        <v>44097</v>
      </c>
      <c r="E681" t="s">
        <v>65</v>
      </c>
      <c r="F681" t="s">
        <v>91</v>
      </c>
      <c r="G681" t="s">
        <v>52</v>
      </c>
      <c r="H681" t="s">
        <v>53</v>
      </c>
      <c r="I681" t="s">
        <v>3125</v>
      </c>
      <c r="J681" t="s">
        <v>38</v>
      </c>
      <c r="K681" t="s">
        <v>138</v>
      </c>
      <c r="L681" t="s">
        <v>601</v>
      </c>
      <c r="M681">
        <v>289.66000000000003</v>
      </c>
      <c r="N681">
        <v>85</v>
      </c>
      <c r="O681" t="s">
        <v>3126</v>
      </c>
      <c r="P681" t="s">
        <v>141</v>
      </c>
      <c r="Q681" t="s">
        <v>320</v>
      </c>
      <c r="R681" t="s">
        <v>60</v>
      </c>
      <c r="S681" t="s">
        <v>45</v>
      </c>
      <c r="T681" t="s">
        <v>127</v>
      </c>
      <c r="U681">
        <v>617</v>
      </c>
      <c r="V681">
        <v>96</v>
      </c>
      <c r="W681">
        <v>15</v>
      </c>
      <c r="X681">
        <v>340.7</v>
      </c>
      <c r="Y681">
        <v>68.41</v>
      </c>
      <c r="Z681">
        <v>409.11</v>
      </c>
      <c r="AA681" t="s">
        <v>62</v>
      </c>
      <c r="AB681">
        <v>0</v>
      </c>
      <c r="AC681">
        <v>92.98</v>
      </c>
      <c r="AD681">
        <v>412</v>
      </c>
      <c r="AE681">
        <v>386</v>
      </c>
    </row>
    <row r="682" spans="1:31" x14ac:dyDescent="0.25">
      <c r="A682" t="s">
        <v>3127</v>
      </c>
      <c r="B682" t="s">
        <v>3128</v>
      </c>
      <c r="C682" s="1">
        <v>44666</v>
      </c>
      <c r="D682" s="1">
        <v>44202</v>
      </c>
      <c r="E682" t="s">
        <v>65</v>
      </c>
      <c r="F682" t="s">
        <v>34</v>
      </c>
      <c r="G682" t="s">
        <v>66</v>
      </c>
      <c r="H682" t="s">
        <v>147</v>
      </c>
      <c r="I682" t="s">
        <v>3129</v>
      </c>
      <c r="J682" t="s">
        <v>38</v>
      </c>
      <c r="K682" t="s">
        <v>39</v>
      </c>
      <c r="L682" t="s">
        <v>3130</v>
      </c>
      <c r="M682">
        <v>458.84</v>
      </c>
      <c r="N682">
        <v>17</v>
      </c>
      <c r="O682" t="s">
        <v>3131</v>
      </c>
      <c r="P682" t="s">
        <v>42</v>
      </c>
      <c r="Q682" t="s">
        <v>142</v>
      </c>
      <c r="R682" t="s">
        <v>60</v>
      </c>
      <c r="S682" t="s">
        <v>73</v>
      </c>
      <c r="T682" t="s">
        <v>922</v>
      </c>
      <c r="U682">
        <v>1149</v>
      </c>
      <c r="V682">
        <v>161</v>
      </c>
      <c r="W682">
        <v>22</v>
      </c>
      <c r="X682">
        <v>824.68</v>
      </c>
      <c r="Y682">
        <v>475.25</v>
      </c>
      <c r="Z682">
        <v>1299.93</v>
      </c>
      <c r="AA682" t="s">
        <v>62</v>
      </c>
      <c r="AB682">
        <v>0</v>
      </c>
      <c r="AC682">
        <v>75</v>
      </c>
      <c r="AD682">
        <v>495</v>
      </c>
      <c r="AE682">
        <v>467</v>
      </c>
    </row>
    <row r="683" spans="1:31" x14ac:dyDescent="0.25">
      <c r="A683" t="s">
        <v>3132</v>
      </c>
      <c r="B683" t="s">
        <v>3133</v>
      </c>
      <c r="C683" s="1">
        <v>45569</v>
      </c>
      <c r="D683" s="1">
        <v>44172</v>
      </c>
      <c r="E683" t="s">
        <v>65</v>
      </c>
      <c r="F683" t="s">
        <v>91</v>
      </c>
      <c r="G683" t="s">
        <v>78</v>
      </c>
      <c r="H683" t="s">
        <v>163</v>
      </c>
      <c r="I683" t="s">
        <v>3134</v>
      </c>
      <c r="J683" t="s">
        <v>38</v>
      </c>
      <c r="K683" t="s">
        <v>39</v>
      </c>
      <c r="L683" t="s">
        <v>3135</v>
      </c>
      <c r="M683">
        <v>231.96</v>
      </c>
      <c r="N683">
        <v>90</v>
      </c>
      <c r="O683" t="s">
        <v>602</v>
      </c>
      <c r="P683" t="s">
        <v>58</v>
      </c>
      <c r="Q683" t="s">
        <v>458</v>
      </c>
      <c r="R683" t="s">
        <v>44</v>
      </c>
      <c r="S683" t="s">
        <v>87</v>
      </c>
      <c r="T683" t="s">
        <v>99</v>
      </c>
      <c r="U683">
        <v>2695</v>
      </c>
      <c r="V683">
        <v>240</v>
      </c>
      <c r="W683">
        <v>25</v>
      </c>
      <c r="X683">
        <v>1011.7</v>
      </c>
      <c r="Y683">
        <v>339.39</v>
      </c>
      <c r="Z683">
        <v>1351.09</v>
      </c>
      <c r="AA683" t="s">
        <v>62</v>
      </c>
      <c r="AB683">
        <v>0</v>
      </c>
      <c r="AC683">
        <v>83.94</v>
      </c>
      <c r="AD683">
        <v>243</v>
      </c>
      <c r="AE683">
        <v>222</v>
      </c>
    </row>
    <row r="684" spans="1:31" x14ac:dyDescent="0.25">
      <c r="A684" t="s">
        <v>3136</v>
      </c>
      <c r="B684" t="s">
        <v>928</v>
      </c>
      <c r="C684" s="1">
        <v>44678</v>
      </c>
      <c r="D684" s="1">
        <v>45301</v>
      </c>
      <c r="E684" t="s">
        <v>65</v>
      </c>
      <c r="F684" t="s">
        <v>146</v>
      </c>
      <c r="G684" t="s">
        <v>113</v>
      </c>
      <c r="H684" t="s">
        <v>221</v>
      </c>
      <c r="I684" t="s">
        <v>3137</v>
      </c>
      <c r="J684" t="s">
        <v>38</v>
      </c>
      <c r="K684" t="s">
        <v>94</v>
      </c>
      <c r="L684" t="s">
        <v>3138</v>
      </c>
      <c r="M684">
        <v>122.06</v>
      </c>
      <c r="N684">
        <v>45</v>
      </c>
      <c r="O684" t="s">
        <v>3139</v>
      </c>
      <c r="P684" t="s">
        <v>58</v>
      </c>
      <c r="Q684" t="s">
        <v>458</v>
      </c>
      <c r="R684" t="s">
        <v>86</v>
      </c>
      <c r="S684" t="s">
        <v>45</v>
      </c>
      <c r="T684" t="s">
        <v>119</v>
      </c>
      <c r="U684">
        <v>1933</v>
      </c>
      <c r="V684">
        <v>457</v>
      </c>
      <c r="W684">
        <v>18</v>
      </c>
      <c r="X684">
        <v>1001.18</v>
      </c>
      <c r="Y684">
        <v>75.69</v>
      </c>
      <c r="Z684">
        <v>1076.8699999999999</v>
      </c>
      <c r="AA684" t="s">
        <v>62</v>
      </c>
      <c r="AB684">
        <v>0</v>
      </c>
      <c r="AC684">
        <v>79.180000000000007</v>
      </c>
      <c r="AD684">
        <v>240</v>
      </c>
      <c r="AE684">
        <v>205</v>
      </c>
    </row>
    <row r="685" spans="1:31" x14ac:dyDescent="0.25">
      <c r="A685" t="s">
        <v>3140</v>
      </c>
      <c r="B685" t="s">
        <v>3141</v>
      </c>
      <c r="C685" s="1">
        <v>44763</v>
      </c>
      <c r="D685" s="1">
        <v>45523</v>
      </c>
      <c r="E685" t="s">
        <v>65</v>
      </c>
      <c r="F685" t="s">
        <v>77</v>
      </c>
      <c r="G685" t="s">
        <v>102</v>
      </c>
      <c r="H685" t="s">
        <v>221</v>
      </c>
      <c r="I685" t="s">
        <v>3142</v>
      </c>
      <c r="J685" t="s">
        <v>38</v>
      </c>
      <c r="K685" t="s">
        <v>55</v>
      </c>
      <c r="L685" t="s">
        <v>3143</v>
      </c>
      <c r="M685">
        <v>357.66</v>
      </c>
      <c r="N685">
        <v>88</v>
      </c>
      <c r="O685" t="s">
        <v>1998</v>
      </c>
      <c r="P685" t="s">
        <v>84</v>
      </c>
      <c r="Q685" t="s">
        <v>980</v>
      </c>
      <c r="R685" t="s">
        <v>60</v>
      </c>
      <c r="S685" t="s">
        <v>87</v>
      </c>
      <c r="T685" t="s">
        <v>409</v>
      </c>
      <c r="U685">
        <v>4334</v>
      </c>
      <c r="V685">
        <v>459</v>
      </c>
      <c r="W685">
        <v>8</v>
      </c>
      <c r="X685">
        <v>1230.2</v>
      </c>
      <c r="Y685">
        <v>145.69999999999999</v>
      </c>
      <c r="Z685">
        <v>1375.9</v>
      </c>
      <c r="AA685" t="s">
        <v>62</v>
      </c>
      <c r="AB685">
        <v>0</v>
      </c>
      <c r="AC685">
        <v>94.28</v>
      </c>
      <c r="AD685">
        <v>186</v>
      </c>
      <c r="AE685">
        <v>216</v>
      </c>
    </row>
    <row r="686" spans="1:31" x14ac:dyDescent="0.25">
      <c r="A686" t="s">
        <v>3144</v>
      </c>
      <c r="B686" t="s">
        <v>3145</v>
      </c>
      <c r="C686" s="1">
        <v>44310</v>
      </c>
      <c r="D686" s="1">
        <v>45150</v>
      </c>
      <c r="E686" t="s">
        <v>50</v>
      </c>
      <c r="F686" t="s">
        <v>51</v>
      </c>
      <c r="G686" t="s">
        <v>35</v>
      </c>
      <c r="H686" t="s">
        <v>163</v>
      </c>
      <c r="I686" t="s">
        <v>3146</v>
      </c>
      <c r="J686" t="s">
        <v>38</v>
      </c>
      <c r="K686" t="s">
        <v>94</v>
      </c>
      <c r="L686" t="s">
        <v>3147</v>
      </c>
      <c r="M686">
        <v>355.08</v>
      </c>
      <c r="N686">
        <v>6</v>
      </c>
      <c r="O686" t="s">
        <v>3148</v>
      </c>
      <c r="P686" t="s">
        <v>42</v>
      </c>
      <c r="Q686" t="s">
        <v>142</v>
      </c>
      <c r="R686" t="s">
        <v>86</v>
      </c>
      <c r="S686" t="s">
        <v>98</v>
      </c>
      <c r="T686" t="s">
        <v>1038</v>
      </c>
      <c r="U686">
        <v>4788</v>
      </c>
      <c r="V686">
        <v>167</v>
      </c>
      <c r="W686">
        <v>28</v>
      </c>
      <c r="X686">
        <v>97.83</v>
      </c>
      <c r="Y686">
        <v>95.62</v>
      </c>
      <c r="Z686">
        <v>193.45</v>
      </c>
      <c r="AA686" t="s">
        <v>62</v>
      </c>
      <c r="AB686">
        <v>0</v>
      </c>
      <c r="AC686">
        <v>93.93</v>
      </c>
      <c r="AD686">
        <v>293</v>
      </c>
      <c r="AE686">
        <v>276</v>
      </c>
    </row>
    <row r="687" spans="1:31" x14ac:dyDescent="0.25">
      <c r="A687" t="s">
        <v>3149</v>
      </c>
      <c r="B687" t="s">
        <v>3150</v>
      </c>
      <c r="C687" s="1">
        <v>45265</v>
      </c>
      <c r="D687" s="1">
        <v>44989</v>
      </c>
      <c r="E687" t="s">
        <v>33</v>
      </c>
      <c r="F687" t="s">
        <v>146</v>
      </c>
      <c r="G687" t="s">
        <v>35</v>
      </c>
      <c r="H687" t="s">
        <v>67</v>
      </c>
      <c r="I687" t="s">
        <v>919</v>
      </c>
      <c r="J687" t="s">
        <v>38</v>
      </c>
      <c r="K687" t="s">
        <v>94</v>
      </c>
      <c r="L687" t="s">
        <v>920</v>
      </c>
      <c r="M687">
        <v>412.51</v>
      </c>
      <c r="N687">
        <v>37</v>
      </c>
      <c r="O687" t="s">
        <v>808</v>
      </c>
      <c r="P687" t="s">
        <v>42</v>
      </c>
      <c r="Q687" t="s">
        <v>370</v>
      </c>
      <c r="R687" t="s">
        <v>60</v>
      </c>
      <c r="S687" t="s">
        <v>45</v>
      </c>
      <c r="T687" t="s">
        <v>259</v>
      </c>
      <c r="U687">
        <v>1360</v>
      </c>
      <c r="V687">
        <v>395</v>
      </c>
      <c r="W687">
        <v>20</v>
      </c>
      <c r="X687">
        <v>1179.82</v>
      </c>
      <c r="Y687">
        <v>122.48</v>
      </c>
      <c r="Z687">
        <v>1302.3</v>
      </c>
      <c r="AA687" t="s">
        <v>62</v>
      </c>
      <c r="AB687">
        <v>0</v>
      </c>
      <c r="AC687">
        <v>77.959999999999994</v>
      </c>
      <c r="AD687">
        <v>488</v>
      </c>
      <c r="AE687">
        <v>531</v>
      </c>
    </row>
    <row r="688" spans="1:31" x14ac:dyDescent="0.25">
      <c r="A688" t="s">
        <v>3151</v>
      </c>
      <c r="B688" t="s">
        <v>3152</v>
      </c>
      <c r="C688" s="1">
        <v>44088</v>
      </c>
      <c r="D688" s="1">
        <v>45343</v>
      </c>
      <c r="E688" t="s">
        <v>65</v>
      </c>
      <c r="F688" t="s">
        <v>34</v>
      </c>
      <c r="G688" t="s">
        <v>35</v>
      </c>
      <c r="H688" t="s">
        <v>114</v>
      </c>
      <c r="I688" t="s">
        <v>3153</v>
      </c>
      <c r="J688" t="s">
        <v>38</v>
      </c>
      <c r="K688" t="s">
        <v>94</v>
      </c>
      <c r="L688" t="s">
        <v>3154</v>
      </c>
      <c r="M688">
        <v>319.37</v>
      </c>
      <c r="N688">
        <v>96</v>
      </c>
      <c r="O688" t="s">
        <v>965</v>
      </c>
      <c r="P688" t="s">
        <v>141</v>
      </c>
      <c r="Q688" t="s">
        <v>432</v>
      </c>
      <c r="R688" t="s">
        <v>152</v>
      </c>
      <c r="S688" t="s">
        <v>45</v>
      </c>
      <c r="T688" t="s">
        <v>302</v>
      </c>
      <c r="U688">
        <v>3102</v>
      </c>
      <c r="V688">
        <v>447</v>
      </c>
      <c r="W688">
        <v>11</v>
      </c>
      <c r="X688">
        <v>635.20000000000005</v>
      </c>
      <c r="Y688">
        <v>98.26</v>
      </c>
      <c r="Z688">
        <v>733.46</v>
      </c>
      <c r="AA688" t="s">
        <v>62</v>
      </c>
      <c r="AB688">
        <v>0</v>
      </c>
      <c r="AC688">
        <v>70.02</v>
      </c>
      <c r="AD688">
        <v>297</v>
      </c>
      <c r="AE688">
        <v>308</v>
      </c>
    </row>
    <row r="689" spans="1:31" x14ac:dyDescent="0.25">
      <c r="A689" t="s">
        <v>3155</v>
      </c>
      <c r="B689" t="s">
        <v>3156</v>
      </c>
      <c r="C689" s="1">
        <v>43847</v>
      </c>
      <c r="D689" s="1">
        <v>45146</v>
      </c>
      <c r="E689" t="s">
        <v>50</v>
      </c>
      <c r="F689" t="s">
        <v>146</v>
      </c>
      <c r="G689" t="s">
        <v>35</v>
      </c>
      <c r="H689" t="s">
        <v>221</v>
      </c>
      <c r="I689" t="s">
        <v>3157</v>
      </c>
      <c r="J689" t="s">
        <v>38</v>
      </c>
      <c r="K689" t="s">
        <v>55</v>
      </c>
      <c r="L689" t="s">
        <v>3158</v>
      </c>
      <c r="M689">
        <v>140.46</v>
      </c>
      <c r="N689">
        <v>59</v>
      </c>
      <c r="O689" t="s">
        <v>748</v>
      </c>
      <c r="P689" t="s">
        <v>42</v>
      </c>
      <c r="Q689" t="s">
        <v>169</v>
      </c>
      <c r="R689" t="s">
        <v>86</v>
      </c>
      <c r="S689" t="s">
        <v>45</v>
      </c>
      <c r="T689" t="s">
        <v>143</v>
      </c>
      <c r="U689">
        <v>2150</v>
      </c>
      <c r="V689">
        <v>351</v>
      </c>
      <c r="W689">
        <v>28</v>
      </c>
      <c r="X689">
        <v>56.14</v>
      </c>
      <c r="Y689">
        <v>237.94</v>
      </c>
      <c r="Z689">
        <v>294.08</v>
      </c>
      <c r="AA689" t="s">
        <v>62</v>
      </c>
      <c r="AB689">
        <v>0</v>
      </c>
      <c r="AC689">
        <v>87.74</v>
      </c>
      <c r="AD689">
        <v>322</v>
      </c>
      <c r="AE689">
        <v>353</v>
      </c>
    </row>
    <row r="690" spans="1:31" x14ac:dyDescent="0.25">
      <c r="A690" t="s">
        <v>3159</v>
      </c>
      <c r="B690" t="s">
        <v>3160</v>
      </c>
      <c r="C690" s="1">
        <v>45164</v>
      </c>
      <c r="D690" s="1">
        <v>45589</v>
      </c>
      <c r="E690" t="s">
        <v>65</v>
      </c>
      <c r="F690" t="s">
        <v>77</v>
      </c>
      <c r="G690" t="s">
        <v>35</v>
      </c>
      <c r="H690" t="s">
        <v>147</v>
      </c>
      <c r="I690" t="s">
        <v>3161</v>
      </c>
      <c r="J690" t="s">
        <v>38</v>
      </c>
      <c r="K690" t="s">
        <v>55</v>
      </c>
      <c r="L690" t="s">
        <v>3162</v>
      </c>
      <c r="M690">
        <v>93.55</v>
      </c>
      <c r="N690">
        <v>84</v>
      </c>
      <c r="O690" t="s">
        <v>490</v>
      </c>
      <c r="P690" t="s">
        <v>141</v>
      </c>
      <c r="Q690" t="s">
        <v>169</v>
      </c>
      <c r="R690" t="s">
        <v>60</v>
      </c>
      <c r="S690" t="s">
        <v>126</v>
      </c>
      <c r="T690" t="s">
        <v>563</v>
      </c>
      <c r="U690">
        <v>2138</v>
      </c>
      <c r="V690">
        <v>343</v>
      </c>
      <c r="W690">
        <v>12</v>
      </c>
      <c r="X690">
        <v>717.52</v>
      </c>
      <c r="Y690">
        <v>341.98</v>
      </c>
      <c r="Z690">
        <v>1059.5</v>
      </c>
      <c r="AA690" t="s">
        <v>47</v>
      </c>
      <c r="AB690">
        <v>5</v>
      </c>
      <c r="AC690">
        <v>98.1</v>
      </c>
      <c r="AD690">
        <v>379</v>
      </c>
      <c r="AE690">
        <v>397</v>
      </c>
    </row>
    <row r="691" spans="1:31" x14ac:dyDescent="0.25">
      <c r="A691" t="s">
        <v>3163</v>
      </c>
      <c r="B691" t="s">
        <v>3164</v>
      </c>
      <c r="C691" s="1">
        <v>44189</v>
      </c>
      <c r="D691" s="1">
        <v>44212</v>
      </c>
      <c r="E691" t="s">
        <v>50</v>
      </c>
      <c r="F691" t="s">
        <v>51</v>
      </c>
      <c r="G691" t="s">
        <v>113</v>
      </c>
      <c r="H691" t="s">
        <v>221</v>
      </c>
      <c r="I691" t="s">
        <v>2344</v>
      </c>
      <c r="J691" t="s">
        <v>38</v>
      </c>
      <c r="K691" t="s">
        <v>138</v>
      </c>
      <c r="L691" t="s">
        <v>601</v>
      </c>
      <c r="M691">
        <v>285.3</v>
      </c>
      <c r="N691">
        <v>68</v>
      </c>
      <c r="O691" t="s">
        <v>1876</v>
      </c>
      <c r="P691" t="s">
        <v>58</v>
      </c>
      <c r="Q691" t="s">
        <v>72</v>
      </c>
      <c r="R691" t="s">
        <v>60</v>
      </c>
      <c r="S691" t="s">
        <v>98</v>
      </c>
      <c r="T691" t="s">
        <v>278</v>
      </c>
      <c r="U691">
        <v>1417</v>
      </c>
      <c r="V691">
        <v>181</v>
      </c>
      <c r="W691">
        <v>23</v>
      </c>
      <c r="X691">
        <v>541.85</v>
      </c>
      <c r="Y691">
        <v>62.25</v>
      </c>
      <c r="Z691">
        <v>604.1</v>
      </c>
      <c r="AA691" t="s">
        <v>62</v>
      </c>
      <c r="AB691">
        <v>0</v>
      </c>
      <c r="AC691">
        <v>88.8</v>
      </c>
      <c r="AD691">
        <v>324</v>
      </c>
      <c r="AE691">
        <v>350</v>
      </c>
    </row>
    <row r="692" spans="1:31" x14ac:dyDescent="0.25">
      <c r="A692" t="s">
        <v>3165</v>
      </c>
      <c r="B692" t="s">
        <v>3166</v>
      </c>
      <c r="C692" s="1">
        <v>44204</v>
      </c>
      <c r="D692" s="1">
        <v>44435</v>
      </c>
      <c r="E692" t="s">
        <v>65</v>
      </c>
      <c r="F692" t="s">
        <v>77</v>
      </c>
      <c r="G692" t="s">
        <v>92</v>
      </c>
      <c r="H692" t="s">
        <v>221</v>
      </c>
      <c r="I692" t="s">
        <v>3167</v>
      </c>
      <c r="J692" t="s">
        <v>38</v>
      </c>
      <c r="K692" t="s">
        <v>39</v>
      </c>
      <c r="L692" t="s">
        <v>3168</v>
      </c>
      <c r="M692">
        <v>343.43</v>
      </c>
      <c r="N692">
        <v>43</v>
      </c>
      <c r="O692" t="s">
        <v>1333</v>
      </c>
      <c r="P692" t="s">
        <v>58</v>
      </c>
      <c r="Q692" t="s">
        <v>109</v>
      </c>
      <c r="R692" t="s">
        <v>152</v>
      </c>
      <c r="S692" t="s">
        <v>98</v>
      </c>
      <c r="T692" t="s">
        <v>470</v>
      </c>
      <c r="U692">
        <v>2803</v>
      </c>
      <c r="V692">
        <v>89</v>
      </c>
      <c r="W692">
        <v>29</v>
      </c>
      <c r="X692">
        <v>785.64</v>
      </c>
      <c r="Y692">
        <v>332.78</v>
      </c>
      <c r="Z692">
        <v>1118.42</v>
      </c>
      <c r="AA692" t="s">
        <v>62</v>
      </c>
      <c r="AB692">
        <v>0</v>
      </c>
      <c r="AC692">
        <v>72.790000000000006</v>
      </c>
      <c r="AD692">
        <v>113</v>
      </c>
      <c r="AE692">
        <v>131</v>
      </c>
    </row>
    <row r="693" spans="1:31" x14ac:dyDescent="0.25">
      <c r="A693" t="s">
        <v>3169</v>
      </c>
      <c r="B693" t="s">
        <v>3170</v>
      </c>
      <c r="C693" s="1">
        <v>44430</v>
      </c>
      <c r="D693" s="1">
        <v>45653</v>
      </c>
      <c r="E693" t="s">
        <v>65</v>
      </c>
      <c r="F693" t="s">
        <v>34</v>
      </c>
      <c r="G693" t="s">
        <v>343</v>
      </c>
      <c r="H693" t="s">
        <v>147</v>
      </c>
      <c r="I693" t="s">
        <v>156</v>
      </c>
      <c r="J693" t="s">
        <v>38</v>
      </c>
      <c r="K693" t="s">
        <v>39</v>
      </c>
      <c r="L693" t="s">
        <v>157</v>
      </c>
      <c r="M693">
        <v>424.16</v>
      </c>
      <c r="N693">
        <v>17</v>
      </c>
      <c r="O693" t="s">
        <v>3171</v>
      </c>
      <c r="P693" t="s">
        <v>84</v>
      </c>
      <c r="Q693" t="s">
        <v>217</v>
      </c>
      <c r="R693" t="s">
        <v>60</v>
      </c>
      <c r="S693" t="s">
        <v>87</v>
      </c>
      <c r="T693" t="s">
        <v>206</v>
      </c>
      <c r="U693">
        <v>3035</v>
      </c>
      <c r="V693">
        <v>455</v>
      </c>
      <c r="W693">
        <v>27</v>
      </c>
      <c r="X693">
        <v>521.45000000000005</v>
      </c>
      <c r="Y693">
        <v>460.31</v>
      </c>
      <c r="Z693">
        <v>981.76</v>
      </c>
      <c r="AA693" t="s">
        <v>62</v>
      </c>
      <c r="AB693">
        <v>0</v>
      </c>
      <c r="AC693">
        <v>92.95</v>
      </c>
      <c r="AD693">
        <v>70</v>
      </c>
      <c r="AE693">
        <v>83</v>
      </c>
    </row>
    <row r="694" spans="1:31" x14ac:dyDescent="0.25">
      <c r="A694" t="s">
        <v>3172</v>
      </c>
      <c r="B694" t="s">
        <v>3173</v>
      </c>
      <c r="C694" s="1">
        <v>44855</v>
      </c>
      <c r="D694" s="1">
        <v>44835</v>
      </c>
      <c r="E694" t="s">
        <v>65</v>
      </c>
      <c r="F694" t="s">
        <v>34</v>
      </c>
      <c r="G694" t="s">
        <v>343</v>
      </c>
      <c r="H694" t="s">
        <v>53</v>
      </c>
      <c r="I694" t="s">
        <v>3174</v>
      </c>
      <c r="J694" t="s">
        <v>38</v>
      </c>
      <c r="K694" t="s">
        <v>55</v>
      </c>
      <c r="L694" t="s">
        <v>3175</v>
      </c>
      <c r="M694">
        <v>38.67</v>
      </c>
      <c r="N694">
        <v>54</v>
      </c>
      <c r="O694" t="s">
        <v>2613</v>
      </c>
      <c r="P694" t="s">
        <v>84</v>
      </c>
      <c r="Q694" t="s">
        <v>191</v>
      </c>
      <c r="R694" t="s">
        <v>44</v>
      </c>
      <c r="S694" t="s">
        <v>98</v>
      </c>
      <c r="T694" t="s">
        <v>359</v>
      </c>
      <c r="U694">
        <v>192</v>
      </c>
      <c r="V694">
        <v>188</v>
      </c>
      <c r="W694">
        <v>11</v>
      </c>
      <c r="X694">
        <v>614.74</v>
      </c>
      <c r="Y694">
        <v>460.63</v>
      </c>
      <c r="Z694">
        <v>1075.3699999999999</v>
      </c>
      <c r="AA694" t="s">
        <v>62</v>
      </c>
      <c r="AB694">
        <v>0</v>
      </c>
      <c r="AC694">
        <v>98.82</v>
      </c>
      <c r="AD694">
        <v>333</v>
      </c>
      <c r="AE694">
        <v>382</v>
      </c>
    </row>
    <row r="695" spans="1:31" x14ac:dyDescent="0.25">
      <c r="A695" t="s">
        <v>3176</v>
      </c>
      <c r="B695" t="s">
        <v>3177</v>
      </c>
      <c r="C695" s="1">
        <v>44485</v>
      </c>
      <c r="D695" s="1">
        <v>44296</v>
      </c>
      <c r="E695" t="s">
        <v>65</v>
      </c>
      <c r="F695" t="s">
        <v>77</v>
      </c>
      <c r="G695" t="s">
        <v>113</v>
      </c>
      <c r="H695" t="s">
        <v>147</v>
      </c>
      <c r="I695" t="s">
        <v>3178</v>
      </c>
      <c r="J695" t="s">
        <v>38</v>
      </c>
      <c r="K695" t="s">
        <v>55</v>
      </c>
      <c r="L695" t="s">
        <v>3179</v>
      </c>
      <c r="M695">
        <v>278.05</v>
      </c>
      <c r="N695">
        <v>29</v>
      </c>
      <c r="O695" t="s">
        <v>1449</v>
      </c>
      <c r="P695" t="s">
        <v>141</v>
      </c>
      <c r="Q695" t="s">
        <v>238</v>
      </c>
      <c r="R695" t="s">
        <v>152</v>
      </c>
      <c r="S695" t="s">
        <v>73</v>
      </c>
      <c r="T695" t="s">
        <v>644</v>
      </c>
      <c r="U695">
        <v>3021</v>
      </c>
      <c r="V695">
        <v>358</v>
      </c>
      <c r="W695">
        <v>17</v>
      </c>
      <c r="X695">
        <v>247.57</v>
      </c>
      <c r="Y695">
        <v>250.13</v>
      </c>
      <c r="Z695">
        <v>497.7</v>
      </c>
      <c r="AA695" t="s">
        <v>62</v>
      </c>
      <c r="AB695">
        <v>0</v>
      </c>
      <c r="AC695">
        <v>74.709999999999994</v>
      </c>
      <c r="AD695">
        <v>211</v>
      </c>
      <c r="AE695">
        <v>238</v>
      </c>
    </row>
    <row r="696" spans="1:31" x14ac:dyDescent="0.25">
      <c r="A696" t="s">
        <v>3180</v>
      </c>
      <c r="B696" t="s">
        <v>3181</v>
      </c>
      <c r="C696" s="1">
        <v>44338</v>
      </c>
      <c r="D696" s="1">
        <v>44838</v>
      </c>
      <c r="E696" t="s">
        <v>65</v>
      </c>
      <c r="F696" t="s">
        <v>91</v>
      </c>
      <c r="G696" t="s">
        <v>343</v>
      </c>
      <c r="H696" t="s">
        <v>67</v>
      </c>
      <c r="I696" t="s">
        <v>3182</v>
      </c>
      <c r="J696" t="s">
        <v>165</v>
      </c>
      <c r="K696" t="s">
        <v>166</v>
      </c>
      <c r="L696" t="s">
        <v>3183</v>
      </c>
      <c r="M696">
        <v>385.4</v>
      </c>
      <c r="N696">
        <v>57</v>
      </c>
      <c r="O696" t="s">
        <v>3184</v>
      </c>
      <c r="P696" t="s">
        <v>58</v>
      </c>
      <c r="Q696" t="s">
        <v>245</v>
      </c>
      <c r="R696" t="s">
        <v>152</v>
      </c>
      <c r="S696" t="s">
        <v>126</v>
      </c>
      <c r="T696" t="s">
        <v>644</v>
      </c>
      <c r="U696">
        <v>751</v>
      </c>
      <c r="V696">
        <v>102</v>
      </c>
      <c r="W696">
        <v>4</v>
      </c>
      <c r="X696">
        <v>1987.37</v>
      </c>
      <c r="Y696">
        <v>384.01</v>
      </c>
      <c r="Z696">
        <v>2371.38</v>
      </c>
      <c r="AA696" t="s">
        <v>62</v>
      </c>
      <c r="AB696">
        <v>0</v>
      </c>
      <c r="AC696">
        <v>78.540000000000006</v>
      </c>
      <c r="AD696">
        <v>295</v>
      </c>
      <c r="AE696">
        <v>327</v>
      </c>
    </row>
    <row r="697" spans="1:31" x14ac:dyDescent="0.25">
      <c r="A697" t="s">
        <v>3185</v>
      </c>
      <c r="B697" t="s">
        <v>3186</v>
      </c>
      <c r="C697" s="1">
        <v>45150</v>
      </c>
      <c r="D697" s="1">
        <v>45181</v>
      </c>
      <c r="E697" t="s">
        <v>65</v>
      </c>
      <c r="F697" t="s">
        <v>34</v>
      </c>
      <c r="G697" t="s">
        <v>343</v>
      </c>
      <c r="H697" t="s">
        <v>147</v>
      </c>
      <c r="I697" t="s">
        <v>2271</v>
      </c>
      <c r="J697" t="s">
        <v>38</v>
      </c>
      <c r="K697" t="s">
        <v>94</v>
      </c>
      <c r="L697" t="s">
        <v>2272</v>
      </c>
      <c r="M697">
        <v>223.43</v>
      </c>
      <c r="N697">
        <v>71</v>
      </c>
      <c r="O697" t="s">
        <v>3187</v>
      </c>
      <c r="P697" t="s">
        <v>42</v>
      </c>
      <c r="Q697" t="s">
        <v>205</v>
      </c>
      <c r="R697" t="s">
        <v>44</v>
      </c>
      <c r="S697" t="s">
        <v>87</v>
      </c>
      <c r="T697" t="s">
        <v>127</v>
      </c>
      <c r="U697">
        <v>1460</v>
      </c>
      <c r="V697">
        <v>486</v>
      </c>
      <c r="W697">
        <v>9</v>
      </c>
      <c r="X697">
        <v>1891.96</v>
      </c>
      <c r="Y697">
        <v>494.16</v>
      </c>
      <c r="Z697">
        <v>2386.12</v>
      </c>
      <c r="AA697" t="s">
        <v>62</v>
      </c>
      <c r="AB697">
        <v>0</v>
      </c>
      <c r="AC697">
        <v>70.52</v>
      </c>
      <c r="AD697">
        <v>303</v>
      </c>
      <c r="AE697">
        <v>262</v>
      </c>
    </row>
    <row r="698" spans="1:31" x14ac:dyDescent="0.25">
      <c r="A698" t="s">
        <v>3188</v>
      </c>
      <c r="B698" t="s">
        <v>3189</v>
      </c>
      <c r="C698" s="1">
        <v>43834</v>
      </c>
      <c r="D698" s="1">
        <v>44617</v>
      </c>
      <c r="E698" t="s">
        <v>65</v>
      </c>
      <c r="F698" t="s">
        <v>51</v>
      </c>
      <c r="G698" t="s">
        <v>35</v>
      </c>
      <c r="H698" t="s">
        <v>114</v>
      </c>
      <c r="I698" t="s">
        <v>3190</v>
      </c>
      <c r="J698" t="s">
        <v>165</v>
      </c>
      <c r="K698" t="s">
        <v>166</v>
      </c>
      <c r="L698" t="s">
        <v>3191</v>
      </c>
      <c r="M698">
        <v>392.82</v>
      </c>
      <c r="N698">
        <v>19</v>
      </c>
      <c r="O698" t="s">
        <v>3192</v>
      </c>
      <c r="P698" t="s">
        <v>141</v>
      </c>
      <c r="Q698" t="s">
        <v>346</v>
      </c>
      <c r="R698" t="s">
        <v>44</v>
      </c>
      <c r="S698" t="s">
        <v>87</v>
      </c>
      <c r="T698" t="s">
        <v>447</v>
      </c>
      <c r="U698">
        <v>1252</v>
      </c>
      <c r="V698">
        <v>184</v>
      </c>
      <c r="W698">
        <v>29</v>
      </c>
      <c r="X698">
        <v>1819.46</v>
      </c>
      <c r="Y698">
        <v>383.08</v>
      </c>
      <c r="Z698">
        <v>2202.54</v>
      </c>
      <c r="AA698" t="s">
        <v>62</v>
      </c>
      <c r="AB698">
        <v>0</v>
      </c>
      <c r="AC698">
        <v>99.35</v>
      </c>
      <c r="AD698">
        <v>455</v>
      </c>
      <c r="AE698">
        <v>498</v>
      </c>
    </row>
    <row r="699" spans="1:31" x14ac:dyDescent="0.25">
      <c r="A699" t="s">
        <v>3193</v>
      </c>
      <c r="B699" t="s">
        <v>3194</v>
      </c>
      <c r="C699" s="1">
        <v>44685</v>
      </c>
      <c r="D699" s="1">
        <v>44899</v>
      </c>
      <c r="E699" t="s">
        <v>33</v>
      </c>
      <c r="F699" t="s">
        <v>34</v>
      </c>
      <c r="G699" t="s">
        <v>52</v>
      </c>
      <c r="H699" t="s">
        <v>163</v>
      </c>
      <c r="I699" t="s">
        <v>337</v>
      </c>
      <c r="J699" t="s">
        <v>38</v>
      </c>
      <c r="K699" t="s">
        <v>338</v>
      </c>
      <c r="L699" t="s">
        <v>339</v>
      </c>
      <c r="M699">
        <v>347.54</v>
      </c>
      <c r="N699">
        <v>90</v>
      </c>
      <c r="O699" t="s">
        <v>3195</v>
      </c>
      <c r="P699" t="s">
        <v>58</v>
      </c>
      <c r="Q699" t="s">
        <v>708</v>
      </c>
      <c r="R699" t="s">
        <v>44</v>
      </c>
      <c r="S699" t="s">
        <v>45</v>
      </c>
      <c r="T699" t="s">
        <v>46</v>
      </c>
      <c r="U699">
        <v>745</v>
      </c>
      <c r="V699">
        <v>132</v>
      </c>
      <c r="W699">
        <v>25</v>
      </c>
      <c r="X699">
        <v>1759.93</v>
      </c>
      <c r="Y699">
        <v>412.56</v>
      </c>
      <c r="Z699">
        <v>2172.4899999999998</v>
      </c>
      <c r="AA699" t="s">
        <v>47</v>
      </c>
      <c r="AB699">
        <v>12</v>
      </c>
      <c r="AC699">
        <v>83.48</v>
      </c>
      <c r="AD699">
        <v>444</v>
      </c>
      <c r="AE699">
        <v>434</v>
      </c>
    </row>
    <row r="700" spans="1:31" x14ac:dyDescent="0.25">
      <c r="A700" t="s">
        <v>3196</v>
      </c>
      <c r="B700" t="s">
        <v>3197</v>
      </c>
      <c r="C700" s="1">
        <v>45271</v>
      </c>
      <c r="D700" s="1">
        <v>44876</v>
      </c>
      <c r="E700" t="s">
        <v>65</v>
      </c>
      <c r="F700" t="s">
        <v>91</v>
      </c>
      <c r="G700" t="s">
        <v>78</v>
      </c>
      <c r="H700" t="s">
        <v>163</v>
      </c>
      <c r="I700" t="s">
        <v>1551</v>
      </c>
      <c r="J700" t="s">
        <v>38</v>
      </c>
      <c r="K700" t="s">
        <v>55</v>
      </c>
      <c r="L700" t="s">
        <v>1552</v>
      </c>
      <c r="M700">
        <v>338.79</v>
      </c>
      <c r="N700">
        <v>12</v>
      </c>
      <c r="O700" t="s">
        <v>696</v>
      </c>
      <c r="P700" t="s">
        <v>42</v>
      </c>
      <c r="Q700" t="s">
        <v>109</v>
      </c>
      <c r="R700" t="s">
        <v>152</v>
      </c>
      <c r="S700" t="s">
        <v>45</v>
      </c>
      <c r="T700" t="s">
        <v>638</v>
      </c>
      <c r="U700">
        <v>230</v>
      </c>
      <c r="V700">
        <v>427</v>
      </c>
      <c r="W700">
        <v>26</v>
      </c>
      <c r="X700">
        <v>1020.87</v>
      </c>
      <c r="Y700">
        <v>49.4</v>
      </c>
      <c r="Z700">
        <v>1070.27</v>
      </c>
      <c r="AA700" t="s">
        <v>62</v>
      </c>
      <c r="AB700">
        <v>0</v>
      </c>
      <c r="AC700">
        <v>92.74</v>
      </c>
      <c r="AD700">
        <v>101</v>
      </c>
      <c r="AE700">
        <v>90</v>
      </c>
    </row>
    <row r="701" spans="1:31" x14ac:dyDescent="0.25">
      <c r="A701" t="s">
        <v>3198</v>
      </c>
      <c r="B701" t="s">
        <v>3199</v>
      </c>
      <c r="C701" s="1">
        <v>44976</v>
      </c>
      <c r="D701" s="1">
        <v>44312</v>
      </c>
      <c r="E701" t="s">
        <v>50</v>
      </c>
      <c r="F701" t="s">
        <v>34</v>
      </c>
      <c r="G701" t="s">
        <v>35</v>
      </c>
      <c r="H701" t="s">
        <v>67</v>
      </c>
      <c r="I701" t="s">
        <v>1722</v>
      </c>
      <c r="J701" t="s">
        <v>38</v>
      </c>
      <c r="K701" t="s">
        <v>39</v>
      </c>
      <c r="L701" t="s">
        <v>1723</v>
      </c>
      <c r="M701">
        <v>444.27</v>
      </c>
      <c r="N701">
        <v>53</v>
      </c>
      <c r="O701" t="s">
        <v>3200</v>
      </c>
      <c r="P701" t="s">
        <v>58</v>
      </c>
      <c r="Q701" t="s">
        <v>491</v>
      </c>
      <c r="R701" t="s">
        <v>60</v>
      </c>
      <c r="S701" t="s">
        <v>45</v>
      </c>
      <c r="T701" t="s">
        <v>296</v>
      </c>
      <c r="U701">
        <v>3111</v>
      </c>
      <c r="V701">
        <v>239</v>
      </c>
      <c r="W701">
        <v>20</v>
      </c>
      <c r="X701">
        <v>1509.59</v>
      </c>
      <c r="Y701">
        <v>385.18</v>
      </c>
      <c r="Z701">
        <v>1894.77</v>
      </c>
      <c r="AA701" t="s">
        <v>62</v>
      </c>
      <c r="AB701">
        <v>0</v>
      </c>
      <c r="AC701">
        <v>93.24</v>
      </c>
      <c r="AD701">
        <v>186</v>
      </c>
      <c r="AE701">
        <v>215</v>
      </c>
    </row>
    <row r="702" spans="1:31" x14ac:dyDescent="0.25">
      <c r="A702" t="s">
        <v>3201</v>
      </c>
      <c r="B702" t="s">
        <v>3202</v>
      </c>
      <c r="C702" s="1">
        <v>44043</v>
      </c>
      <c r="D702" s="1">
        <v>44508</v>
      </c>
      <c r="E702" t="s">
        <v>33</v>
      </c>
      <c r="F702" t="s">
        <v>34</v>
      </c>
      <c r="G702" t="s">
        <v>102</v>
      </c>
      <c r="H702" t="s">
        <v>163</v>
      </c>
      <c r="I702" t="s">
        <v>3203</v>
      </c>
      <c r="J702" t="s">
        <v>38</v>
      </c>
      <c r="K702" t="s">
        <v>39</v>
      </c>
      <c r="L702" t="s">
        <v>3204</v>
      </c>
      <c r="M702">
        <v>91.73</v>
      </c>
      <c r="N702">
        <v>12</v>
      </c>
      <c r="O702" t="s">
        <v>3205</v>
      </c>
      <c r="P702" t="s">
        <v>108</v>
      </c>
      <c r="Q702" t="s">
        <v>151</v>
      </c>
      <c r="R702" t="s">
        <v>60</v>
      </c>
      <c r="S702" t="s">
        <v>45</v>
      </c>
      <c r="T702" t="s">
        <v>185</v>
      </c>
      <c r="U702">
        <v>1434</v>
      </c>
      <c r="V702">
        <v>332</v>
      </c>
      <c r="W702">
        <v>17</v>
      </c>
      <c r="X702">
        <v>1157.67</v>
      </c>
      <c r="Y702">
        <v>469.65</v>
      </c>
      <c r="Z702">
        <v>1627.32</v>
      </c>
      <c r="AA702" t="s">
        <v>62</v>
      </c>
      <c r="AB702">
        <v>0</v>
      </c>
      <c r="AC702">
        <v>76.239999999999995</v>
      </c>
      <c r="AD702">
        <v>327</v>
      </c>
      <c r="AE702">
        <v>335</v>
      </c>
    </row>
    <row r="703" spans="1:31" x14ac:dyDescent="0.25">
      <c r="A703" t="s">
        <v>3206</v>
      </c>
      <c r="B703" t="s">
        <v>3207</v>
      </c>
      <c r="C703" s="1">
        <v>44173</v>
      </c>
      <c r="D703" s="1">
        <v>45204</v>
      </c>
      <c r="E703" t="s">
        <v>65</v>
      </c>
      <c r="F703" t="s">
        <v>34</v>
      </c>
      <c r="G703" t="s">
        <v>35</v>
      </c>
      <c r="H703" t="s">
        <v>79</v>
      </c>
      <c r="I703" t="s">
        <v>3208</v>
      </c>
      <c r="J703" t="s">
        <v>104</v>
      </c>
      <c r="K703" t="s">
        <v>181</v>
      </c>
      <c r="L703" t="s">
        <v>3209</v>
      </c>
      <c r="M703">
        <v>152.71</v>
      </c>
      <c r="N703">
        <v>93</v>
      </c>
      <c r="O703" t="s">
        <v>3210</v>
      </c>
      <c r="P703" t="s">
        <v>58</v>
      </c>
      <c r="Q703" t="s">
        <v>232</v>
      </c>
      <c r="R703" t="s">
        <v>60</v>
      </c>
      <c r="S703" t="s">
        <v>73</v>
      </c>
      <c r="T703" t="s">
        <v>278</v>
      </c>
      <c r="U703">
        <v>4501</v>
      </c>
      <c r="V703">
        <v>220</v>
      </c>
      <c r="W703">
        <v>3</v>
      </c>
      <c r="X703">
        <v>416.38</v>
      </c>
      <c r="Y703">
        <v>34.200000000000003</v>
      </c>
      <c r="Z703">
        <v>450.58</v>
      </c>
      <c r="AA703" t="s">
        <v>62</v>
      </c>
      <c r="AB703">
        <v>0</v>
      </c>
      <c r="AC703">
        <v>71.28</v>
      </c>
      <c r="AD703">
        <v>88</v>
      </c>
      <c r="AE703">
        <v>99</v>
      </c>
    </row>
    <row r="704" spans="1:31" x14ac:dyDescent="0.25">
      <c r="A704" t="s">
        <v>3211</v>
      </c>
      <c r="B704" t="s">
        <v>3166</v>
      </c>
      <c r="C704" s="1">
        <v>45657</v>
      </c>
      <c r="D704" s="1">
        <v>45431</v>
      </c>
      <c r="E704" t="s">
        <v>65</v>
      </c>
      <c r="F704" t="s">
        <v>34</v>
      </c>
      <c r="G704" t="s">
        <v>35</v>
      </c>
      <c r="H704" t="s">
        <v>163</v>
      </c>
      <c r="I704" t="s">
        <v>1562</v>
      </c>
      <c r="J704" t="s">
        <v>104</v>
      </c>
      <c r="K704" t="s">
        <v>181</v>
      </c>
      <c r="L704" t="s">
        <v>1563</v>
      </c>
      <c r="M704">
        <v>86.46</v>
      </c>
      <c r="N704">
        <v>4</v>
      </c>
      <c r="O704" t="s">
        <v>2779</v>
      </c>
      <c r="P704" t="s">
        <v>42</v>
      </c>
      <c r="Q704" t="s">
        <v>464</v>
      </c>
      <c r="R704" t="s">
        <v>152</v>
      </c>
      <c r="S704" t="s">
        <v>98</v>
      </c>
      <c r="T704" t="s">
        <v>278</v>
      </c>
      <c r="U704">
        <v>1684</v>
      </c>
      <c r="V704">
        <v>481</v>
      </c>
      <c r="W704">
        <v>4</v>
      </c>
      <c r="X704">
        <v>1512.51</v>
      </c>
      <c r="Y704">
        <v>200.92</v>
      </c>
      <c r="Z704">
        <v>1713.43</v>
      </c>
      <c r="AA704" t="s">
        <v>62</v>
      </c>
      <c r="AB704">
        <v>0</v>
      </c>
      <c r="AC704">
        <v>89.71</v>
      </c>
      <c r="AD704">
        <v>249</v>
      </c>
      <c r="AE704">
        <v>242</v>
      </c>
    </row>
    <row r="705" spans="1:31" x14ac:dyDescent="0.25">
      <c r="A705" t="s">
        <v>3212</v>
      </c>
      <c r="B705" t="s">
        <v>3213</v>
      </c>
      <c r="C705" s="1">
        <v>45035</v>
      </c>
      <c r="D705" s="1">
        <v>43965</v>
      </c>
      <c r="E705" t="s">
        <v>65</v>
      </c>
      <c r="F705" t="s">
        <v>91</v>
      </c>
      <c r="G705" t="s">
        <v>343</v>
      </c>
      <c r="H705" t="s">
        <v>147</v>
      </c>
      <c r="I705" t="s">
        <v>2837</v>
      </c>
      <c r="J705" t="s">
        <v>38</v>
      </c>
      <c r="K705" t="s">
        <v>94</v>
      </c>
      <c r="L705" t="s">
        <v>2838</v>
      </c>
      <c r="M705">
        <v>247.03</v>
      </c>
      <c r="N705">
        <v>81</v>
      </c>
      <c r="O705" t="s">
        <v>3214</v>
      </c>
      <c r="P705" t="s">
        <v>108</v>
      </c>
      <c r="Q705" t="s">
        <v>118</v>
      </c>
      <c r="R705" t="s">
        <v>44</v>
      </c>
      <c r="S705" t="s">
        <v>87</v>
      </c>
      <c r="T705" t="s">
        <v>259</v>
      </c>
      <c r="U705">
        <v>724</v>
      </c>
      <c r="V705">
        <v>475</v>
      </c>
      <c r="W705">
        <v>28</v>
      </c>
      <c r="X705">
        <v>796.86</v>
      </c>
      <c r="Y705">
        <v>19.55</v>
      </c>
      <c r="Z705">
        <v>816.41</v>
      </c>
      <c r="AA705" t="s">
        <v>62</v>
      </c>
      <c r="AB705">
        <v>0</v>
      </c>
      <c r="AC705">
        <v>95.94</v>
      </c>
      <c r="AD705">
        <v>245</v>
      </c>
      <c r="AE705">
        <v>251</v>
      </c>
    </row>
    <row r="706" spans="1:31" x14ac:dyDescent="0.25">
      <c r="A706" t="s">
        <v>3215</v>
      </c>
      <c r="B706" t="s">
        <v>3216</v>
      </c>
      <c r="C706" s="1">
        <v>45613</v>
      </c>
      <c r="D706" s="1">
        <v>45499</v>
      </c>
      <c r="E706" t="s">
        <v>65</v>
      </c>
      <c r="F706" t="s">
        <v>91</v>
      </c>
      <c r="G706" t="s">
        <v>113</v>
      </c>
      <c r="H706" t="s">
        <v>79</v>
      </c>
      <c r="I706" t="s">
        <v>3217</v>
      </c>
      <c r="J706" t="s">
        <v>38</v>
      </c>
      <c r="K706" t="s">
        <v>55</v>
      </c>
      <c r="L706" t="s">
        <v>3218</v>
      </c>
      <c r="M706">
        <v>33.39</v>
      </c>
      <c r="N706">
        <v>48</v>
      </c>
      <c r="O706" t="s">
        <v>3219</v>
      </c>
      <c r="P706" t="s">
        <v>58</v>
      </c>
      <c r="Q706" t="s">
        <v>346</v>
      </c>
      <c r="R706" t="s">
        <v>44</v>
      </c>
      <c r="S706" t="s">
        <v>45</v>
      </c>
      <c r="T706" t="s">
        <v>371</v>
      </c>
      <c r="U706">
        <v>1342</v>
      </c>
      <c r="V706">
        <v>491</v>
      </c>
      <c r="W706">
        <v>12</v>
      </c>
      <c r="X706">
        <v>762.39</v>
      </c>
      <c r="Y706">
        <v>236.05</v>
      </c>
      <c r="Z706">
        <v>998.44</v>
      </c>
      <c r="AA706" t="s">
        <v>62</v>
      </c>
      <c r="AB706">
        <v>0</v>
      </c>
      <c r="AC706">
        <v>71.260000000000005</v>
      </c>
      <c r="AD706">
        <v>267</v>
      </c>
      <c r="AE706">
        <v>222</v>
      </c>
    </row>
    <row r="707" spans="1:31" x14ac:dyDescent="0.25">
      <c r="A707" t="s">
        <v>3220</v>
      </c>
      <c r="B707" t="s">
        <v>3221</v>
      </c>
      <c r="C707" s="1">
        <v>45084</v>
      </c>
      <c r="D707" s="1">
        <v>44273</v>
      </c>
      <c r="E707" t="s">
        <v>50</v>
      </c>
      <c r="F707" t="s">
        <v>146</v>
      </c>
      <c r="G707" t="s">
        <v>92</v>
      </c>
      <c r="H707" t="s">
        <v>114</v>
      </c>
      <c r="I707" t="s">
        <v>3222</v>
      </c>
      <c r="J707" t="s">
        <v>38</v>
      </c>
      <c r="K707" t="s">
        <v>55</v>
      </c>
      <c r="L707" t="s">
        <v>3223</v>
      </c>
      <c r="M707">
        <v>449.63</v>
      </c>
      <c r="N707">
        <v>2</v>
      </c>
      <c r="O707" t="s">
        <v>1152</v>
      </c>
      <c r="P707" t="s">
        <v>58</v>
      </c>
      <c r="Q707" t="s">
        <v>432</v>
      </c>
      <c r="R707" t="s">
        <v>86</v>
      </c>
      <c r="S707" t="s">
        <v>45</v>
      </c>
      <c r="T707" t="s">
        <v>910</v>
      </c>
      <c r="U707">
        <v>2043</v>
      </c>
      <c r="V707">
        <v>281</v>
      </c>
      <c r="W707">
        <v>4</v>
      </c>
      <c r="X707">
        <v>610.55999999999995</v>
      </c>
      <c r="Y707">
        <v>269.86</v>
      </c>
      <c r="Z707">
        <v>880.42</v>
      </c>
      <c r="AA707" t="s">
        <v>62</v>
      </c>
      <c r="AB707">
        <v>0</v>
      </c>
      <c r="AC707">
        <v>75.39</v>
      </c>
      <c r="AD707">
        <v>204</v>
      </c>
      <c r="AE707">
        <v>163</v>
      </c>
    </row>
    <row r="708" spans="1:31" x14ac:dyDescent="0.25">
      <c r="A708" t="s">
        <v>3224</v>
      </c>
      <c r="B708" t="s">
        <v>3225</v>
      </c>
      <c r="C708" s="1">
        <v>44178</v>
      </c>
      <c r="D708" s="1">
        <v>44353</v>
      </c>
      <c r="E708" t="s">
        <v>50</v>
      </c>
      <c r="F708" t="s">
        <v>51</v>
      </c>
      <c r="G708" t="s">
        <v>52</v>
      </c>
      <c r="H708" t="s">
        <v>114</v>
      </c>
      <c r="I708" t="s">
        <v>3226</v>
      </c>
      <c r="J708" t="s">
        <v>38</v>
      </c>
      <c r="K708" t="s">
        <v>69</v>
      </c>
      <c r="L708" t="s">
        <v>3227</v>
      </c>
      <c r="M708">
        <v>39.17</v>
      </c>
      <c r="N708">
        <v>41</v>
      </c>
      <c r="O708" t="s">
        <v>3228</v>
      </c>
      <c r="P708" t="s">
        <v>58</v>
      </c>
      <c r="Q708" t="s">
        <v>151</v>
      </c>
      <c r="R708" t="s">
        <v>152</v>
      </c>
      <c r="S708" t="s">
        <v>87</v>
      </c>
      <c r="T708" t="s">
        <v>314</v>
      </c>
      <c r="U708">
        <v>1020</v>
      </c>
      <c r="V708">
        <v>171</v>
      </c>
      <c r="W708">
        <v>6</v>
      </c>
      <c r="X708">
        <v>1836.31</v>
      </c>
      <c r="Y708">
        <v>263.61</v>
      </c>
      <c r="Z708">
        <v>2099.92</v>
      </c>
      <c r="AA708" t="s">
        <v>47</v>
      </c>
      <c r="AB708">
        <v>9</v>
      </c>
      <c r="AC708">
        <v>76.56</v>
      </c>
      <c r="AD708">
        <v>203</v>
      </c>
      <c r="AE708">
        <v>221</v>
      </c>
    </row>
    <row r="709" spans="1:31" x14ac:dyDescent="0.25">
      <c r="A709" t="s">
        <v>3229</v>
      </c>
      <c r="B709" t="s">
        <v>3230</v>
      </c>
      <c r="C709" s="1">
        <v>44226</v>
      </c>
      <c r="D709" s="1">
        <v>43849</v>
      </c>
      <c r="E709" t="s">
        <v>65</v>
      </c>
      <c r="F709" t="s">
        <v>77</v>
      </c>
      <c r="G709" t="s">
        <v>52</v>
      </c>
      <c r="H709" t="s">
        <v>79</v>
      </c>
      <c r="I709" t="s">
        <v>3129</v>
      </c>
      <c r="J709" t="s">
        <v>38</v>
      </c>
      <c r="K709" t="s">
        <v>39</v>
      </c>
      <c r="L709" t="s">
        <v>3130</v>
      </c>
      <c r="M709">
        <v>51.25</v>
      </c>
      <c r="N709">
        <v>2</v>
      </c>
      <c r="O709" t="s">
        <v>2381</v>
      </c>
      <c r="P709" t="s">
        <v>108</v>
      </c>
      <c r="Q709" t="s">
        <v>72</v>
      </c>
      <c r="R709" t="s">
        <v>60</v>
      </c>
      <c r="S709" t="s">
        <v>126</v>
      </c>
      <c r="T709" t="s">
        <v>511</v>
      </c>
      <c r="U709">
        <v>3006</v>
      </c>
      <c r="V709">
        <v>163</v>
      </c>
      <c r="W709">
        <v>15</v>
      </c>
      <c r="X709">
        <v>1863.42</v>
      </c>
      <c r="Y709">
        <v>173.7</v>
      </c>
      <c r="Z709">
        <v>2037.12</v>
      </c>
      <c r="AA709" t="s">
        <v>62</v>
      </c>
      <c r="AB709">
        <v>0</v>
      </c>
      <c r="AC709">
        <v>78.650000000000006</v>
      </c>
      <c r="AD709">
        <v>376</v>
      </c>
      <c r="AE709">
        <v>365</v>
      </c>
    </row>
    <row r="710" spans="1:31" x14ac:dyDescent="0.25">
      <c r="A710" t="s">
        <v>3231</v>
      </c>
      <c r="B710" t="s">
        <v>3232</v>
      </c>
      <c r="C710" s="1">
        <v>45602</v>
      </c>
      <c r="D710" s="1">
        <v>45595</v>
      </c>
      <c r="E710" t="s">
        <v>65</v>
      </c>
      <c r="F710" t="s">
        <v>51</v>
      </c>
      <c r="G710" t="s">
        <v>102</v>
      </c>
      <c r="H710" t="s">
        <v>67</v>
      </c>
      <c r="I710" t="s">
        <v>3233</v>
      </c>
      <c r="J710" t="s">
        <v>38</v>
      </c>
      <c r="K710" t="s">
        <v>81</v>
      </c>
      <c r="L710" t="s">
        <v>3234</v>
      </c>
      <c r="M710">
        <v>123.98</v>
      </c>
      <c r="N710">
        <v>65</v>
      </c>
      <c r="O710" t="s">
        <v>618</v>
      </c>
      <c r="P710" t="s">
        <v>108</v>
      </c>
      <c r="Q710" t="s">
        <v>205</v>
      </c>
      <c r="R710" t="s">
        <v>60</v>
      </c>
      <c r="S710" t="s">
        <v>98</v>
      </c>
      <c r="T710" t="s">
        <v>470</v>
      </c>
      <c r="U710">
        <v>163</v>
      </c>
      <c r="V710">
        <v>105</v>
      </c>
      <c r="W710">
        <v>7</v>
      </c>
      <c r="X710">
        <v>970.37</v>
      </c>
      <c r="Y710">
        <v>190.58</v>
      </c>
      <c r="Z710">
        <v>1160.95</v>
      </c>
      <c r="AA710" t="s">
        <v>62</v>
      </c>
      <c r="AB710">
        <v>0</v>
      </c>
      <c r="AC710">
        <v>79.739999999999995</v>
      </c>
      <c r="AD710">
        <v>444</v>
      </c>
      <c r="AE710">
        <v>472</v>
      </c>
    </row>
    <row r="711" spans="1:31" x14ac:dyDescent="0.25">
      <c r="A711" t="s">
        <v>3235</v>
      </c>
      <c r="B711" t="s">
        <v>3236</v>
      </c>
      <c r="C711" s="1">
        <v>44428</v>
      </c>
      <c r="D711" s="1">
        <v>43931</v>
      </c>
      <c r="E711" t="s">
        <v>65</v>
      </c>
      <c r="F711" t="s">
        <v>91</v>
      </c>
      <c r="G711" t="s">
        <v>343</v>
      </c>
      <c r="H711" t="s">
        <v>147</v>
      </c>
      <c r="I711" t="s">
        <v>3237</v>
      </c>
      <c r="J711" t="s">
        <v>38</v>
      </c>
      <c r="K711" t="s">
        <v>81</v>
      </c>
      <c r="L711" t="s">
        <v>3238</v>
      </c>
      <c r="M711">
        <v>444.21</v>
      </c>
      <c r="N711">
        <v>3</v>
      </c>
      <c r="O711" t="s">
        <v>1127</v>
      </c>
      <c r="P711" t="s">
        <v>58</v>
      </c>
      <c r="Q711" t="s">
        <v>217</v>
      </c>
      <c r="R711" t="s">
        <v>86</v>
      </c>
      <c r="S711" t="s">
        <v>98</v>
      </c>
      <c r="T711" t="s">
        <v>511</v>
      </c>
      <c r="U711">
        <v>1903</v>
      </c>
      <c r="V711">
        <v>477</v>
      </c>
      <c r="W711">
        <v>19</v>
      </c>
      <c r="X711">
        <v>906.1</v>
      </c>
      <c r="Y711">
        <v>432</v>
      </c>
      <c r="Z711">
        <v>1338.1</v>
      </c>
      <c r="AA711" t="s">
        <v>62</v>
      </c>
      <c r="AB711">
        <v>0</v>
      </c>
      <c r="AC711">
        <v>70.27</v>
      </c>
      <c r="AD711">
        <v>360</v>
      </c>
      <c r="AE711">
        <v>340</v>
      </c>
    </row>
    <row r="712" spans="1:31" x14ac:dyDescent="0.25">
      <c r="A712" t="s">
        <v>3239</v>
      </c>
      <c r="B712" t="s">
        <v>3240</v>
      </c>
      <c r="C712" s="1">
        <v>44618</v>
      </c>
      <c r="D712" s="1">
        <v>44233</v>
      </c>
      <c r="E712" t="s">
        <v>65</v>
      </c>
      <c r="F712" t="s">
        <v>51</v>
      </c>
      <c r="G712" t="s">
        <v>35</v>
      </c>
      <c r="H712" t="s">
        <v>163</v>
      </c>
      <c r="I712" t="s">
        <v>3241</v>
      </c>
      <c r="J712" t="s">
        <v>165</v>
      </c>
      <c r="K712" t="s">
        <v>202</v>
      </c>
      <c r="L712" t="s">
        <v>3242</v>
      </c>
      <c r="M712">
        <v>407.33</v>
      </c>
      <c r="N712">
        <v>29</v>
      </c>
      <c r="O712" t="s">
        <v>3243</v>
      </c>
      <c r="P712" t="s">
        <v>42</v>
      </c>
      <c r="Q712" t="s">
        <v>909</v>
      </c>
      <c r="R712" t="s">
        <v>86</v>
      </c>
      <c r="S712" t="s">
        <v>45</v>
      </c>
      <c r="T712" t="s">
        <v>675</v>
      </c>
      <c r="U712">
        <v>119</v>
      </c>
      <c r="V712">
        <v>306</v>
      </c>
      <c r="W712">
        <v>3</v>
      </c>
      <c r="X712">
        <v>1365.35</v>
      </c>
      <c r="Y712">
        <v>298.22000000000003</v>
      </c>
      <c r="Z712">
        <v>1663.57</v>
      </c>
      <c r="AA712" t="s">
        <v>62</v>
      </c>
      <c r="AB712">
        <v>0</v>
      </c>
      <c r="AC712">
        <v>76.52</v>
      </c>
      <c r="AD712">
        <v>143</v>
      </c>
      <c r="AE712">
        <v>187</v>
      </c>
    </row>
    <row r="713" spans="1:31" x14ac:dyDescent="0.25">
      <c r="A713" t="s">
        <v>3244</v>
      </c>
      <c r="B713" t="s">
        <v>3245</v>
      </c>
      <c r="C713" s="1">
        <v>44219</v>
      </c>
      <c r="D713" s="1">
        <v>43890</v>
      </c>
      <c r="E713" t="s">
        <v>65</v>
      </c>
      <c r="F713" t="s">
        <v>91</v>
      </c>
      <c r="G713" t="s">
        <v>92</v>
      </c>
      <c r="H713" t="s">
        <v>114</v>
      </c>
      <c r="I713" t="s">
        <v>3246</v>
      </c>
      <c r="J713" t="s">
        <v>104</v>
      </c>
      <c r="K713" t="s">
        <v>105</v>
      </c>
      <c r="L713" t="s">
        <v>3247</v>
      </c>
      <c r="M713">
        <v>206.34</v>
      </c>
      <c r="N713">
        <v>40</v>
      </c>
      <c r="O713" t="s">
        <v>3248</v>
      </c>
      <c r="P713" t="s">
        <v>42</v>
      </c>
      <c r="Q713" t="s">
        <v>109</v>
      </c>
      <c r="R713" t="s">
        <v>60</v>
      </c>
      <c r="S713" t="s">
        <v>98</v>
      </c>
      <c r="T713" t="s">
        <v>447</v>
      </c>
      <c r="U713">
        <v>1990</v>
      </c>
      <c r="V713">
        <v>387</v>
      </c>
      <c r="W713">
        <v>25</v>
      </c>
      <c r="X713">
        <v>1423.77</v>
      </c>
      <c r="Y713">
        <v>310.62</v>
      </c>
      <c r="Z713">
        <v>1734.39</v>
      </c>
      <c r="AA713" t="s">
        <v>62</v>
      </c>
      <c r="AB713">
        <v>0</v>
      </c>
      <c r="AC713">
        <v>71.81</v>
      </c>
      <c r="AD713">
        <v>52</v>
      </c>
      <c r="AE713">
        <v>88</v>
      </c>
    </row>
    <row r="714" spans="1:31" x14ac:dyDescent="0.25">
      <c r="A714" t="s">
        <v>3249</v>
      </c>
      <c r="B714" t="s">
        <v>3250</v>
      </c>
      <c r="C714" s="1">
        <v>45006</v>
      </c>
      <c r="D714" s="1">
        <v>45467</v>
      </c>
      <c r="E714" t="s">
        <v>50</v>
      </c>
      <c r="F714" t="s">
        <v>77</v>
      </c>
      <c r="G714" t="s">
        <v>92</v>
      </c>
      <c r="H714" t="s">
        <v>36</v>
      </c>
      <c r="I714" t="s">
        <v>3251</v>
      </c>
      <c r="J714" t="s">
        <v>165</v>
      </c>
      <c r="K714" t="s">
        <v>2126</v>
      </c>
      <c r="L714" t="s">
        <v>3252</v>
      </c>
      <c r="M714">
        <v>105.05</v>
      </c>
      <c r="N714">
        <v>44</v>
      </c>
      <c r="O714" t="s">
        <v>3253</v>
      </c>
      <c r="P714" t="s">
        <v>141</v>
      </c>
      <c r="Q714" t="s">
        <v>408</v>
      </c>
      <c r="R714" t="s">
        <v>152</v>
      </c>
      <c r="S714" t="s">
        <v>98</v>
      </c>
      <c r="T714" t="s">
        <v>627</v>
      </c>
      <c r="U714">
        <v>4117</v>
      </c>
      <c r="V714">
        <v>479</v>
      </c>
      <c r="W714">
        <v>8</v>
      </c>
      <c r="X714">
        <v>1201.5</v>
      </c>
      <c r="Y714">
        <v>243.26</v>
      </c>
      <c r="Z714">
        <v>1444.76</v>
      </c>
      <c r="AA714" t="s">
        <v>62</v>
      </c>
      <c r="AB714">
        <v>0</v>
      </c>
      <c r="AC714">
        <v>84.56</v>
      </c>
      <c r="AD714">
        <v>64</v>
      </c>
      <c r="AE714">
        <v>49</v>
      </c>
    </row>
    <row r="715" spans="1:31" x14ac:dyDescent="0.25">
      <c r="A715" t="s">
        <v>3254</v>
      </c>
      <c r="B715" t="s">
        <v>3255</v>
      </c>
      <c r="C715" s="1">
        <v>45107</v>
      </c>
      <c r="D715" s="1">
        <v>45074</v>
      </c>
      <c r="E715" t="s">
        <v>65</v>
      </c>
      <c r="F715" t="s">
        <v>91</v>
      </c>
      <c r="G715" t="s">
        <v>113</v>
      </c>
      <c r="H715" t="s">
        <v>53</v>
      </c>
      <c r="I715" t="s">
        <v>3256</v>
      </c>
      <c r="J715" t="s">
        <v>104</v>
      </c>
      <c r="K715" t="s">
        <v>105</v>
      </c>
      <c r="L715" t="s">
        <v>3257</v>
      </c>
      <c r="M715">
        <v>448.06</v>
      </c>
      <c r="N715">
        <v>63</v>
      </c>
      <c r="O715" t="s">
        <v>3073</v>
      </c>
      <c r="P715" t="s">
        <v>42</v>
      </c>
      <c r="Q715" t="s">
        <v>562</v>
      </c>
      <c r="R715" t="s">
        <v>60</v>
      </c>
      <c r="S715" t="s">
        <v>98</v>
      </c>
      <c r="T715" t="s">
        <v>218</v>
      </c>
      <c r="U715">
        <v>168</v>
      </c>
      <c r="V715">
        <v>417</v>
      </c>
      <c r="W715">
        <v>13</v>
      </c>
      <c r="X715">
        <v>149.76</v>
      </c>
      <c r="Y715">
        <v>356.28</v>
      </c>
      <c r="Z715">
        <v>506.04</v>
      </c>
      <c r="AA715" t="s">
        <v>62</v>
      </c>
      <c r="AB715">
        <v>0</v>
      </c>
      <c r="AC715">
        <v>79.7</v>
      </c>
      <c r="AD715">
        <v>195</v>
      </c>
      <c r="AE715">
        <v>194</v>
      </c>
    </row>
    <row r="716" spans="1:31" x14ac:dyDescent="0.25">
      <c r="A716" t="s">
        <v>3258</v>
      </c>
      <c r="B716" t="s">
        <v>3259</v>
      </c>
      <c r="C716" s="1">
        <v>45049</v>
      </c>
      <c r="D716" s="1">
        <v>45548</v>
      </c>
      <c r="E716" t="s">
        <v>65</v>
      </c>
      <c r="F716" t="s">
        <v>34</v>
      </c>
      <c r="G716" t="s">
        <v>343</v>
      </c>
      <c r="H716" t="s">
        <v>221</v>
      </c>
      <c r="I716" t="s">
        <v>3260</v>
      </c>
      <c r="J716" t="s">
        <v>104</v>
      </c>
      <c r="K716" t="s">
        <v>181</v>
      </c>
      <c r="L716" t="s">
        <v>3261</v>
      </c>
      <c r="M716">
        <v>282.31</v>
      </c>
      <c r="N716">
        <v>88</v>
      </c>
      <c r="O716" t="s">
        <v>3262</v>
      </c>
      <c r="P716" t="s">
        <v>42</v>
      </c>
      <c r="Q716" t="s">
        <v>562</v>
      </c>
      <c r="R716" t="s">
        <v>152</v>
      </c>
      <c r="S716" t="s">
        <v>87</v>
      </c>
      <c r="T716" t="s">
        <v>239</v>
      </c>
      <c r="U716">
        <v>1373</v>
      </c>
      <c r="V716">
        <v>483</v>
      </c>
      <c r="W716">
        <v>1</v>
      </c>
      <c r="X716">
        <v>687.32</v>
      </c>
      <c r="Y716">
        <v>176.73</v>
      </c>
      <c r="Z716">
        <v>864.05000000000007</v>
      </c>
      <c r="AA716" t="s">
        <v>62</v>
      </c>
      <c r="AB716">
        <v>0</v>
      </c>
      <c r="AC716">
        <v>77.849999999999994</v>
      </c>
      <c r="AD716">
        <v>336</v>
      </c>
      <c r="AE716">
        <v>338</v>
      </c>
    </row>
    <row r="717" spans="1:31" x14ac:dyDescent="0.25">
      <c r="A717" t="s">
        <v>3263</v>
      </c>
      <c r="B717" t="s">
        <v>3264</v>
      </c>
      <c r="C717" s="1">
        <v>44474</v>
      </c>
      <c r="D717" s="1">
        <v>44468</v>
      </c>
      <c r="E717" t="s">
        <v>33</v>
      </c>
      <c r="F717" t="s">
        <v>34</v>
      </c>
      <c r="G717" t="s">
        <v>52</v>
      </c>
      <c r="H717" t="s">
        <v>221</v>
      </c>
      <c r="I717" t="s">
        <v>2789</v>
      </c>
      <c r="J717" t="s">
        <v>104</v>
      </c>
      <c r="K717" t="s">
        <v>105</v>
      </c>
      <c r="L717" t="s">
        <v>2790</v>
      </c>
      <c r="M717">
        <v>17.37</v>
      </c>
      <c r="N717">
        <v>18</v>
      </c>
      <c r="O717" t="s">
        <v>3265</v>
      </c>
      <c r="P717" t="s">
        <v>108</v>
      </c>
      <c r="Q717" t="s">
        <v>686</v>
      </c>
      <c r="R717" t="s">
        <v>152</v>
      </c>
      <c r="S717" t="s">
        <v>73</v>
      </c>
      <c r="T717" t="s">
        <v>314</v>
      </c>
      <c r="U717">
        <v>3696</v>
      </c>
      <c r="V717">
        <v>221</v>
      </c>
      <c r="W717">
        <v>12</v>
      </c>
      <c r="X717">
        <v>769.9</v>
      </c>
      <c r="Y717">
        <v>391.29</v>
      </c>
      <c r="Z717">
        <v>1161.19</v>
      </c>
      <c r="AA717" t="s">
        <v>62</v>
      </c>
      <c r="AB717">
        <v>0</v>
      </c>
      <c r="AC717">
        <v>74.47</v>
      </c>
      <c r="AD717">
        <v>188</v>
      </c>
      <c r="AE717">
        <v>169</v>
      </c>
    </row>
    <row r="718" spans="1:31" x14ac:dyDescent="0.25">
      <c r="A718" t="s">
        <v>3266</v>
      </c>
      <c r="B718" t="s">
        <v>3267</v>
      </c>
      <c r="C718" s="1">
        <v>44252</v>
      </c>
      <c r="D718" s="1">
        <v>45567</v>
      </c>
      <c r="E718" t="s">
        <v>65</v>
      </c>
      <c r="F718" t="s">
        <v>51</v>
      </c>
      <c r="G718" t="s">
        <v>92</v>
      </c>
      <c r="H718" t="s">
        <v>53</v>
      </c>
      <c r="I718" t="s">
        <v>683</v>
      </c>
      <c r="J718" t="s">
        <v>104</v>
      </c>
      <c r="K718" t="s">
        <v>554</v>
      </c>
      <c r="L718" t="s">
        <v>684</v>
      </c>
      <c r="M718">
        <v>407.11</v>
      </c>
      <c r="N718">
        <v>75</v>
      </c>
      <c r="O718" t="s">
        <v>2816</v>
      </c>
      <c r="P718" t="s">
        <v>58</v>
      </c>
      <c r="Q718" t="s">
        <v>353</v>
      </c>
      <c r="R718" t="s">
        <v>44</v>
      </c>
      <c r="S718" t="s">
        <v>98</v>
      </c>
      <c r="T718" t="s">
        <v>437</v>
      </c>
      <c r="U718">
        <v>2120</v>
      </c>
      <c r="V718">
        <v>94</v>
      </c>
      <c r="W718">
        <v>2</v>
      </c>
      <c r="X718">
        <v>1410.11</v>
      </c>
      <c r="Y718">
        <v>373.17</v>
      </c>
      <c r="Z718">
        <v>1783.28</v>
      </c>
      <c r="AA718" t="s">
        <v>47</v>
      </c>
      <c r="AB718">
        <v>3</v>
      </c>
      <c r="AC718">
        <v>89.15</v>
      </c>
      <c r="AD718">
        <v>320</v>
      </c>
      <c r="AE718">
        <v>368</v>
      </c>
    </row>
    <row r="719" spans="1:31" x14ac:dyDescent="0.25">
      <c r="A719" t="s">
        <v>3268</v>
      </c>
      <c r="B719" t="s">
        <v>3269</v>
      </c>
      <c r="C719" s="1">
        <v>44404</v>
      </c>
      <c r="D719" s="1">
        <v>45033</v>
      </c>
      <c r="E719" t="s">
        <v>65</v>
      </c>
      <c r="F719" t="s">
        <v>146</v>
      </c>
      <c r="G719" t="s">
        <v>52</v>
      </c>
      <c r="H719" t="s">
        <v>147</v>
      </c>
      <c r="I719" t="s">
        <v>1317</v>
      </c>
      <c r="J719" t="s">
        <v>38</v>
      </c>
      <c r="K719" t="s">
        <v>55</v>
      </c>
      <c r="L719" t="s">
        <v>1318</v>
      </c>
      <c r="M719">
        <v>99.05</v>
      </c>
      <c r="N719">
        <v>11</v>
      </c>
      <c r="O719" t="s">
        <v>3270</v>
      </c>
      <c r="P719" t="s">
        <v>141</v>
      </c>
      <c r="Q719" t="s">
        <v>191</v>
      </c>
      <c r="R719" t="s">
        <v>60</v>
      </c>
      <c r="S719" t="s">
        <v>126</v>
      </c>
      <c r="T719" t="s">
        <v>812</v>
      </c>
      <c r="U719">
        <v>811</v>
      </c>
      <c r="V719">
        <v>226</v>
      </c>
      <c r="W719">
        <v>6</v>
      </c>
      <c r="X719">
        <v>183.85</v>
      </c>
      <c r="Y719">
        <v>44.22</v>
      </c>
      <c r="Z719">
        <v>228.07</v>
      </c>
      <c r="AA719" t="s">
        <v>62</v>
      </c>
      <c r="AB719">
        <v>0</v>
      </c>
      <c r="AC719">
        <v>70.31</v>
      </c>
      <c r="AD719">
        <v>434</v>
      </c>
      <c r="AE719">
        <v>406</v>
      </c>
    </row>
    <row r="720" spans="1:31" x14ac:dyDescent="0.25">
      <c r="A720" t="s">
        <v>3271</v>
      </c>
      <c r="B720" t="s">
        <v>3272</v>
      </c>
      <c r="C720" s="1">
        <v>45083</v>
      </c>
      <c r="D720" s="1">
        <v>45350</v>
      </c>
      <c r="E720" t="s">
        <v>65</v>
      </c>
      <c r="F720" t="s">
        <v>51</v>
      </c>
      <c r="G720" t="s">
        <v>78</v>
      </c>
      <c r="H720" t="s">
        <v>147</v>
      </c>
      <c r="I720" t="s">
        <v>1217</v>
      </c>
      <c r="J720" t="s">
        <v>104</v>
      </c>
      <c r="K720" t="s">
        <v>229</v>
      </c>
      <c r="L720" t="s">
        <v>1218</v>
      </c>
      <c r="M720">
        <v>259.32</v>
      </c>
      <c r="N720">
        <v>86</v>
      </c>
      <c r="O720" t="s">
        <v>2711</v>
      </c>
      <c r="P720" t="s">
        <v>42</v>
      </c>
      <c r="Q720" t="s">
        <v>169</v>
      </c>
      <c r="R720" t="s">
        <v>60</v>
      </c>
      <c r="S720" t="s">
        <v>98</v>
      </c>
      <c r="T720" t="s">
        <v>922</v>
      </c>
      <c r="U720">
        <v>3606</v>
      </c>
      <c r="V720">
        <v>482</v>
      </c>
      <c r="W720">
        <v>15</v>
      </c>
      <c r="X720">
        <v>1841.16</v>
      </c>
      <c r="Y720">
        <v>274.52</v>
      </c>
      <c r="Z720">
        <v>2115.6799999999998</v>
      </c>
      <c r="AA720" t="s">
        <v>62</v>
      </c>
      <c r="AB720">
        <v>0</v>
      </c>
      <c r="AC720">
        <v>84.97</v>
      </c>
      <c r="AD720">
        <v>484</v>
      </c>
      <c r="AE720">
        <v>502</v>
      </c>
    </row>
    <row r="721" spans="1:31" x14ac:dyDescent="0.25">
      <c r="A721" t="s">
        <v>3273</v>
      </c>
      <c r="B721" t="s">
        <v>3274</v>
      </c>
      <c r="C721" s="1">
        <v>44779</v>
      </c>
      <c r="D721" s="1">
        <v>44430</v>
      </c>
      <c r="E721" t="s">
        <v>65</v>
      </c>
      <c r="F721" t="s">
        <v>51</v>
      </c>
      <c r="G721" t="s">
        <v>113</v>
      </c>
      <c r="H721" t="s">
        <v>221</v>
      </c>
      <c r="I721" t="s">
        <v>3275</v>
      </c>
      <c r="J721" t="s">
        <v>38</v>
      </c>
      <c r="K721" t="s">
        <v>94</v>
      </c>
      <c r="L721" t="s">
        <v>3076</v>
      </c>
      <c r="M721">
        <v>93.29</v>
      </c>
      <c r="N721">
        <v>77</v>
      </c>
      <c r="O721" t="s">
        <v>538</v>
      </c>
      <c r="P721" t="s">
        <v>141</v>
      </c>
      <c r="Q721" t="s">
        <v>125</v>
      </c>
      <c r="R721" t="s">
        <v>44</v>
      </c>
      <c r="S721" t="s">
        <v>98</v>
      </c>
      <c r="T721" t="s">
        <v>644</v>
      </c>
      <c r="U721">
        <v>3231</v>
      </c>
      <c r="V721">
        <v>64</v>
      </c>
      <c r="W721">
        <v>26</v>
      </c>
      <c r="X721">
        <v>1161.1199999999999</v>
      </c>
      <c r="Y721">
        <v>361.54</v>
      </c>
      <c r="Z721">
        <v>1522.66</v>
      </c>
      <c r="AA721" t="s">
        <v>62</v>
      </c>
      <c r="AB721">
        <v>0</v>
      </c>
      <c r="AC721">
        <v>87.19</v>
      </c>
      <c r="AD721">
        <v>156</v>
      </c>
      <c r="AE721">
        <v>178</v>
      </c>
    </row>
    <row r="722" spans="1:31" x14ac:dyDescent="0.25">
      <c r="A722" t="s">
        <v>3276</v>
      </c>
      <c r="B722" t="s">
        <v>3277</v>
      </c>
      <c r="C722" s="1">
        <v>44014</v>
      </c>
      <c r="D722" s="1">
        <v>45575</v>
      </c>
      <c r="E722" t="s">
        <v>65</v>
      </c>
      <c r="F722" t="s">
        <v>34</v>
      </c>
      <c r="G722" t="s">
        <v>78</v>
      </c>
      <c r="H722" t="s">
        <v>163</v>
      </c>
      <c r="I722" t="s">
        <v>3278</v>
      </c>
      <c r="J722" t="s">
        <v>38</v>
      </c>
      <c r="K722" t="s">
        <v>55</v>
      </c>
      <c r="L722" t="s">
        <v>3279</v>
      </c>
      <c r="M722">
        <v>467.8</v>
      </c>
      <c r="N722">
        <v>15</v>
      </c>
      <c r="O722" t="s">
        <v>1375</v>
      </c>
      <c r="P722" t="s">
        <v>58</v>
      </c>
      <c r="Q722" t="s">
        <v>1244</v>
      </c>
      <c r="R722" t="s">
        <v>86</v>
      </c>
      <c r="S722" t="s">
        <v>126</v>
      </c>
      <c r="T722" t="s">
        <v>563</v>
      </c>
      <c r="U722">
        <v>3915</v>
      </c>
      <c r="V722">
        <v>440</v>
      </c>
      <c r="W722">
        <v>16</v>
      </c>
      <c r="X722">
        <v>1259.19</v>
      </c>
      <c r="Y722">
        <v>124.5</v>
      </c>
      <c r="Z722">
        <v>1383.69</v>
      </c>
      <c r="AA722" t="s">
        <v>47</v>
      </c>
      <c r="AB722">
        <v>13</v>
      </c>
      <c r="AC722">
        <v>71.36</v>
      </c>
      <c r="AD722">
        <v>461</v>
      </c>
      <c r="AE722">
        <v>489</v>
      </c>
    </row>
    <row r="723" spans="1:31" x14ac:dyDescent="0.25">
      <c r="A723" t="s">
        <v>3280</v>
      </c>
      <c r="B723" t="s">
        <v>3281</v>
      </c>
      <c r="C723" s="1">
        <v>44865</v>
      </c>
      <c r="D723" s="1">
        <v>44065</v>
      </c>
      <c r="E723" t="s">
        <v>50</v>
      </c>
      <c r="F723" t="s">
        <v>34</v>
      </c>
      <c r="G723" t="s">
        <v>343</v>
      </c>
      <c r="H723" t="s">
        <v>67</v>
      </c>
      <c r="I723" t="s">
        <v>689</v>
      </c>
      <c r="J723" t="s">
        <v>38</v>
      </c>
      <c r="K723" t="s">
        <v>55</v>
      </c>
      <c r="L723" t="s">
        <v>690</v>
      </c>
      <c r="M723">
        <v>393.51</v>
      </c>
      <c r="N723">
        <v>66</v>
      </c>
      <c r="O723" t="s">
        <v>1142</v>
      </c>
      <c r="P723" t="s">
        <v>84</v>
      </c>
      <c r="Q723" t="s">
        <v>184</v>
      </c>
      <c r="R723" t="s">
        <v>44</v>
      </c>
      <c r="S723" t="s">
        <v>98</v>
      </c>
      <c r="T723" t="s">
        <v>296</v>
      </c>
      <c r="U723">
        <v>1738</v>
      </c>
      <c r="V723">
        <v>247</v>
      </c>
      <c r="W723">
        <v>17</v>
      </c>
      <c r="X723">
        <v>1299.0999999999999</v>
      </c>
      <c r="Y723">
        <v>185.45</v>
      </c>
      <c r="Z723">
        <v>1484.55</v>
      </c>
      <c r="AA723" t="s">
        <v>62</v>
      </c>
      <c r="AB723">
        <v>0</v>
      </c>
      <c r="AC723">
        <v>77.650000000000006</v>
      </c>
      <c r="AD723">
        <v>379</v>
      </c>
      <c r="AE723">
        <v>386</v>
      </c>
    </row>
    <row r="724" spans="1:31" x14ac:dyDescent="0.25">
      <c r="A724" t="s">
        <v>3282</v>
      </c>
      <c r="B724" t="s">
        <v>3283</v>
      </c>
      <c r="C724" s="1">
        <v>43998</v>
      </c>
      <c r="D724" s="1">
        <v>44755</v>
      </c>
      <c r="E724" t="s">
        <v>33</v>
      </c>
      <c r="F724" t="s">
        <v>77</v>
      </c>
      <c r="G724" t="s">
        <v>52</v>
      </c>
      <c r="H724" t="s">
        <v>147</v>
      </c>
      <c r="I724" t="s">
        <v>3284</v>
      </c>
      <c r="J724" t="s">
        <v>38</v>
      </c>
      <c r="K724" t="s">
        <v>69</v>
      </c>
      <c r="L724" t="s">
        <v>3285</v>
      </c>
      <c r="M724">
        <v>377.76</v>
      </c>
      <c r="N724">
        <v>31</v>
      </c>
      <c r="O724" t="s">
        <v>3286</v>
      </c>
      <c r="P724" t="s">
        <v>42</v>
      </c>
      <c r="Q724" t="s">
        <v>909</v>
      </c>
      <c r="R724" t="s">
        <v>86</v>
      </c>
      <c r="S724" t="s">
        <v>73</v>
      </c>
      <c r="T724" t="s">
        <v>426</v>
      </c>
      <c r="U724">
        <v>4547</v>
      </c>
      <c r="V724">
        <v>292</v>
      </c>
      <c r="W724">
        <v>29</v>
      </c>
      <c r="X724">
        <v>1841.9</v>
      </c>
      <c r="Y724">
        <v>34.1</v>
      </c>
      <c r="Z724">
        <v>1876</v>
      </c>
      <c r="AA724" t="s">
        <v>62</v>
      </c>
      <c r="AB724">
        <v>0</v>
      </c>
      <c r="AC724">
        <v>71.03</v>
      </c>
      <c r="AD724">
        <v>251</v>
      </c>
      <c r="AE724">
        <v>278</v>
      </c>
    </row>
    <row r="725" spans="1:31" x14ac:dyDescent="0.25">
      <c r="A725" t="s">
        <v>3287</v>
      </c>
      <c r="B725" t="s">
        <v>3288</v>
      </c>
      <c r="C725" s="1">
        <v>44430</v>
      </c>
      <c r="D725" s="1">
        <v>44070</v>
      </c>
      <c r="E725" t="s">
        <v>65</v>
      </c>
      <c r="F725" t="s">
        <v>91</v>
      </c>
      <c r="G725" t="s">
        <v>102</v>
      </c>
      <c r="H725" t="s">
        <v>114</v>
      </c>
      <c r="I725" t="s">
        <v>3289</v>
      </c>
      <c r="J725" t="s">
        <v>38</v>
      </c>
      <c r="K725" t="s">
        <v>39</v>
      </c>
      <c r="L725" t="s">
        <v>3290</v>
      </c>
      <c r="M725">
        <v>340.31</v>
      </c>
      <c r="N725">
        <v>47</v>
      </c>
      <c r="O725" t="s">
        <v>2865</v>
      </c>
      <c r="P725" t="s">
        <v>58</v>
      </c>
      <c r="Q725" t="s">
        <v>464</v>
      </c>
      <c r="R725" t="s">
        <v>44</v>
      </c>
      <c r="S725" t="s">
        <v>87</v>
      </c>
      <c r="T725" t="s">
        <v>225</v>
      </c>
      <c r="U725">
        <v>225</v>
      </c>
      <c r="V725">
        <v>220</v>
      </c>
      <c r="W725">
        <v>6</v>
      </c>
      <c r="X725">
        <v>324.87</v>
      </c>
      <c r="Y725">
        <v>426.26</v>
      </c>
      <c r="Z725">
        <v>751.13</v>
      </c>
      <c r="AA725" t="s">
        <v>62</v>
      </c>
      <c r="AB725">
        <v>0</v>
      </c>
      <c r="AC725">
        <v>89.76</v>
      </c>
      <c r="AD725">
        <v>434</v>
      </c>
      <c r="AE725">
        <v>446</v>
      </c>
    </row>
    <row r="726" spans="1:31" x14ac:dyDescent="0.25">
      <c r="A726" t="s">
        <v>3291</v>
      </c>
      <c r="B726" t="s">
        <v>3292</v>
      </c>
      <c r="C726" s="1">
        <v>45547</v>
      </c>
      <c r="D726" s="1">
        <v>44055</v>
      </c>
      <c r="E726" t="s">
        <v>65</v>
      </c>
      <c r="F726" t="s">
        <v>51</v>
      </c>
      <c r="G726" t="s">
        <v>35</v>
      </c>
      <c r="H726" t="s">
        <v>67</v>
      </c>
      <c r="I726" t="s">
        <v>1193</v>
      </c>
      <c r="J726" t="s">
        <v>38</v>
      </c>
      <c r="K726" t="s">
        <v>39</v>
      </c>
      <c r="L726" t="s">
        <v>1194</v>
      </c>
      <c r="M726">
        <v>473.42</v>
      </c>
      <c r="N726">
        <v>9</v>
      </c>
      <c r="O726" t="s">
        <v>3293</v>
      </c>
      <c r="P726" t="s">
        <v>42</v>
      </c>
      <c r="Q726" t="s">
        <v>109</v>
      </c>
      <c r="R726" t="s">
        <v>60</v>
      </c>
      <c r="S726" t="s">
        <v>98</v>
      </c>
      <c r="T726" t="s">
        <v>314</v>
      </c>
      <c r="U726">
        <v>1052</v>
      </c>
      <c r="V726">
        <v>268</v>
      </c>
      <c r="W726">
        <v>24</v>
      </c>
      <c r="X726">
        <v>439.48</v>
      </c>
      <c r="Y726">
        <v>304.36</v>
      </c>
      <c r="Z726">
        <v>743.84</v>
      </c>
      <c r="AA726" t="s">
        <v>62</v>
      </c>
      <c r="AB726">
        <v>0</v>
      </c>
      <c r="AC726">
        <v>90.91</v>
      </c>
      <c r="AD726">
        <v>169</v>
      </c>
      <c r="AE726">
        <v>216</v>
      </c>
    </row>
    <row r="727" spans="1:31" x14ac:dyDescent="0.25">
      <c r="A727" t="s">
        <v>3294</v>
      </c>
      <c r="B727" t="s">
        <v>3295</v>
      </c>
      <c r="C727" s="1">
        <v>44862</v>
      </c>
      <c r="D727" s="1">
        <v>44567</v>
      </c>
      <c r="E727" t="s">
        <v>65</v>
      </c>
      <c r="F727" t="s">
        <v>34</v>
      </c>
      <c r="G727" t="s">
        <v>78</v>
      </c>
      <c r="H727" t="s">
        <v>163</v>
      </c>
      <c r="I727" t="s">
        <v>530</v>
      </c>
      <c r="J727" t="s">
        <v>38</v>
      </c>
      <c r="K727" t="s">
        <v>39</v>
      </c>
      <c r="L727" t="s">
        <v>531</v>
      </c>
      <c r="M727">
        <v>148.03</v>
      </c>
      <c r="N727">
        <v>45</v>
      </c>
      <c r="O727" t="s">
        <v>307</v>
      </c>
      <c r="P727" t="s">
        <v>141</v>
      </c>
      <c r="Q727" t="s">
        <v>238</v>
      </c>
      <c r="R727" t="s">
        <v>44</v>
      </c>
      <c r="S727" t="s">
        <v>45</v>
      </c>
      <c r="T727" t="s">
        <v>284</v>
      </c>
      <c r="U727">
        <v>1757</v>
      </c>
      <c r="V727">
        <v>111</v>
      </c>
      <c r="W727">
        <v>6</v>
      </c>
      <c r="X727">
        <v>490.04</v>
      </c>
      <c r="Y727">
        <v>89.22</v>
      </c>
      <c r="Z727">
        <v>579.26</v>
      </c>
      <c r="AA727" t="s">
        <v>62</v>
      </c>
      <c r="AB727">
        <v>0</v>
      </c>
      <c r="AC727">
        <v>72.12</v>
      </c>
      <c r="AD727">
        <v>80</v>
      </c>
      <c r="AE727">
        <v>68</v>
      </c>
    </row>
    <row r="728" spans="1:31" x14ac:dyDescent="0.25">
      <c r="A728" t="s">
        <v>3296</v>
      </c>
      <c r="B728" t="s">
        <v>3297</v>
      </c>
      <c r="C728" s="1">
        <v>45144</v>
      </c>
      <c r="D728" s="1">
        <v>44561</v>
      </c>
      <c r="E728" t="s">
        <v>50</v>
      </c>
      <c r="F728" t="s">
        <v>77</v>
      </c>
      <c r="G728" t="s">
        <v>66</v>
      </c>
      <c r="H728" t="s">
        <v>36</v>
      </c>
      <c r="I728" t="s">
        <v>3298</v>
      </c>
      <c r="J728" t="s">
        <v>38</v>
      </c>
      <c r="K728" t="s">
        <v>81</v>
      </c>
      <c r="L728" t="s">
        <v>3299</v>
      </c>
      <c r="M728">
        <v>145.82</v>
      </c>
      <c r="N728">
        <v>12</v>
      </c>
      <c r="O728" t="s">
        <v>3300</v>
      </c>
      <c r="P728" t="s">
        <v>42</v>
      </c>
      <c r="Q728" t="s">
        <v>346</v>
      </c>
      <c r="R728" t="s">
        <v>152</v>
      </c>
      <c r="S728" t="s">
        <v>45</v>
      </c>
      <c r="T728" t="s">
        <v>738</v>
      </c>
      <c r="U728">
        <v>2888</v>
      </c>
      <c r="V728">
        <v>424</v>
      </c>
      <c r="W728">
        <v>9</v>
      </c>
      <c r="X728">
        <v>1521.87</v>
      </c>
      <c r="Y728">
        <v>342.97</v>
      </c>
      <c r="Z728">
        <v>1864.84</v>
      </c>
      <c r="AA728" t="s">
        <v>62</v>
      </c>
      <c r="AB728">
        <v>0</v>
      </c>
      <c r="AC728">
        <v>89.52</v>
      </c>
      <c r="AD728">
        <v>493</v>
      </c>
      <c r="AE728">
        <v>502</v>
      </c>
    </row>
    <row r="729" spans="1:31" x14ac:dyDescent="0.25">
      <c r="A729" t="s">
        <v>3301</v>
      </c>
      <c r="B729" t="s">
        <v>3302</v>
      </c>
      <c r="C729" s="1">
        <v>45387</v>
      </c>
      <c r="D729" s="1">
        <v>44375</v>
      </c>
      <c r="E729" t="s">
        <v>65</v>
      </c>
      <c r="F729" t="s">
        <v>146</v>
      </c>
      <c r="G729" t="s">
        <v>92</v>
      </c>
      <c r="H729" t="s">
        <v>163</v>
      </c>
      <c r="I729" t="s">
        <v>1053</v>
      </c>
      <c r="J729" t="s">
        <v>104</v>
      </c>
      <c r="K729" t="s">
        <v>105</v>
      </c>
      <c r="L729" t="s">
        <v>1054</v>
      </c>
      <c r="M729">
        <v>258.77</v>
      </c>
      <c r="N729">
        <v>32</v>
      </c>
      <c r="O729" t="s">
        <v>2064</v>
      </c>
      <c r="P729" t="s">
        <v>84</v>
      </c>
      <c r="Q729" t="s">
        <v>191</v>
      </c>
      <c r="R729" t="s">
        <v>60</v>
      </c>
      <c r="S729" t="s">
        <v>87</v>
      </c>
      <c r="T729" t="s">
        <v>812</v>
      </c>
      <c r="U729">
        <v>4312</v>
      </c>
      <c r="V729">
        <v>232</v>
      </c>
      <c r="W729">
        <v>1</v>
      </c>
      <c r="X729">
        <v>948.87</v>
      </c>
      <c r="Y729">
        <v>159.35</v>
      </c>
      <c r="Z729">
        <v>1108.22</v>
      </c>
      <c r="AA729" t="s">
        <v>62</v>
      </c>
      <c r="AB729">
        <v>0</v>
      </c>
      <c r="AC729">
        <v>92.41</v>
      </c>
      <c r="AD729">
        <v>416</v>
      </c>
      <c r="AE729">
        <v>431</v>
      </c>
    </row>
    <row r="730" spans="1:31" x14ac:dyDescent="0.25">
      <c r="A730" t="s">
        <v>3303</v>
      </c>
      <c r="B730" t="s">
        <v>3304</v>
      </c>
      <c r="C730" s="1">
        <v>44779</v>
      </c>
      <c r="D730" s="1">
        <v>44442</v>
      </c>
      <c r="E730" t="s">
        <v>65</v>
      </c>
      <c r="F730" t="s">
        <v>51</v>
      </c>
      <c r="G730" t="s">
        <v>78</v>
      </c>
      <c r="H730" t="s">
        <v>53</v>
      </c>
      <c r="I730" t="s">
        <v>3305</v>
      </c>
      <c r="J730" t="s">
        <v>104</v>
      </c>
      <c r="K730" t="s">
        <v>181</v>
      </c>
      <c r="L730" t="s">
        <v>3306</v>
      </c>
      <c r="M730">
        <v>189.54</v>
      </c>
      <c r="N730">
        <v>12</v>
      </c>
      <c r="O730" t="s">
        <v>3307</v>
      </c>
      <c r="P730" t="s">
        <v>84</v>
      </c>
      <c r="Q730" t="s">
        <v>1244</v>
      </c>
      <c r="R730" t="s">
        <v>44</v>
      </c>
      <c r="S730" t="s">
        <v>45</v>
      </c>
      <c r="T730" t="s">
        <v>1229</v>
      </c>
      <c r="U730">
        <v>32</v>
      </c>
      <c r="V730">
        <v>427</v>
      </c>
      <c r="W730">
        <v>7</v>
      </c>
      <c r="X730">
        <v>309.01</v>
      </c>
      <c r="Y730">
        <v>171.3</v>
      </c>
      <c r="Z730">
        <v>480.31</v>
      </c>
      <c r="AA730" t="s">
        <v>62</v>
      </c>
      <c r="AB730">
        <v>0</v>
      </c>
      <c r="AC730">
        <v>76.88</v>
      </c>
      <c r="AD730">
        <v>437</v>
      </c>
      <c r="AE730">
        <v>412</v>
      </c>
    </row>
    <row r="731" spans="1:31" x14ac:dyDescent="0.25">
      <c r="A731" t="s">
        <v>3308</v>
      </c>
      <c r="B731" t="s">
        <v>3309</v>
      </c>
      <c r="C731" s="1">
        <v>44149</v>
      </c>
      <c r="D731" s="1">
        <v>44486</v>
      </c>
      <c r="E731" t="s">
        <v>65</v>
      </c>
      <c r="F731" t="s">
        <v>34</v>
      </c>
      <c r="G731" t="s">
        <v>102</v>
      </c>
      <c r="H731" t="s">
        <v>221</v>
      </c>
      <c r="I731" t="s">
        <v>3310</v>
      </c>
      <c r="J731" t="s">
        <v>38</v>
      </c>
      <c r="K731" t="s">
        <v>55</v>
      </c>
      <c r="L731" t="s">
        <v>3311</v>
      </c>
      <c r="M731">
        <v>295.95</v>
      </c>
      <c r="N731">
        <v>43</v>
      </c>
      <c r="O731" t="s">
        <v>1816</v>
      </c>
      <c r="P731" t="s">
        <v>84</v>
      </c>
      <c r="Q731" t="s">
        <v>686</v>
      </c>
      <c r="R731" t="s">
        <v>60</v>
      </c>
      <c r="S731" t="s">
        <v>87</v>
      </c>
      <c r="T731" t="s">
        <v>533</v>
      </c>
      <c r="U731">
        <v>1154</v>
      </c>
      <c r="V731">
        <v>194</v>
      </c>
      <c r="W731">
        <v>9</v>
      </c>
      <c r="X731">
        <v>106.49</v>
      </c>
      <c r="Y731">
        <v>123.51</v>
      </c>
      <c r="Z731">
        <v>230</v>
      </c>
      <c r="AA731" t="s">
        <v>62</v>
      </c>
      <c r="AB731">
        <v>0</v>
      </c>
      <c r="AC731">
        <v>78.930000000000007</v>
      </c>
      <c r="AD731">
        <v>469</v>
      </c>
      <c r="AE731">
        <v>423</v>
      </c>
    </row>
    <row r="732" spans="1:31" x14ac:dyDescent="0.25">
      <c r="A732" t="s">
        <v>3312</v>
      </c>
      <c r="B732" t="s">
        <v>3313</v>
      </c>
      <c r="C732" s="1">
        <v>45615</v>
      </c>
      <c r="D732" s="1">
        <v>44425</v>
      </c>
      <c r="E732" t="s">
        <v>65</v>
      </c>
      <c r="F732" t="s">
        <v>51</v>
      </c>
      <c r="G732" t="s">
        <v>35</v>
      </c>
      <c r="H732" t="s">
        <v>221</v>
      </c>
      <c r="I732" t="s">
        <v>3314</v>
      </c>
      <c r="J732" t="s">
        <v>38</v>
      </c>
      <c r="K732" t="s">
        <v>69</v>
      </c>
      <c r="L732" t="s">
        <v>3315</v>
      </c>
      <c r="M732">
        <v>114.26</v>
      </c>
      <c r="N732">
        <v>4</v>
      </c>
      <c r="O732" t="s">
        <v>2452</v>
      </c>
      <c r="P732" t="s">
        <v>108</v>
      </c>
      <c r="Q732" t="s">
        <v>176</v>
      </c>
      <c r="R732" t="s">
        <v>86</v>
      </c>
      <c r="S732" t="s">
        <v>126</v>
      </c>
      <c r="T732" t="s">
        <v>409</v>
      </c>
      <c r="U732">
        <v>4767</v>
      </c>
      <c r="V732">
        <v>297</v>
      </c>
      <c r="W732">
        <v>27</v>
      </c>
      <c r="X732">
        <v>1095.25</v>
      </c>
      <c r="Y732">
        <v>120.39</v>
      </c>
      <c r="Z732">
        <v>1215.6400000000001</v>
      </c>
      <c r="AA732" t="s">
        <v>47</v>
      </c>
      <c r="AB732">
        <v>11</v>
      </c>
      <c r="AC732">
        <v>83.49</v>
      </c>
      <c r="AD732">
        <v>101</v>
      </c>
      <c r="AE732">
        <v>59</v>
      </c>
    </row>
    <row r="733" spans="1:31" x14ac:dyDescent="0.25">
      <c r="A733" t="s">
        <v>3316</v>
      </c>
      <c r="B733" t="s">
        <v>3317</v>
      </c>
      <c r="C733" s="1">
        <v>45066</v>
      </c>
      <c r="D733" s="1">
        <v>44551</v>
      </c>
      <c r="E733" t="s">
        <v>50</v>
      </c>
      <c r="F733" t="s">
        <v>77</v>
      </c>
      <c r="G733" t="s">
        <v>35</v>
      </c>
      <c r="H733" t="s">
        <v>79</v>
      </c>
      <c r="I733" t="s">
        <v>2180</v>
      </c>
      <c r="J733" t="s">
        <v>38</v>
      </c>
      <c r="K733" t="s">
        <v>39</v>
      </c>
      <c r="L733" t="s">
        <v>2181</v>
      </c>
      <c r="M733">
        <v>276.55</v>
      </c>
      <c r="N733">
        <v>92</v>
      </c>
      <c r="O733" t="s">
        <v>3318</v>
      </c>
      <c r="P733" t="s">
        <v>141</v>
      </c>
      <c r="Q733" t="s">
        <v>238</v>
      </c>
      <c r="R733" t="s">
        <v>44</v>
      </c>
      <c r="S733" t="s">
        <v>98</v>
      </c>
      <c r="T733" t="s">
        <v>371</v>
      </c>
      <c r="U733">
        <v>676</v>
      </c>
      <c r="V733">
        <v>473</v>
      </c>
      <c r="W733">
        <v>26</v>
      </c>
      <c r="X733">
        <v>622.55999999999995</v>
      </c>
      <c r="Y733">
        <v>22.22</v>
      </c>
      <c r="Z733">
        <v>644.78</v>
      </c>
      <c r="AA733" t="s">
        <v>62</v>
      </c>
      <c r="AB733">
        <v>0</v>
      </c>
      <c r="AC733">
        <v>96.24</v>
      </c>
      <c r="AD733">
        <v>58</v>
      </c>
      <c r="AE733">
        <v>101</v>
      </c>
    </row>
    <row r="734" spans="1:31" x14ac:dyDescent="0.25">
      <c r="A734" t="s">
        <v>3319</v>
      </c>
      <c r="B734" t="s">
        <v>3320</v>
      </c>
      <c r="C734" s="1">
        <v>44270</v>
      </c>
      <c r="D734" s="1">
        <v>45003</v>
      </c>
      <c r="E734" t="s">
        <v>50</v>
      </c>
      <c r="F734" t="s">
        <v>34</v>
      </c>
      <c r="G734" t="s">
        <v>113</v>
      </c>
      <c r="H734" t="s">
        <v>67</v>
      </c>
      <c r="I734" t="s">
        <v>3321</v>
      </c>
      <c r="J734" t="s">
        <v>38</v>
      </c>
      <c r="K734" t="s">
        <v>39</v>
      </c>
      <c r="L734" t="s">
        <v>3322</v>
      </c>
      <c r="M734">
        <v>128.09</v>
      </c>
      <c r="N734">
        <v>39</v>
      </c>
      <c r="O734" t="s">
        <v>3323</v>
      </c>
      <c r="P734" t="s">
        <v>108</v>
      </c>
      <c r="Q734" t="s">
        <v>125</v>
      </c>
      <c r="R734" t="s">
        <v>152</v>
      </c>
      <c r="S734" t="s">
        <v>126</v>
      </c>
      <c r="T734" t="s">
        <v>545</v>
      </c>
      <c r="U734">
        <v>2572</v>
      </c>
      <c r="V734">
        <v>463</v>
      </c>
      <c r="W734">
        <v>28</v>
      </c>
      <c r="X734">
        <v>305.69</v>
      </c>
      <c r="Y734">
        <v>476.01</v>
      </c>
      <c r="Z734">
        <v>781.7</v>
      </c>
      <c r="AA734" t="s">
        <v>47</v>
      </c>
      <c r="AB734">
        <v>5</v>
      </c>
      <c r="AC734">
        <v>85.57</v>
      </c>
      <c r="AD734">
        <v>371</v>
      </c>
      <c r="AE734">
        <v>387</v>
      </c>
    </row>
    <row r="735" spans="1:31" x14ac:dyDescent="0.25">
      <c r="A735" t="s">
        <v>3324</v>
      </c>
      <c r="B735" t="s">
        <v>3325</v>
      </c>
      <c r="C735" s="1">
        <v>44538</v>
      </c>
      <c r="D735" s="1">
        <v>44330</v>
      </c>
      <c r="E735" t="s">
        <v>65</v>
      </c>
      <c r="F735" t="s">
        <v>77</v>
      </c>
      <c r="G735" t="s">
        <v>102</v>
      </c>
      <c r="H735" t="s">
        <v>163</v>
      </c>
      <c r="I735" t="s">
        <v>3326</v>
      </c>
      <c r="J735" t="s">
        <v>38</v>
      </c>
      <c r="K735" t="s">
        <v>39</v>
      </c>
      <c r="L735" t="s">
        <v>3327</v>
      </c>
      <c r="M735">
        <v>264.52999999999997</v>
      </c>
      <c r="N735">
        <v>19</v>
      </c>
      <c r="O735" t="s">
        <v>2762</v>
      </c>
      <c r="P735" t="s">
        <v>84</v>
      </c>
      <c r="Q735" t="s">
        <v>159</v>
      </c>
      <c r="R735" t="s">
        <v>152</v>
      </c>
      <c r="S735" t="s">
        <v>126</v>
      </c>
      <c r="T735" t="s">
        <v>738</v>
      </c>
      <c r="U735">
        <v>1522</v>
      </c>
      <c r="V735">
        <v>299</v>
      </c>
      <c r="W735">
        <v>6</v>
      </c>
      <c r="X735">
        <v>88.1</v>
      </c>
      <c r="Y735">
        <v>288.42</v>
      </c>
      <c r="Z735">
        <v>376.52</v>
      </c>
      <c r="AA735" t="s">
        <v>62</v>
      </c>
      <c r="AB735">
        <v>0</v>
      </c>
      <c r="AC735">
        <v>82.37</v>
      </c>
      <c r="AD735">
        <v>81</v>
      </c>
      <c r="AE735">
        <v>52</v>
      </c>
    </row>
    <row r="736" spans="1:31" x14ac:dyDescent="0.25">
      <c r="A736" t="s">
        <v>3328</v>
      </c>
      <c r="B736" t="s">
        <v>3329</v>
      </c>
      <c r="C736" s="1">
        <v>43968</v>
      </c>
      <c r="D736" s="1">
        <v>45091</v>
      </c>
      <c r="E736" t="s">
        <v>65</v>
      </c>
      <c r="F736" t="s">
        <v>77</v>
      </c>
      <c r="G736" t="s">
        <v>343</v>
      </c>
      <c r="H736" t="s">
        <v>36</v>
      </c>
      <c r="I736" t="s">
        <v>3330</v>
      </c>
      <c r="J736" t="s">
        <v>165</v>
      </c>
      <c r="K736" t="s">
        <v>166</v>
      </c>
      <c r="L736" t="s">
        <v>3331</v>
      </c>
      <c r="M736">
        <v>251.22</v>
      </c>
      <c r="N736">
        <v>23</v>
      </c>
      <c r="O736" t="s">
        <v>621</v>
      </c>
      <c r="P736" t="s">
        <v>108</v>
      </c>
      <c r="Q736" t="s">
        <v>109</v>
      </c>
      <c r="R736" t="s">
        <v>44</v>
      </c>
      <c r="S736" t="s">
        <v>45</v>
      </c>
      <c r="T736" t="s">
        <v>225</v>
      </c>
      <c r="U736">
        <v>548</v>
      </c>
      <c r="V736">
        <v>98</v>
      </c>
      <c r="W736">
        <v>29</v>
      </c>
      <c r="X736">
        <v>1407.31</v>
      </c>
      <c r="Y736">
        <v>181.74</v>
      </c>
      <c r="Z736">
        <v>1589.05</v>
      </c>
      <c r="AA736" t="s">
        <v>62</v>
      </c>
      <c r="AB736">
        <v>0</v>
      </c>
      <c r="AC736">
        <v>95.94</v>
      </c>
      <c r="AD736">
        <v>218</v>
      </c>
      <c r="AE736">
        <v>245</v>
      </c>
    </row>
    <row r="737" spans="1:31" x14ac:dyDescent="0.25">
      <c r="A737" t="s">
        <v>3332</v>
      </c>
      <c r="B737" t="s">
        <v>3333</v>
      </c>
      <c r="C737" s="1">
        <v>44506</v>
      </c>
      <c r="D737" s="1">
        <v>45455</v>
      </c>
      <c r="E737" t="s">
        <v>65</v>
      </c>
      <c r="F737" t="s">
        <v>77</v>
      </c>
      <c r="G737" t="s">
        <v>102</v>
      </c>
      <c r="H737" t="s">
        <v>163</v>
      </c>
      <c r="I737" t="s">
        <v>3334</v>
      </c>
      <c r="J737" t="s">
        <v>165</v>
      </c>
      <c r="K737" t="s">
        <v>166</v>
      </c>
      <c r="L737" t="s">
        <v>3335</v>
      </c>
      <c r="M737">
        <v>109.84</v>
      </c>
      <c r="N737">
        <v>58</v>
      </c>
      <c r="O737" t="s">
        <v>3336</v>
      </c>
      <c r="P737" t="s">
        <v>141</v>
      </c>
      <c r="Q737" t="s">
        <v>532</v>
      </c>
      <c r="R737" t="s">
        <v>44</v>
      </c>
      <c r="S737" t="s">
        <v>87</v>
      </c>
      <c r="T737" t="s">
        <v>160</v>
      </c>
      <c r="U737">
        <v>3221</v>
      </c>
      <c r="V737">
        <v>351</v>
      </c>
      <c r="W737">
        <v>9</v>
      </c>
      <c r="X737">
        <v>138.69999999999999</v>
      </c>
      <c r="Y737">
        <v>153.74</v>
      </c>
      <c r="Z737">
        <v>292.44</v>
      </c>
      <c r="AA737" t="s">
        <v>62</v>
      </c>
      <c r="AB737">
        <v>0</v>
      </c>
      <c r="AC737">
        <v>82.81</v>
      </c>
      <c r="AD737">
        <v>422</v>
      </c>
      <c r="AE737">
        <v>378</v>
      </c>
    </row>
    <row r="738" spans="1:31" x14ac:dyDescent="0.25">
      <c r="A738" t="s">
        <v>3337</v>
      </c>
      <c r="B738" t="s">
        <v>3338</v>
      </c>
      <c r="C738" s="1">
        <v>44595</v>
      </c>
      <c r="D738" s="1">
        <v>45641</v>
      </c>
      <c r="E738" t="s">
        <v>65</v>
      </c>
      <c r="F738" t="s">
        <v>34</v>
      </c>
      <c r="G738" t="s">
        <v>66</v>
      </c>
      <c r="H738" t="s">
        <v>53</v>
      </c>
      <c r="I738" t="s">
        <v>3339</v>
      </c>
      <c r="J738" t="s">
        <v>165</v>
      </c>
      <c r="K738" t="s">
        <v>166</v>
      </c>
      <c r="L738" t="s">
        <v>3340</v>
      </c>
      <c r="M738">
        <v>322.3</v>
      </c>
      <c r="N738">
        <v>12</v>
      </c>
      <c r="O738" t="s">
        <v>216</v>
      </c>
      <c r="P738" t="s">
        <v>58</v>
      </c>
      <c r="Q738" t="s">
        <v>377</v>
      </c>
      <c r="R738" t="s">
        <v>152</v>
      </c>
      <c r="S738" t="s">
        <v>45</v>
      </c>
      <c r="T738" t="s">
        <v>321</v>
      </c>
      <c r="U738">
        <v>426</v>
      </c>
      <c r="V738">
        <v>153</v>
      </c>
      <c r="W738">
        <v>5</v>
      </c>
      <c r="X738">
        <v>671.13</v>
      </c>
      <c r="Y738">
        <v>219.86</v>
      </c>
      <c r="Z738">
        <v>890.99</v>
      </c>
      <c r="AA738" t="s">
        <v>62</v>
      </c>
      <c r="AB738">
        <v>0</v>
      </c>
      <c r="AC738">
        <v>75.790000000000006</v>
      </c>
      <c r="AD738">
        <v>497</v>
      </c>
      <c r="AE738">
        <v>492</v>
      </c>
    </row>
    <row r="739" spans="1:31" x14ac:dyDescent="0.25">
      <c r="A739" t="s">
        <v>3341</v>
      </c>
      <c r="B739" t="s">
        <v>3342</v>
      </c>
      <c r="C739" s="1">
        <v>43916</v>
      </c>
      <c r="D739" s="1">
        <v>44363</v>
      </c>
      <c r="E739" t="s">
        <v>65</v>
      </c>
      <c r="F739" t="s">
        <v>51</v>
      </c>
      <c r="G739" t="s">
        <v>78</v>
      </c>
      <c r="H739" t="s">
        <v>53</v>
      </c>
      <c r="I739" t="s">
        <v>3343</v>
      </c>
      <c r="J739" t="s">
        <v>104</v>
      </c>
      <c r="K739" t="s">
        <v>105</v>
      </c>
      <c r="L739" t="s">
        <v>3344</v>
      </c>
      <c r="M739">
        <v>33.6</v>
      </c>
      <c r="N739">
        <v>6</v>
      </c>
      <c r="O739" t="s">
        <v>3345</v>
      </c>
      <c r="P739" t="s">
        <v>42</v>
      </c>
      <c r="Q739" t="s">
        <v>532</v>
      </c>
      <c r="R739" t="s">
        <v>60</v>
      </c>
      <c r="S739" t="s">
        <v>45</v>
      </c>
      <c r="T739" t="s">
        <v>119</v>
      </c>
      <c r="U739">
        <v>3815</v>
      </c>
      <c r="V739">
        <v>195</v>
      </c>
      <c r="W739">
        <v>18</v>
      </c>
      <c r="X739">
        <v>114.27</v>
      </c>
      <c r="Y739">
        <v>419.71</v>
      </c>
      <c r="Z739">
        <v>533.98</v>
      </c>
      <c r="AA739" t="s">
        <v>62</v>
      </c>
      <c r="AB739">
        <v>0</v>
      </c>
      <c r="AC739">
        <v>90.65</v>
      </c>
      <c r="AD739">
        <v>357</v>
      </c>
      <c r="AE739">
        <v>371</v>
      </c>
    </row>
    <row r="740" spans="1:31" x14ac:dyDescent="0.25">
      <c r="A740" t="s">
        <v>3346</v>
      </c>
      <c r="B740" t="s">
        <v>3347</v>
      </c>
      <c r="C740" s="1">
        <v>44928</v>
      </c>
      <c r="D740" s="1">
        <v>44146</v>
      </c>
      <c r="E740" t="s">
        <v>65</v>
      </c>
      <c r="F740" t="s">
        <v>77</v>
      </c>
      <c r="G740" t="s">
        <v>113</v>
      </c>
      <c r="H740" t="s">
        <v>163</v>
      </c>
      <c r="I740" t="s">
        <v>3348</v>
      </c>
      <c r="J740" t="s">
        <v>104</v>
      </c>
      <c r="K740" t="s">
        <v>105</v>
      </c>
      <c r="L740" t="s">
        <v>3349</v>
      </c>
      <c r="M740">
        <v>361.76</v>
      </c>
      <c r="N740">
        <v>1</v>
      </c>
      <c r="O740" t="s">
        <v>2096</v>
      </c>
      <c r="P740" t="s">
        <v>42</v>
      </c>
      <c r="Q740" t="s">
        <v>238</v>
      </c>
      <c r="R740" t="s">
        <v>44</v>
      </c>
      <c r="S740" t="s">
        <v>98</v>
      </c>
      <c r="T740" t="s">
        <v>160</v>
      </c>
      <c r="U740">
        <v>1440</v>
      </c>
      <c r="V740">
        <v>384</v>
      </c>
      <c r="W740">
        <v>4</v>
      </c>
      <c r="X740">
        <v>781.84</v>
      </c>
      <c r="Y740">
        <v>454.11</v>
      </c>
      <c r="Z740">
        <v>1235.95</v>
      </c>
      <c r="AA740" t="s">
        <v>62</v>
      </c>
      <c r="AB740">
        <v>0</v>
      </c>
      <c r="AC740">
        <v>82.89</v>
      </c>
      <c r="AD740">
        <v>428</v>
      </c>
      <c r="AE740">
        <v>477</v>
      </c>
    </row>
    <row r="741" spans="1:31" x14ac:dyDescent="0.25">
      <c r="A741" t="s">
        <v>3350</v>
      </c>
      <c r="B741" t="s">
        <v>3351</v>
      </c>
      <c r="C741" s="1">
        <v>45568</v>
      </c>
      <c r="D741" s="1">
        <v>44860</v>
      </c>
      <c r="E741" t="s">
        <v>50</v>
      </c>
      <c r="F741" t="s">
        <v>34</v>
      </c>
      <c r="G741" t="s">
        <v>35</v>
      </c>
      <c r="H741" t="s">
        <v>67</v>
      </c>
      <c r="I741" t="s">
        <v>3352</v>
      </c>
      <c r="J741" t="s">
        <v>104</v>
      </c>
      <c r="K741" t="s">
        <v>554</v>
      </c>
      <c r="L741" t="s">
        <v>3353</v>
      </c>
      <c r="M741">
        <v>424.26</v>
      </c>
      <c r="N741">
        <v>27</v>
      </c>
      <c r="O741" t="s">
        <v>265</v>
      </c>
      <c r="P741" t="s">
        <v>108</v>
      </c>
      <c r="Q741" t="s">
        <v>425</v>
      </c>
      <c r="R741" t="s">
        <v>86</v>
      </c>
      <c r="S741" t="s">
        <v>87</v>
      </c>
      <c r="T741" t="s">
        <v>1038</v>
      </c>
      <c r="U741">
        <v>1293</v>
      </c>
      <c r="V741">
        <v>456</v>
      </c>
      <c r="W741">
        <v>16</v>
      </c>
      <c r="X741">
        <v>1830.9</v>
      </c>
      <c r="Y741">
        <v>282.63</v>
      </c>
      <c r="Z741">
        <v>2113.5300000000002</v>
      </c>
      <c r="AA741" t="s">
        <v>62</v>
      </c>
      <c r="AB741">
        <v>0</v>
      </c>
      <c r="AC741">
        <v>83.49</v>
      </c>
      <c r="AD741">
        <v>206</v>
      </c>
      <c r="AE741">
        <v>159</v>
      </c>
    </row>
    <row r="742" spans="1:31" x14ac:dyDescent="0.25">
      <c r="A742" t="s">
        <v>3354</v>
      </c>
      <c r="B742" t="s">
        <v>3355</v>
      </c>
      <c r="C742" s="1">
        <v>45572</v>
      </c>
      <c r="D742" s="1">
        <v>45398</v>
      </c>
      <c r="E742" t="s">
        <v>50</v>
      </c>
      <c r="F742" t="s">
        <v>34</v>
      </c>
      <c r="G742" t="s">
        <v>343</v>
      </c>
      <c r="H742" t="s">
        <v>147</v>
      </c>
      <c r="I742" t="s">
        <v>3356</v>
      </c>
      <c r="J742" t="s">
        <v>38</v>
      </c>
      <c r="K742" t="s">
        <v>94</v>
      </c>
      <c r="L742" t="s">
        <v>3357</v>
      </c>
      <c r="M742">
        <v>358.62</v>
      </c>
      <c r="N742">
        <v>63</v>
      </c>
      <c r="O742" t="s">
        <v>561</v>
      </c>
      <c r="P742" t="s">
        <v>108</v>
      </c>
      <c r="Q742" t="s">
        <v>532</v>
      </c>
      <c r="R742" t="s">
        <v>60</v>
      </c>
      <c r="S742" t="s">
        <v>98</v>
      </c>
      <c r="T742" t="s">
        <v>88</v>
      </c>
      <c r="U742">
        <v>153</v>
      </c>
      <c r="V742">
        <v>317</v>
      </c>
      <c r="W742">
        <v>17</v>
      </c>
      <c r="X742">
        <v>1258.8499999999999</v>
      </c>
      <c r="Y742">
        <v>490.03</v>
      </c>
      <c r="Z742">
        <v>1748.88</v>
      </c>
      <c r="AA742" t="s">
        <v>62</v>
      </c>
      <c r="AB742">
        <v>0</v>
      </c>
      <c r="AC742">
        <v>73.05</v>
      </c>
      <c r="AD742">
        <v>170</v>
      </c>
      <c r="AE742">
        <v>153</v>
      </c>
    </row>
    <row r="743" spans="1:31" x14ac:dyDescent="0.25">
      <c r="A743" t="s">
        <v>3358</v>
      </c>
      <c r="B743" t="s">
        <v>3359</v>
      </c>
      <c r="C743" s="1">
        <v>45151</v>
      </c>
      <c r="D743" s="1">
        <v>44964</v>
      </c>
      <c r="E743" t="s">
        <v>50</v>
      </c>
      <c r="F743" t="s">
        <v>146</v>
      </c>
      <c r="G743" t="s">
        <v>343</v>
      </c>
      <c r="H743" t="s">
        <v>53</v>
      </c>
      <c r="I743" t="s">
        <v>3119</v>
      </c>
      <c r="J743" t="s">
        <v>38</v>
      </c>
      <c r="K743" t="s">
        <v>55</v>
      </c>
      <c r="L743" t="s">
        <v>3120</v>
      </c>
      <c r="M743">
        <v>458.08</v>
      </c>
      <c r="N743">
        <v>55</v>
      </c>
      <c r="O743" t="s">
        <v>3360</v>
      </c>
      <c r="P743" t="s">
        <v>141</v>
      </c>
      <c r="Q743" t="s">
        <v>43</v>
      </c>
      <c r="R743" t="s">
        <v>152</v>
      </c>
      <c r="S743" t="s">
        <v>73</v>
      </c>
      <c r="T743" t="s">
        <v>246</v>
      </c>
      <c r="U743">
        <v>4437</v>
      </c>
      <c r="V743">
        <v>438</v>
      </c>
      <c r="W743">
        <v>2</v>
      </c>
      <c r="X743">
        <v>836.57</v>
      </c>
      <c r="Y743">
        <v>341.12</v>
      </c>
      <c r="Z743">
        <v>1177.69</v>
      </c>
      <c r="AA743" t="s">
        <v>62</v>
      </c>
      <c r="AB743">
        <v>0</v>
      </c>
      <c r="AC743">
        <v>72.27</v>
      </c>
      <c r="AD743">
        <v>116</v>
      </c>
      <c r="AE743">
        <v>133</v>
      </c>
    </row>
    <row r="744" spans="1:31" x14ac:dyDescent="0.25">
      <c r="A744" t="s">
        <v>3361</v>
      </c>
      <c r="B744" t="s">
        <v>3362</v>
      </c>
      <c r="C744" s="1">
        <v>44803</v>
      </c>
      <c r="D744" s="1">
        <v>44519</v>
      </c>
      <c r="E744" t="s">
        <v>65</v>
      </c>
      <c r="F744" t="s">
        <v>146</v>
      </c>
      <c r="G744" t="s">
        <v>102</v>
      </c>
      <c r="H744" t="s">
        <v>221</v>
      </c>
      <c r="I744" t="s">
        <v>3363</v>
      </c>
      <c r="J744" t="s">
        <v>38</v>
      </c>
      <c r="K744" t="s">
        <v>55</v>
      </c>
      <c r="L744" t="s">
        <v>3364</v>
      </c>
      <c r="M744">
        <v>53.36</v>
      </c>
      <c r="N744">
        <v>84</v>
      </c>
      <c r="O744" t="s">
        <v>1486</v>
      </c>
      <c r="P744" t="s">
        <v>84</v>
      </c>
      <c r="Q744" t="s">
        <v>72</v>
      </c>
      <c r="R744" t="s">
        <v>44</v>
      </c>
      <c r="S744" t="s">
        <v>45</v>
      </c>
      <c r="T744" t="s">
        <v>910</v>
      </c>
      <c r="U744">
        <v>4959</v>
      </c>
      <c r="V744">
        <v>63</v>
      </c>
      <c r="W744">
        <v>7</v>
      </c>
      <c r="X744">
        <v>1828.81</v>
      </c>
      <c r="Y744">
        <v>127.38</v>
      </c>
      <c r="Z744">
        <v>1956.19</v>
      </c>
      <c r="AA744" t="s">
        <v>62</v>
      </c>
      <c r="AB744">
        <v>0</v>
      </c>
      <c r="AC744">
        <v>86.36</v>
      </c>
      <c r="AD744">
        <v>425</v>
      </c>
      <c r="AE744">
        <v>443</v>
      </c>
    </row>
    <row r="745" spans="1:31" x14ac:dyDescent="0.25">
      <c r="A745" t="s">
        <v>3365</v>
      </c>
      <c r="B745" t="s">
        <v>3366</v>
      </c>
      <c r="C745" s="1">
        <v>44124</v>
      </c>
      <c r="D745" s="1">
        <v>45219</v>
      </c>
      <c r="E745" t="s">
        <v>65</v>
      </c>
      <c r="F745" t="s">
        <v>34</v>
      </c>
      <c r="G745" t="s">
        <v>78</v>
      </c>
      <c r="H745" t="s">
        <v>36</v>
      </c>
      <c r="I745" t="s">
        <v>1022</v>
      </c>
      <c r="J745" t="s">
        <v>38</v>
      </c>
      <c r="K745" t="s">
        <v>138</v>
      </c>
      <c r="L745" t="s">
        <v>1023</v>
      </c>
      <c r="M745">
        <v>487.95</v>
      </c>
      <c r="N745">
        <v>93</v>
      </c>
      <c r="O745" t="s">
        <v>2569</v>
      </c>
      <c r="P745" t="s">
        <v>58</v>
      </c>
      <c r="Q745" t="s">
        <v>169</v>
      </c>
      <c r="R745" t="s">
        <v>44</v>
      </c>
      <c r="S745" t="s">
        <v>126</v>
      </c>
      <c r="T745" t="s">
        <v>177</v>
      </c>
      <c r="U745">
        <v>398</v>
      </c>
      <c r="V745">
        <v>374</v>
      </c>
      <c r="W745">
        <v>3</v>
      </c>
      <c r="X745">
        <v>1447.69</v>
      </c>
      <c r="Y745">
        <v>468.76</v>
      </c>
      <c r="Z745">
        <v>1916.45</v>
      </c>
      <c r="AA745" t="s">
        <v>62</v>
      </c>
      <c r="AB745">
        <v>0</v>
      </c>
      <c r="AC745">
        <v>74.150000000000006</v>
      </c>
      <c r="AD745">
        <v>460</v>
      </c>
      <c r="AE745">
        <v>501</v>
      </c>
    </row>
    <row r="746" spans="1:31" x14ac:dyDescent="0.25">
      <c r="A746" t="s">
        <v>3367</v>
      </c>
      <c r="B746" t="s">
        <v>3368</v>
      </c>
      <c r="C746" s="1">
        <v>44936</v>
      </c>
      <c r="D746" s="1">
        <v>44489</v>
      </c>
      <c r="E746" t="s">
        <v>50</v>
      </c>
      <c r="F746" t="s">
        <v>34</v>
      </c>
      <c r="G746" t="s">
        <v>35</v>
      </c>
      <c r="H746" t="s">
        <v>79</v>
      </c>
      <c r="I746" t="s">
        <v>2373</v>
      </c>
      <c r="J746" t="s">
        <v>38</v>
      </c>
      <c r="K746" t="s">
        <v>39</v>
      </c>
      <c r="L746" t="s">
        <v>2374</v>
      </c>
      <c r="M746">
        <v>461.8</v>
      </c>
      <c r="N746">
        <v>79</v>
      </c>
      <c r="O746" t="s">
        <v>3369</v>
      </c>
      <c r="P746" t="s">
        <v>58</v>
      </c>
      <c r="Q746" t="s">
        <v>377</v>
      </c>
      <c r="R746" t="s">
        <v>86</v>
      </c>
      <c r="S746" t="s">
        <v>98</v>
      </c>
      <c r="T746" t="s">
        <v>419</v>
      </c>
      <c r="U746">
        <v>3308</v>
      </c>
      <c r="V746">
        <v>376</v>
      </c>
      <c r="W746">
        <v>21</v>
      </c>
      <c r="X746">
        <v>92.08</v>
      </c>
      <c r="Y746">
        <v>262.56</v>
      </c>
      <c r="Z746">
        <v>354.64</v>
      </c>
      <c r="AA746" t="s">
        <v>62</v>
      </c>
      <c r="AB746">
        <v>0</v>
      </c>
      <c r="AC746">
        <v>73.86</v>
      </c>
      <c r="AD746">
        <v>85</v>
      </c>
      <c r="AE746">
        <v>122</v>
      </c>
    </row>
    <row r="747" spans="1:31" x14ac:dyDescent="0.25">
      <c r="A747" t="s">
        <v>3370</v>
      </c>
      <c r="B747" t="s">
        <v>3371</v>
      </c>
      <c r="C747" s="1">
        <v>44060</v>
      </c>
      <c r="D747" s="1">
        <v>45117</v>
      </c>
      <c r="E747" t="s">
        <v>65</v>
      </c>
      <c r="F747" t="s">
        <v>34</v>
      </c>
      <c r="G747" t="s">
        <v>66</v>
      </c>
      <c r="H747" t="s">
        <v>163</v>
      </c>
      <c r="I747" t="s">
        <v>498</v>
      </c>
      <c r="J747" t="s">
        <v>38</v>
      </c>
      <c r="K747" t="s">
        <v>39</v>
      </c>
      <c r="L747" t="s">
        <v>499</v>
      </c>
      <c r="M747">
        <v>335.21</v>
      </c>
      <c r="N747">
        <v>32</v>
      </c>
      <c r="O747" t="s">
        <v>258</v>
      </c>
      <c r="P747" t="s">
        <v>42</v>
      </c>
      <c r="Q747" t="s">
        <v>532</v>
      </c>
      <c r="R747" t="s">
        <v>86</v>
      </c>
      <c r="S747" t="s">
        <v>98</v>
      </c>
      <c r="T747" t="s">
        <v>160</v>
      </c>
      <c r="U747">
        <v>2668</v>
      </c>
      <c r="V747">
        <v>142</v>
      </c>
      <c r="W747">
        <v>13</v>
      </c>
      <c r="X747">
        <v>910.99</v>
      </c>
      <c r="Y747">
        <v>137.4</v>
      </c>
      <c r="Z747">
        <v>1048.3900000000001</v>
      </c>
      <c r="AA747" t="s">
        <v>62</v>
      </c>
      <c r="AB747">
        <v>0</v>
      </c>
      <c r="AC747">
        <v>75.069999999999993</v>
      </c>
      <c r="AD747">
        <v>407</v>
      </c>
      <c r="AE747">
        <v>378</v>
      </c>
    </row>
    <row r="748" spans="1:31" x14ac:dyDescent="0.25">
      <c r="A748" t="s">
        <v>3372</v>
      </c>
      <c r="B748" t="s">
        <v>3373</v>
      </c>
      <c r="C748" s="1">
        <v>44669</v>
      </c>
      <c r="D748" s="1">
        <v>44439</v>
      </c>
      <c r="E748" t="s">
        <v>50</v>
      </c>
      <c r="F748" t="s">
        <v>77</v>
      </c>
      <c r="G748" t="s">
        <v>343</v>
      </c>
      <c r="H748" t="s">
        <v>67</v>
      </c>
      <c r="I748" t="s">
        <v>2251</v>
      </c>
      <c r="J748" t="s">
        <v>38</v>
      </c>
      <c r="K748" t="s">
        <v>81</v>
      </c>
      <c r="L748" t="s">
        <v>2252</v>
      </c>
      <c r="M748">
        <v>431.66</v>
      </c>
      <c r="N748">
        <v>91</v>
      </c>
      <c r="O748" t="s">
        <v>1675</v>
      </c>
      <c r="P748" t="s">
        <v>141</v>
      </c>
      <c r="Q748" t="s">
        <v>97</v>
      </c>
      <c r="R748" t="s">
        <v>86</v>
      </c>
      <c r="S748" t="s">
        <v>87</v>
      </c>
      <c r="T748" t="s">
        <v>239</v>
      </c>
      <c r="U748">
        <v>4277</v>
      </c>
      <c r="V748">
        <v>461</v>
      </c>
      <c r="W748">
        <v>15</v>
      </c>
      <c r="X748">
        <v>1548.87</v>
      </c>
      <c r="Y748">
        <v>363.11</v>
      </c>
      <c r="Z748">
        <v>1911.98</v>
      </c>
      <c r="AA748" t="s">
        <v>62</v>
      </c>
      <c r="AB748">
        <v>0</v>
      </c>
      <c r="AC748">
        <v>84.44</v>
      </c>
      <c r="AD748">
        <v>442</v>
      </c>
      <c r="AE748">
        <v>426</v>
      </c>
    </row>
    <row r="749" spans="1:31" x14ac:dyDescent="0.25">
      <c r="A749" t="s">
        <v>3374</v>
      </c>
      <c r="B749" t="s">
        <v>828</v>
      </c>
      <c r="C749" s="1">
        <v>44529</v>
      </c>
      <c r="D749" s="1">
        <v>44454</v>
      </c>
      <c r="E749" t="s">
        <v>65</v>
      </c>
      <c r="F749" t="s">
        <v>51</v>
      </c>
      <c r="G749" t="s">
        <v>343</v>
      </c>
      <c r="H749" t="s">
        <v>221</v>
      </c>
      <c r="I749" t="s">
        <v>3375</v>
      </c>
      <c r="J749" t="s">
        <v>165</v>
      </c>
      <c r="K749" t="s">
        <v>202</v>
      </c>
      <c r="L749" t="s">
        <v>3376</v>
      </c>
      <c r="M749">
        <v>368.67</v>
      </c>
      <c r="N749">
        <v>49</v>
      </c>
      <c r="O749" t="s">
        <v>2852</v>
      </c>
      <c r="P749" t="s">
        <v>108</v>
      </c>
      <c r="Q749" t="s">
        <v>491</v>
      </c>
      <c r="R749" t="s">
        <v>44</v>
      </c>
      <c r="S749" t="s">
        <v>98</v>
      </c>
      <c r="T749" t="s">
        <v>409</v>
      </c>
      <c r="U749">
        <v>2691</v>
      </c>
      <c r="V749">
        <v>74</v>
      </c>
      <c r="W749">
        <v>4</v>
      </c>
      <c r="X749">
        <v>566.82000000000005</v>
      </c>
      <c r="Y749">
        <v>369.7</v>
      </c>
      <c r="Z749">
        <v>936.52</v>
      </c>
      <c r="AA749" t="s">
        <v>62</v>
      </c>
      <c r="AB749">
        <v>0</v>
      </c>
      <c r="AC749">
        <v>97.16</v>
      </c>
      <c r="AD749">
        <v>459</v>
      </c>
      <c r="AE749">
        <v>489</v>
      </c>
    </row>
    <row r="750" spans="1:31" x14ac:dyDescent="0.25">
      <c r="A750" t="s">
        <v>3377</v>
      </c>
      <c r="B750" t="s">
        <v>3378</v>
      </c>
      <c r="C750" s="1">
        <v>44646</v>
      </c>
      <c r="D750" s="1">
        <v>44789</v>
      </c>
      <c r="E750" t="s">
        <v>65</v>
      </c>
      <c r="F750" t="s">
        <v>91</v>
      </c>
      <c r="G750" t="s">
        <v>92</v>
      </c>
      <c r="H750" t="s">
        <v>114</v>
      </c>
      <c r="I750" t="s">
        <v>3379</v>
      </c>
      <c r="J750" t="s">
        <v>165</v>
      </c>
      <c r="K750" t="s">
        <v>166</v>
      </c>
      <c r="L750" t="s">
        <v>3380</v>
      </c>
      <c r="M750">
        <v>412.17</v>
      </c>
      <c r="N750">
        <v>81</v>
      </c>
      <c r="O750" t="s">
        <v>3381</v>
      </c>
      <c r="P750" t="s">
        <v>141</v>
      </c>
      <c r="Q750" t="s">
        <v>544</v>
      </c>
      <c r="R750" t="s">
        <v>86</v>
      </c>
      <c r="S750" t="s">
        <v>98</v>
      </c>
      <c r="T750" t="s">
        <v>721</v>
      </c>
      <c r="U750">
        <v>2668</v>
      </c>
      <c r="V750">
        <v>341</v>
      </c>
      <c r="W750">
        <v>16</v>
      </c>
      <c r="X750">
        <v>756.15</v>
      </c>
      <c r="Y750">
        <v>469.87</v>
      </c>
      <c r="Z750">
        <v>1226.02</v>
      </c>
      <c r="AA750" t="s">
        <v>62</v>
      </c>
      <c r="AB750">
        <v>0</v>
      </c>
      <c r="AC750">
        <v>77.489999999999995</v>
      </c>
      <c r="AD750">
        <v>308</v>
      </c>
      <c r="AE750">
        <v>283</v>
      </c>
    </row>
    <row r="751" spans="1:31" x14ac:dyDescent="0.25">
      <c r="A751" t="s">
        <v>3382</v>
      </c>
      <c r="B751" t="s">
        <v>3383</v>
      </c>
      <c r="C751" s="1">
        <v>45454</v>
      </c>
      <c r="D751" s="1">
        <v>44321</v>
      </c>
      <c r="E751" t="s">
        <v>65</v>
      </c>
      <c r="F751" t="s">
        <v>77</v>
      </c>
      <c r="G751" t="s">
        <v>113</v>
      </c>
      <c r="H751" t="s">
        <v>67</v>
      </c>
      <c r="I751" t="s">
        <v>3384</v>
      </c>
      <c r="J751" t="s">
        <v>104</v>
      </c>
      <c r="K751" t="s">
        <v>554</v>
      </c>
      <c r="L751" t="s">
        <v>3385</v>
      </c>
      <c r="M751">
        <v>26.47</v>
      </c>
      <c r="N751">
        <v>56</v>
      </c>
      <c r="O751" t="s">
        <v>3386</v>
      </c>
      <c r="P751" t="s">
        <v>58</v>
      </c>
      <c r="Q751" t="s">
        <v>238</v>
      </c>
      <c r="R751" t="s">
        <v>86</v>
      </c>
      <c r="S751" t="s">
        <v>126</v>
      </c>
      <c r="T751" t="s">
        <v>314</v>
      </c>
      <c r="U751">
        <v>1915</v>
      </c>
      <c r="V751">
        <v>466</v>
      </c>
      <c r="W751">
        <v>2</v>
      </c>
      <c r="X751">
        <v>272.56</v>
      </c>
      <c r="Y751">
        <v>309.7</v>
      </c>
      <c r="Z751">
        <v>582.26</v>
      </c>
      <c r="AA751" t="s">
        <v>62</v>
      </c>
      <c r="AB751">
        <v>0</v>
      </c>
      <c r="AC751">
        <v>79.75</v>
      </c>
      <c r="AD751">
        <v>453</v>
      </c>
      <c r="AE751">
        <v>443</v>
      </c>
    </row>
    <row r="752" spans="1:31" x14ac:dyDescent="0.25">
      <c r="A752" t="s">
        <v>3387</v>
      </c>
      <c r="B752" t="s">
        <v>3388</v>
      </c>
      <c r="C752" s="1">
        <v>45553</v>
      </c>
      <c r="D752" s="1">
        <v>45047</v>
      </c>
      <c r="E752" t="s">
        <v>50</v>
      </c>
      <c r="F752" t="s">
        <v>34</v>
      </c>
      <c r="G752" t="s">
        <v>113</v>
      </c>
      <c r="H752" t="s">
        <v>67</v>
      </c>
      <c r="I752" t="s">
        <v>3389</v>
      </c>
      <c r="J752" t="s">
        <v>104</v>
      </c>
      <c r="K752" t="s">
        <v>181</v>
      </c>
      <c r="L752" t="s">
        <v>3390</v>
      </c>
      <c r="M752">
        <v>368.36</v>
      </c>
      <c r="N752">
        <v>70</v>
      </c>
      <c r="O752" t="s">
        <v>2635</v>
      </c>
      <c r="P752" t="s">
        <v>108</v>
      </c>
      <c r="Q752" t="s">
        <v>118</v>
      </c>
      <c r="R752" t="s">
        <v>152</v>
      </c>
      <c r="S752" t="s">
        <v>126</v>
      </c>
      <c r="T752" t="s">
        <v>922</v>
      </c>
      <c r="U752">
        <v>1577</v>
      </c>
      <c r="V752">
        <v>61</v>
      </c>
      <c r="W752">
        <v>12</v>
      </c>
      <c r="X752">
        <v>797.96</v>
      </c>
      <c r="Y752">
        <v>35.03</v>
      </c>
      <c r="Z752">
        <v>832.99</v>
      </c>
      <c r="AA752" t="s">
        <v>62</v>
      </c>
      <c r="AB752">
        <v>0</v>
      </c>
      <c r="AC752">
        <v>77.069999999999993</v>
      </c>
      <c r="AD752">
        <v>97</v>
      </c>
      <c r="AE752">
        <v>120</v>
      </c>
    </row>
    <row r="753" spans="1:31" x14ac:dyDescent="0.25">
      <c r="A753" t="s">
        <v>3391</v>
      </c>
      <c r="B753" t="s">
        <v>3392</v>
      </c>
      <c r="C753" s="1">
        <v>45299</v>
      </c>
      <c r="D753" s="1">
        <v>45292</v>
      </c>
      <c r="E753" t="s">
        <v>50</v>
      </c>
      <c r="F753" t="s">
        <v>34</v>
      </c>
      <c r="G753" t="s">
        <v>92</v>
      </c>
      <c r="H753" t="s">
        <v>79</v>
      </c>
      <c r="I753" t="s">
        <v>3393</v>
      </c>
      <c r="J753" t="s">
        <v>38</v>
      </c>
      <c r="K753" t="s">
        <v>338</v>
      </c>
      <c r="L753" t="s">
        <v>3394</v>
      </c>
      <c r="M753">
        <v>387.21</v>
      </c>
      <c r="N753">
        <v>74</v>
      </c>
      <c r="O753" t="s">
        <v>1816</v>
      </c>
      <c r="P753" t="s">
        <v>84</v>
      </c>
      <c r="Q753" t="s">
        <v>133</v>
      </c>
      <c r="R753" t="s">
        <v>152</v>
      </c>
      <c r="S753" t="s">
        <v>73</v>
      </c>
      <c r="T753" t="s">
        <v>296</v>
      </c>
      <c r="U753">
        <v>4182</v>
      </c>
      <c r="V753">
        <v>166</v>
      </c>
      <c r="W753">
        <v>24</v>
      </c>
      <c r="X753">
        <v>361.64</v>
      </c>
      <c r="Y753">
        <v>140.94</v>
      </c>
      <c r="Z753">
        <v>502.58</v>
      </c>
      <c r="AA753" t="s">
        <v>62</v>
      </c>
      <c r="AB753">
        <v>0</v>
      </c>
      <c r="AC753">
        <v>70.56</v>
      </c>
      <c r="AD753">
        <v>232</v>
      </c>
      <c r="AE753">
        <v>188</v>
      </c>
    </row>
    <row r="754" spans="1:31" x14ac:dyDescent="0.25">
      <c r="A754" t="s">
        <v>3395</v>
      </c>
      <c r="B754" t="s">
        <v>3396</v>
      </c>
      <c r="C754" s="1">
        <v>44633</v>
      </c>
      <c r="D754" s="1">
        <v>44265</v>
      </c>
      <c r="E754" t="s">
        <v>65</v>
      </c>
      <c r="F754" t="s">
        <v>51</v>
      </c>
      <c r="G754" t="s">
        <v>92</v>
      </c>
      <c r="H754" t="s">
        <v>163</v>
      </c>
      <c r="I754" t="s">
        <v>993</v>
      </c>
      <c r="J754" t="s">
        <v>38</v>
      </c>
      <c r="K754" t="s">
        <v>94</v>
      </c>
      <c r="L754" t="s">
        <v>994</v>
      </c>
      <c r="M754">
        <v>200.29</v>
      </c>
      <c r="N754">
        <v>36</v>
      </c>
      <c r="O754" t="s">
        <v>3397</v>
      </c>
      <c r="P754" t="s">
        <v>108</v>
      </c>
      <c r="Q754" t="s">
        <v>184</v>
      </c>
      <c r="R754" t="s">
        <v>152</v>
      </c>
      <c r="S754" t="s">
        <v>98</v>
      </c>
      <c r="T754" t="s">
        <v>371</v>
      </c>
      <c r="U754">
        <v>3758</v>
      </c>
      <c r="V754">
        <v>335</v>
      </c>
      <c r="W754">
        <v>29</v>
      </c>
      <c r="X754">
        <v>810.91</v>
      </c>
      <c r="Y754">
        <v>269.94</v>
      </c>
      <c r="Z754">
        <v>1080.8499999999999</v>
      </c>
      <c r="AA754" t="s">
        <v>47</v>
      </c>
      <c r="AB754">
        <v>1</v>
      </c>
      <c r="AC754">
        <v>98.38</v>
      </c>
      <c r="AD754">
        <v>321</v>
      </c>
      <c r="AE754">
        <v>292</v>
      </c>
    </row>
    <row r="755" spans="1:31" x14ac:dyDescent="0.25">
      <c r="A755" t="s">
        <v>3398</v>
      </c>
      <c r="B755" t="s">
        <v>3399</v>
      </c>
      <c r="C755" s="1">
        <v>44558</v>
      </c>
      <c r="D755" s="1">
        <v>44225</v>
      </c>
      <c r="E755" t="s">
        <v>65</v>
      </c>
      <c r="F755" t="s">
        <v>146</v>
      </c>
      <c r="G755" t="s">
        <v>52</v>
      </c>
      <c r="H755" t="s">
        <v>147</v>
      </c>
      <c r="I755" t="s">
        <v>3400</v>
      </c>
      <c r="J755" t="s">
        <v>38</v>
      </c>
      <c r="K755" t="s">
        <v>94</v>
      </c>
      <c r="L755" t="s">
        <v>3401</v>
      </c>
      <c r="M755">
        <v>120.06</v>
      </c>
      <c r="N755">
        <v>1</v>
      </c>
      <c r="O755" t="s">
        <v>3002</v>
      </c>
      <c r="P755" t="s">
        <v>42</v>
      </c>
      <c r="Q755" t="s">
        <v>377</v>
      </c>
      <c r="R755" t="s">
        <v>60</v>
      </c>
      <c r="S755" t="s">
        <v>45</v>
      </c>
      <c r="T755" t="s">
        <v>192</v>
      </c>
      <c r="U755">
        <v>231</v>
      </c>
      <c r="V755">
        <v>238</v>
      </c>
      <c r="W755">
        <v>4</v>
      </c>
      <c r="X755">
        <v>1761.25</v>
      </c>
      <c r="Y755">
        <v>484.39</v>
      </c>
      <c r="Z755">
        <v>2245.64</v>
      </c>
      <c r="AA755" t="s">
        <v>62</v>
      </c>
      <c r="AB755">
        <v>0</v>
      </c>
      <c r="AC755">
        <v>84.67</v>
      </c>
      <c r="AD755">
        <v>244</v>
      </c>
      <c r="AE755">
        <v>198</v>
      </c>
    </row>
    <row r="756" spans="1:31" x14ac:dyDescent="0.25">
      <c r="A756" t="s">
        <v>3402</v>
      </c>
      <c r="B756" t="s">
        <v>3403</v>
      </c>
      <c r="C756" s="1">
        <v>45515</v>
      </c>
      <c r="D756" s="1">
        <v>45357</v>
      </c>
      <c r="E756" t="s">
        <v>50</v>
      </c>
      <c r="F756" t="s">
        <v>77</v>
      </c>
      <c r="G756" t="s">
        <v>102</v>
      </c>
      <c r="H756" t="s">
        <v>79</v>
      </c>
      <c r="I756" t="s">
        <v>3404</v>
      </c>
      <c r="J756" t="s">
        <v>38</v>
      </c>
      <c r="K756" t="s">
        <v>55</v>
      </c>
      <c r="L756" t="s">
        <v>3405</v>
      </c>
      <c r="M756">
        <v>435.99</v>
      </c>
      <c r="N756">
        <v>14</v>
      </c>
      <c r="O756" t="s">
        <v>3406</v>
      </c>
      <c r="P756" t="s">
        <v>141</v>
      </c>
      <c r="Q756" t="s">
        <v>295</v>
      </c>
      <c r="R756" t="s">
        <v>44</v>
      </c>
      <c r="S756" t="s">
        <v>126</v>
      </c>
      <c r="T756" t="s">
        <v>160</v>
      </c>
      <c r="U756">
        <v>2081</v>
      </c>
      <c r="V756">
        <v>345</v>
      </c>
      <c r="W756">
        <v>21</v>
      </c>
      <c r="X756">
        <v>1361.09</v>
      </c>
      <c r="Y756">
        <v>484.04</v>
      </c>
      <c r="Z756">
        <v>1845.13</v>
      </c>
      <c r="AA756" t="s">
        <v>62</v>
      </c>
      <c r="AB756">
        <v>0</v>
      </c>
      <c r="AC756">
        <v>97.57</v>
      </c>
      <c r="AD756">
        <v>480</v>
      </c>
      <c r="AE756">
        <v>497</v>
      </c>
    </row>
    <row r="757" spans="1:31" x14ac:dyDescent="0.25">
      <c r="A757" t="s">
        <v>3407</v>
      </c>
      <c r="B757" t="s">
        <v>3408</v>
      </c>
      <c r="C757" s="1">
        <v>44860</v>
      </c>
      <c r="D757" s="1">
        <v>44723</v>
      </c>
      <c r="E757" t="s">
        <v>50</v>
      </c>
      <c r="F757" t="s">
        <v>34</v>
      </c>
      <c r="G757" t="s">
        <v>78</v>
      </c>
      <c r="H757" t="s">
        <v>114</v>
      </c>
      <c r="I757" t="s">
        <v>445</v>
      </c>
      <c r="J757" t="s">
        <v>38</v>
      </c>
      <c r="K757" t="s">
        <v>81</v>
      </c>
      <c r="L757" t="s">
        <v>446</v>
      </c>
      <c r="M757">
        <v>386.09</v>
      </c>
      <c r="N757">
        <v>29</v>
      </c>
      <c r="O757" t="s">
        <v>2804</v>
      </c>
      <c r="P757" t="s">
        <v>108</v>
      </c>
      <c r="Q757" t="s">
        <v>346</v>
      </c>
      <c r="R757" t="s">
        <v>152</v>
      </c>
      <c r="S757" t="s">
        <v>73</v>
      </c>
      <c r="T757" t="s">
        <v>638</v>
      </c>
      <c r="U757">
        <v>4389</v>
      </c>
      <c r="V757">
        <v>451</v>
      </c>
      <c r="W757">
        <v>29</v>
      </c>
      <c r="X757">
        <v>1645.62</v>
      </c>
      <c r="Y757">
        <v>377.39</v>
      </c>
      <c r="Z757">
        <v>2023.01</v>
      </c>
      <c r="AA757" t="s">
        <v>47</v>
      </c>
      <c r="AB757">
        <v>8</v>
      </c>
      <c r="AC757">
        <v>88.66</v>
      </c>
      <c r="AD757">
        <v>193</v>
      </c>
      <c r="AE757">
        <v>167</v>
      </c>
    </row>
    <row r="758" spans="1:31" x14ac:dyDescent="0.25">
      <c r="A758" t="s">
        <v>3409</v>
      </c>
      <c r="B758" t="s">
        <v>3410</v>
      </c>
      <c r="C758" s="1">
        <v>44921</v>
      </c>
      <c r="D758" s="1">
        <v>44589</v>
      </c>
      <c r="E758" t="s">
        <v>65</v>
      </c>
      <c r="F758" t="s">
        <v>146</v>
      </c>
      <c r="G758" t="s">
        <v>102</v>
      </c>
      <c r="H758" t="s">
        <v>53</v>
      </c>
      <c r="I758" t="s">
        <v>2596</v>
      </c>
      <c r="J758" t="s">
        <v>165</v>
      </c>
      <c r="K758" t="s">
        <v>166</v>
      </c>
      <c r="L758" t="s">
        <v>2597</v>
      </c>
      <c r="M758">
        <v>447.45</v>
      </c>
      <c r="N758">
        <v>92</v>
      </c>
      <c r="O758" t="s">
        <v>3411</v>
      </c>
      <c r="P758" t="s">
        <v>42</v>
      </c>
      <c r="Q758" t="s">
        <v>232</v>
      </c>
      <c r="R758" t="s">
        <v>44</v>
      </c>
      <c r="S758" t="s">
        <v>45</v>
      </c>
      <c r="T758" t="s">
        <v>170</v>
      </c>
      <c r="U758">
        <v>2022</v>
      </c>
      <c r="V758">
        <v>199</v>
      </c>
      <c r="W758">
        <v>23</v>
      </c>
      <c r="X758">
        <v>525.09</v>
      </c>
      <c r="Y758">
        <v>433.98</v>
      </c>
      <c r="Z758">
        <v>959.07</v>
      </c>
      <c r="AA758" t="s">
        <v>62</v>
      </c>
      <c r="AB758">
        <v>0</v>
      </c>
      <c r="AC758">
        <v>71.09</v>
      </c>
      <c r="AD758">
        <v>52</v>
      </c>
      <c r="AE758">
        <v>55</v>
      </c>
    </row>
    <row r="759" spans="1:31" x14ac:dyDescent="0.25">
      <c r="A759" t="s">
        <v>3412</v>
      </c>
      <c r="B759" t="s">
        <v>3413</v>
      </c>
      <c r="C759" s="1">
        <v>44706</v>
      </c>
      <c r="D759" s="1">
        <v>44506</v>
      </c>
      <c r="E759" t="s">
        <v>65</v>
      </c>
      <c r="F759" t="s">
        <v>91</v>
      </c>
      <c r="G759" t="s">
        <v>343</v>
      </c>
      <c r="H759" t="s">
        <v>147</v>
      </c>
      <c r="I759" t="s">
        <v>3414</v>
      </c>
      <c r="J759" t="s">
        <v>165</v>
      </c>
      <c r="K759" t="s">
        <v>166</v>
      </c>
      <c r="L759" t="s">
        <v>3415</v>
      </c>
      <c r="M759">
        <v>220.32</v>
      </c>
      <c r="N759">
        <v>67</v>
      </c>
      <c r="O759" t="s">
        <v>1343</v>
      </c>
      <c r="P759" t="s">
        <v>42</v>
      </c>
      <c r="Q759" t="s">
        <v>125</v>
      </c>
      <c r="R759" t="s">
        <v>152</v>
      </c>
      <c r="S759" t="s">
        <v>73</v>
      </c>
      <c r="T759" t="s">
        <v>253</v>
      </c>
      <c r="U759">
        <v>457</v>
      </c>
      <c r="V759">
        <v>296</v>
      </c>
      <c r="W759">
        <v>2</v>
      </c>
      <c r="X759">
        <v>434.43</v>
      </c>
      <c r="Y759">
        <v>14.08</v>
      </c>
      <c r="Z759">
        <v>448.51</v>
      </c>
      <c r="AA759" t="s">
        <v>62</v>
      </c>
      <c r="AB759">
        <v>0</v>
      </c>
      <c r="AC759">
        <v>99.5</v>
      </c>
      <c r="AD759">
        <v>213</v>
      </c>
      <c r="AE759">
        <v>211</v>
      </c>
    </row>
    <row r="760" spans="1:31" x14ac:dyDescent="0.25">
      <c r="A760" t="s">
        <v>3416</v>
      </c>
      <c r="B760" t="s">
        <v>3417</v>
      </c>
      <c r="C760" s="1">
        <v>45377</v>
      </c>
      <c r="D760" s="1">
        <v>44993</v>
      </c>
      <c r="E760" t="s">
        <v>65</v>
      </c>
      <c r="F760" t="s">
        <v>51</v>
      </c>
      <c r="G760" t="s">
        <v>78</v>
      </c>
      <c r="H760" t="s">
        <v>79</v>
      </c>
      <c r="I760" t="s">
        <v>3418</v>
      </c>
      <c r="J760" t="s">
        <v>165</v>
      </c>
      <c r="K760" t="s">
        <v>166</v>
      </c>
      <c r="L760" t="s">
        <v>3419</v>
      </c>
      <c r="M760">
        <v>35.69</v>
      </c>
      <c r="N760">
        <v>45</v>
      </c>
      <c r="O760" t="s">
        <v>1538</v>
      </c>
      <c r="P760" t="s">
        <v>141</v>
      </c>
      <c r="Q760" t="s">
        <v>43</v>
      </c>
      <c r="R760" t="s">
        <v>152</v>
      </c>
      <c r="S760" t="s">
        <v>87</v>
      </c>
      <c r="T760" t="s">
        <v>545</v>
      </c>
      <c r="U760">
        <v>271</v>
      </c>
      <c r="V760">
        <v>343</v>
      </c>
      <c r="W760">
        <v>23</v>
      </c>
      <c r="X760">
        <v>876.65</v>
      </c>
      <c r="Y760">
        <v>186.29</v>
      </c>
      <c r="Z760">
        <v>1062.94</v>
      </c>
      <c r="AA760" t="s">
        <v>62</v>
      </c>
      <c r="AB760">
        <v>0</v>
      </c>
      <c r="AC760">
        <v>89.21</v>
      </c>
      <c r="AD760">
        <v>160</v>
      </c>
      <c r="AE760">
        <v>158</v>
      </c>
    </row>
    <row r="761" spans="1:31" x14ac:dyDescent="0.25">
      <c r="A761" t="s">
        <v>3420</v>
      </c>
      <c r="B761" t="s">
        <v>3421</v>
      </c>
      <c r="C761" s="1">
        <v>45283</v>
      </c>
      <c r="D761" s="1">
        <v>44986</v>
      </c>
      <c r="E761" t="s">
        <v>50</v>
      </c>
      <c r="F761" t="s">
        <v>51</v>
      </c>
      <c r="G761" t="s">
        <v>66</v>
      </c>
      <c r="H761" t="s">
        <v>163</v>
      </c>
      <c r="I761" t="s">
        <v>3422</v>
      </c>
      <c r="J761" t="s">
        <v>38</v>
      </c>
      <c r="K761" t="s">
        <v>138</v>
      </c>
      <c r="L761" t="s">
        <v>3423</v>
      </c>
      <c r="M761">
        <v>38.5</v>
      </c>
      <c r="N761">
        <v>28</v>
      </c>
      <c r="O761" t="s">
        <v>3424</v>
      </c>
      <c r="P761" t="s">
        <v>108</v>
      </c>
      <c r="Q761" t="s">
        <v>425</v>
      </c>
      <c r="R761" t="s">
        <v>60</v>
      </c>
      <c r="S761" t="s">
        <v>87</v>
      </c>
      <c r="T761" t="s">
        <v>922</v>
      </c>
      <c r="U761">
        <v>217</v>
      </c>
      <c r="V761">
        <v>219</v>
      </c>
      <c r="W761">
        <v>10</v>
      </c>
      <c r="X761">
        <v>426.28</v>
      </c>
      <c r="Y761">
        <v>116.32</v>
      </c>
      <c r="Z761">
        <v>542.59999999999991</v>
      </c>
      <c r="AA761" t="s">
        <v>62</v>
      </c>
      <c r="AB761">
        <v>0</v>
      </c>
      <c r="AC761">
        <v>73.83</v>
      </c>
      <c r="AD761">
        <v>79</v>
      </c>
      <c r="AE761">
        <v>90</v>
      </c>
    </row>
    <row r="762" spans="1:31" x14ac:dyDescent="0.25">
      <c r="A762" t="s">
        <v>3425</v>
      </c>
      <c r="B762" t="s">
        <v>3426</v>
      </c>
      <c r="C762" s="1">
        <v>45207</v>
      </c>
      <c r="D762" s="1">
        <v>44979</v>
      </c>
      <c r="E762" t="s">
        <v>65</v>
      </c>
      <c r="F762" t="s">
        <v>51</v>
      </c>
      <c r="G762" t="s">
        <v>35</v>
      </c>
      <c r="H762" t="s">
        <v>36</v>
      </c>
      <c r="I762" t="s">
        <v>3427</v>
      </c>
      <c r="J762" t="s">
        <v>165</v>
      </c>
      <c r="K762" t="s">
        <v>202</v>
      </c>
      <c r="L762" t="s">
        <v>3428</v>
      </c>
      <c r="M762">
        <v>325.98</v>
      </c>
      <c r="N762">
        <v>37</v>
      </c>
      <c r="O762" t="s">
        <v>3429</v>
      </c>
      <c r="P762" t="s">
        <v>84</v>
      </c>
      <c r="Q762" t="s">
        <v>232</v>
      </c>
      <c r="R762" t="s">
        <v>60</v>
      </c>
      <c r="S762" t="s">
        <v>45</v>
      </c>
      <c r="T762" t="s">
        <v>88</v>
      </c>
      <c r="U762">
        <v>2856</v>
      </c>
      <c r="V762">
        <v>408</v>
      </c>
      <c r="W762">
        <v>29</v>
      </c>
      <c r="X762">
        <v>1998.97</v>
      </c>
      <c r="Y762">
        <v>135.30000000000001</v>
      </c>
      <c r="Z762">
        <v>2134.27</v>
      </c>
      <c r="AA762" t="s">
        <v>62</v>
      </c>
      <c r="AB762">
        <v>0</v>
      </c>
      <c r="AC762">
        <v>86.1</v>
      </c>
      <c r="AD762">
        <v>144</v>
      </c>
      <c r="AE762">
        <v>149</v>
      </c>
    </row>
    <row r="763" spans="1:31" x14ac:dyDescent="0.25">
      <c r="A763" t="s">
        <v>3430</v>
      </c>
      <c r="B763" t="s">
        <v>3431</v>
      </c>
      <c r="C763" s="1">
        <v>43992</v>
      </c>
      <c r="D763" s="1">
        <v>44103</v>
      </c>
      <c r="E763" t="s">
        <v>65</v>
      </c>
      <c r="F763" t="s">
        <v>91</v>
      </c>
      <c r="G763" t="s">
        <v>78</v>
      </c>
      <c r="H763" t="s">
        <v>67</v>
      </c>
      <c r="I763" t="s">
        <v>3432</v>
      </c>
      <c r="J763" t="s">
        <v>104</v>
      </c>
      <c r="K763" t="s">
        <v>105</v>
      </c>
      <c r="L763" t="s">
        <v>3433</v>
      </c>
      <c r="M763">
        <v>35.46</v>
      </c>
      <c r="N763">
        <v>70</v>
      </c>
      <c r="O763" t="s">
        <v>1971</v>
      </c>
      <c r="P763" t="s">
        <v>84</v>
      </c>
      <c r="Q763" t="s">
        <v>169</v>
      </c>
      <c r="R763" t="s">
        <v>44</v>
      </c>
      <c r="S763" t="s">
        <v>45</v>
      </c>
      <c r="T763" t="s">
        <v>1168</v>
      </c>
      <c r="U763">
        <v>3075</v>
      </c>
      <c r="V763">
        <v>251</v>
      </c>
      <c r="W763">
        <v>9</v>
      </c>
      <c r="X763">
        <v>1401.76</v>
      </c>
      <c r="Y763">
        <v>149.66999999999999</v>
      </c>
      <c r="Z763">
        <v>1551.43</v>
      </c>
      <c r="AA763" t="s">
        <v>62</v>
      </c>
      <c r="AB763">
        <v>0</v>
      </c>
      <c r="AC763">
        <v>94.7</v>
      </c>
      <c r="AD763">
        <v>497</v>
      </c>
      <c r="AE763">
        <v>478</v>
      </c>
    </row>
    <row r="764" spans="1:31" x14ac:dyDescent="0.25">
      <c r="A764" t="s">
        <v>3434</v>
      </c>
      <c r="B764" t="s">
        <v>3435</v>
      </c>
      <c r="C764" s="1">
        <v>44565</v>
      </c>
      <c r="D764" s="1">
        <v>45476</v>
      </c>
      <c r="E764" t="s">
        <v>65</v>
      </c>
      <c r="F764" t="s">
        <v>146</v>
      </c>
      <c r="G764" t="s">
        <v>113</v>
      </c>
      <c r="H764" t="s">
        <v>53</v>
      </c>
      <c r="I764" t="s">
        <v>3436</v>
      </c>
      <c r="J764" t="s">
        <v>38</v>
      </c>
      <c r="K764" t="s">
        <v>55</v>
      </c>
      <c r="L764" t="s">
        <v>3437</v>
      </c>
      <c r="M764">
        <v>179.02</v>
      </c>
      <c r="N764">
        <v>79</v>
      </c>
      <c r="O764" t="s">
        <v>3438</v>
      </c>
      <c r="P764" t="s">
        <v>42</v>
      </c>
      <c r="Q764" t="s">
        <v>159</v>
      </c>
      <c r="R764" t="s">
        <v>86</v>
      </c>
      <c r="S764" t="s">
        <v>87</v>
      </c>
      <c r="T764" t="s">
        <v>88</v>
      </c>
      <c r="U764">
        <v>1114</v>
      </c>
      <c r="V764">
        <v>483</v>
      </c>
      <c r="W764">
        <v>18</v>
      </c>
      <c r="X764">
        <v>1582.49</v>
      </c>
      <c r="Y764">
        <v>319.60000000000002</v>
      </c>
      <c r="Z764">
        <v>1902.09</v>
      </c>
      <c r="AA764" t="s">
        <v>62</v>
      </c>
      <c r="AB764">
        <v>0</v>
      </c>
      <c r="AC764">
        <v>87.52</v>
      </c>
      <c r="AD764">
        <v>421</v>
      </c>
      <c r="AE764">
        <v>438</v>
      </c>
    </row>
    <row r="765" spans="1:31" x14ac:dyDescent="0.25">
      <c r="A765" t="s">
        <v>3439</v>
      </c>
      <c r="B765" t="s">
        <v>3440</v>
      </c>
      <c r="C765" s="1">
        <v>45042</v>
      </c>
      <c r="D765" s="1">
        <v>44471</v>
      </c>
      <c r="E765" t="s">
        <v>65</v>
      </c>
      <c r="F765" t="s">
        <v>34</v>
      </c>
      <c r="G765" t="s">
        <v>66</v>
      </c>
      <c r="H765" t="s">
        <v>53</v>
      </c>
      <c r="I765" t="s">
        <v>3441</v>
      </c>
      <c r="J765" t="s">
        <v>104</v>
      </c>
      <c r="K765" t="s">
        <v>554</v>
      </c>
      <c r="L765" t="s">
        <v>3442</v>
      </c>
      <c r="M765">
        <v>374.12</v>
      </c>
      <c r="N765">
        <v>7</v>
      </c>
      <c r="O765" t="s">
        <v>896</v>
      </c>
      <c r="P765" t="s">
        <v>42</v>
      </c>
      <c r="Q765" t="s">
        <v>458</v>
      </c>
      <c r="R765" t="s">
        <v>86</v>
      </c>
      <c r="S765" t="s">
        <v>45</v>
      </c>
      <c r="T765" t="s">
        <v>185</v>
      </c>
      <c r="U765">
        <v>442</v>
      </c>
      <c r="V765">
        <v>330</v>
      </c>
      <c r="W765">
        <v>18</v>
      </c>
      <c r="X765">
        <v>237.65</v>
      </c>
      <c r="Y765">
        <v>431.92</v>
      </c>
      <c r="Z765">
        <v>669.57</v>
      </c>
      <c r="AA765" t="s">
        <v>62</v>
      </c>
      <c r="AB765">
        <v>0</v>
      </c>
      <c r="AC765">
        <v>70.61</v>
      </c>
      <c r="AD765">
        <v>170</v>
      </c>
      <c r="AE765">
        <v>157</v>
      </c>
    </row>
    <row r="766" spans="1:31" x14ac:dyDescent="0.25">
      <c r="A766" t="s">
        <v>3443</v>
      </c>
      <c r="B766" t="s">
        <v>2378</v>
      </c>
      <c r="C766" s="1">
        <v>44396</v>
      </c>
      <c r="D766" s="1">
        <v>45075</v>
      </c>
      <c r="E766" t="s">
        <v>65</v>
      </c>
      <c r="F766" t="s">
        <v>91</v>
      </c>
      <c r="G766" t="s">
        <v>343</v>
      </c>
      <c r="H766" t="s">
        <v>147</v>
      </c>
      <c r="I766" t="s">
        <v>3444</v>
      </c>
      <c r="J766" t="s">
        <v>38</v>
      </c>
      <c r="K766" t="s">
        <v>55</v>
      </c>
      <c r="L766" t="s">
        <v>3445</v>
      </c>
      <c r="M766">
        <v>479.41</v>
      </c>
      <c r="N766">
        <v>50</v>
      </c>
      <c r="O766" t="s">
        <v>3446</v>
      </c>
      <c r="P766" t="s">
        <v>84</v>
      </c>
      <c r="Q766" t="s">
        <v>191</v>
      </c>
      <c r="R766" t="s">
        <v>60</v>
      </c>
      <c r="S766" t="s">
        <v>73</v>
      </c>
      <c r="T766" t="s">
        <v>1004</v>
      </c>
      <c r="U766">
        <v>2164</v>
      </c>
      <c r="V766">
        <v>140</v>
      </c>
      <c r="W766">
        <v>7</v>
      </c>
      <c r="X766">
        <v>1064.1600000000001</v>
      </c>
      <c r="Y766">
        <v>269.77</v>
      </c>
      <c r="Z766">
        <v>1333.93</v>
      </c>
      <c r="AA766" t="s">
        <v>62</v>
      </c>
      <c r="AB766">
        <v>0</v>
      </c>
      <c r="AC766">
        <v>81.569999999999993</v>
      </c>
      <c r="AD766">
        <v>363</v>
      </c>
      <c r="AE766">
        <v>363</v>
      </c>
    </row>
    <row r="767" spans="1:31" x14ac:dyDescent="0.25">
      <c r="A767" t="s">
        <v>3447</v>
      </c>
      <c r="B767" t="s">
        <v>3448</v>
      </c>
      <c r="C767" s="1">
        <v>44800</v>
      </c>
      <c r="D767" s="1">
        <v>44127</v>
      </c>
      <c r="E767" t="s">
        <v>65</v>
      </c>
      <c r="F767" t="s">
        <v>34</v>
      </c>
      <c r="G767" t="s">
        <v>66</v>
      </c>
      <c r="H767" t="s">
        <v>147</v>
      </c>
      <c r="I767" t="s">
        <v>3449</v>
      </c>
      <c r="J767" t="s">
        <v>38</v>
      </c>
      <c r="K767" t="s">
        <v>55</v>
      </c>
      <c r="L767" t="s">
        <v>3450</v>
      </c>
      <c r="M767">
        <v>414.13</v>
      </c>
      <c r="N767">
        <v>6</v>
      </c>
      <c r="O767" t="s">
        <v>3451</v>
      </c>
      <c r="P767" t="s">
        <v>84</v>
      </c>
      <c r="Q767" t="s">
        <v>432</v>
      </c>
      <c r="R767" t="s">
        <v>44</v>
      </c>
      <c r="S767" t="s">
        <v>87</v>
      </c>
      <c r="T767" t="s">
        <v>127</v>
      </c>
      <c r="U767">
        <v>1650</v>
      </c>
      <c r="V767">
        <v>457</v>
      </c>
      <c r="W767">
        <v>14</v>
      </c>
      <c r="X767">
        <v>142.9</v>
      </c>
      <c r="Y767">
        <v>165.67</v>
      </c>
      <c r="Z767">
        <v>308.57</v>
      </c>
      <c r="AA767" t="s">
        <v>62</v>
      </c>
      <c r="AB767">
        <v>0</v>
      </c>
      <c r="AC767">
        <v>73.95</v>
      </c>
      <c r="AD767">
        <v>411</v>
      </c>
      <c r="AE767">
        <v>391</v>
      </c>
    </row>
    <row r="768" spans="1:31" x14ac:dyDescent="0.25">
      <c r="A768" t="s">
        <v>3452</v>
      </c>
      <c r="B768" t="s">
        <v>2110</v>
      </c>
      <c r="C768" s="1">
        <v>45281</v>
      </c>
      <c r="D768" s="1">
        <v>44386</v>
      </c>
      <c r="E768" t="s">
        <v>65</v>
      </c>
      <c r="F768" t="s">
        <v>91</v>
      </c>
      <c r="G768" t="s">
        <v>102</v>
      </c>
      <c r="H768" t="s">
        <v>147</v>
      </c>
      <c r="I768" t="s">
        <v>3453</v>
      </c>
      <c r="J768" t="s">
        <v>38</v>
      </c>
      <c r="K768" t="s">
        <v>55</v>
      </c>
      <c r="L768" t="s">
        <v>3454</v>
      </c>
      <c r="M768">
        <v>219.07</v>
      </c>
      <c r="N768">
        <v>10</v>
      </c>
      <c r="O768" t="s">
        <v>3455</v>
      </c>
      <c r="P768" t="s">
        <v>58</v>
      </c>
      <c r="Q768" t="s">
        <v>458</v>
      </c>
      <c r="R768" t="s">
        <v>152</v>
      </c>
      <c r="S768" t="s">
        <v>45</v>
      </c>
      <c r="T768" t="s">
        <v>88</v>
      </c>
      <c r="U768">
        <v>698</v>
      </c>
      <c r="V768">
        <v>355</v>
      </c>
      <c r="W768">
        <v>16</v>
      </c>
      <c r="X768">
        <v>1060.48</v>
      </c>
      <c r="Y768">
        <v>280.38</v>
      </c>
      <c r="Z768">
        <v>1340.86</v>
      </c>
      <c r="AA768" t="s">
        <v>47</v>
      </c>
      <c r="AB768">
        <v>5</v>
      </c>
      <c r="AC768">
        <v>83.26</v>
      </c>
      <c r="AD768">
        <v>365</v>
      </c>
      <c r="AE768">
        <v>329</v>
      </c>
    </row>
    <row r="769" spans="1:31" x14ac:dyDescent="0.25">
      <c r="A769" t="s">
        <v>3456</v>
      </c>
      <c r="B769" t="s">
        <v>3457</v>
      </c>
      <c r="C769" s="1">
        <v>45588</v>
      </c>
      <c r="D769" s="1">
        <v>45406</v>
      </c>
      <c r="E769" t="s">
        <v>33</v>
      </c>
      <c r="F769" t="s">
        <v>91</v>
      </c>
      <c r="G769" t="s">
        <v>102</v>
      </c>
      <c r="H769" t="s">
        <v>67</v>
      </c>
      <c r="I769" t="s">
        <v>3330</v>
      </c>
      <c r="J769" t="s">
        <v>165</v>
      </c>
      <c r="K769" t="s">
        <v>166</v>
      </c>
      <c r="L769" t="s">
        <v>3331</v>
      </c>
      <c r="M769">
        <v>118.62</v>
      </c>
      <c r="N769">
        <v>88</v>
      </c>
      <c r="O769" t="s">
        <v>1692</v>
      </c>
      <c r="P769" t="s">
        <v>141</v>
      </c>
      <c r="Q769" t="s">
        <v>238</v>
      </c>
      <c r="R769" t="s">
        <v>152</v>
      </c>
      <c r="S769" t="s">
        <v>45</v>
      </c>
      <c r="T769" t="s">
        <v>675</v>
      </c>
      <c r="U769">
        <v>2414</v>
      </c>
      <c r="V769">
        <v>479</v>
      </c>
      <c r="W769">
        <v>1</v>
      </c>
      <c r="X769">
        <v>790.7</v>
      </c>
      <c r="Y769">
        <v>345.76</v>
      </c>
      <c r="Z769">
        <v>1136.46</v>
      </c>
      <c r="AA769" t="s">
        <v>62</v>
      </c>
      <c r="AB769">
        <v>0</v>
      </c>
      <c r="AC769">
        <v>86.81</v>
      </c>
      <c r="AD769">
        <v>238</v>
      </c>
      <c r="AE769">
        <v>217</v>
      </c>
    </row>
    <row r="770" spans="1:31" x14ac:dyDescent="0.25">
      <c r="A770" t="s">
        <v>3458</v>
      </c>
      <c r="B770" t="s">
        <v>3459</v>
      </c>
      <c r="C770" s="1">
        <v>44818</v>
      </c>
      <c r="D770" s="1">
        <v>44977</v>
      </c>
      <c r="E770" t="s">
        <v>65</v>
      </c>
      <c r="F770" t="s">
        <v>146</v>
      </c>
      <c r="G770" t="s">
        <v>52</v>
      </c>
      <c r="H770" t="s">
        <v>79</v>
      </c>
      <c r="I770" t="s">
        <v>3460</v>
      </c>
      <c r="J770" t="s">
        <v>104</v>
      </c>
      <c r="K770" t="s">
        <v>105</v>
      </c>
      <c r="L770" t="s">
        <v>3461</v>
      </c>
      <c r="M770">
        <v>299.63</v>
      </c>
      <c r="N770">
        <v>26</v>
      </c>
      <c r="O770" t="s">
        <v>1234</v>
      </c>
      <c r="P770" t="s">
        <v>58</v>
      </c>
      <c r="Q770" t="s">
        <v>320</v>
      </c>
      <c r="R770" t="s">
        <v>60</v>
      </c>
      <c r="S770" t="s">
        <v>45</v>
      </c>
      <c r="T770" t="s">
        <v>654</v>
      </c>
      <c r="U770">
        <v>368</v>
      </c>
      <c r="V770">
        <v>427</v>
      </c>
      <c r="W770">
        <v>1</v>
      </c>
      <c r="X770">
        <v>1714.32</v>
      </c>
      <c r="Y770">
        <v>355.99</v>
      </c>
      <c r="Z770">
        <v>2070.31</v>
      </c>
      <c r="AA770" t="s">
        <v>62</v>
      </c>
      <c r="AB770">
        <v>0</v>
      </c>
      <c r="AC770">
        <v>75.260000000000005</v>
      </c>
      <c r="AD770">
        <v>159</v>
      </c>
      <c r="AE770">
        <v>191</v>
      </c>
    </row>
    <row r="771" spans="1:31" x14ac:dyDescent="0.25">
      <c r="A771" t="s">
        <v>3462</v>
      </c>
      <c r="B771" t="s">
        <v>3463</v>
      </c>
      <c r="C771" s="1">
        <v>43972</v>
      </c>
      <c r="D771" s="1">
        <v>43875</v>
      </c>
      <c r="E771" t="s">
        <v>33</v>
      </c>
      <c r="F771" t="s">
        <v>77</v>
      </c>
      <c r="G771" t="s">
        <v>92</v>
      </c>
      <c r="H771" t="s">
        <v>147</v>
      </c>
      <c r="I771" t="s">
        <v>3464</v>
      </c>
      <c r="J771" t="s">
        <v>104</v>
      </c>
      <c r="K771" t="s">
        <v>181</v>
      </c>
      <c r="L771" t="s">
        <v>3465</v>
      </c>
      <c r="M771">
        <v>325.52999999999997</v>
      </c>
      <c r="N771">
        <v>57</v>
      </c>
      <c r="O771" t="s">
        <v>1855</v>
      </c>
      <c r="P771" t="s">
        <v>42</v>
      </c>
      <c r="Q771" t="s">
        <v>176</v>
      </c>
      <c r="R771" t="s">
        <v>152</v>
      </c>
      <c r="S771" t="s">
        <v>45</v>
      </c>
      <c r="T771" t="s">
        <v>1168</v>
      </c>
      <c r="U771">
        <v>3091</v>
      </c>
      <c r="V771">
        <v>171</v>
      </c>
      <c r="W771">
        <v>25</v>
      </c>
      <c r="X771">
        <v>1530.3</v>
      </c>
      <c r="Y771">
        <v>430.9</v>
      </c>
      <c r="Z771">
        <v>1961.2</v>
      </c>
      <c r="AA771" t="s">
        <v>47</v>
      </c>
      <c r="AB771">
        <v>12</v>
      </c>
      <c r="AC771">
        <v>93.64</v>
      </c>
      <c r="AD771">
        <v>162</v>
      </c>
      <c r="AE771">
        <v>190</v>
      </c>
    </row>
    <row r="772" spans="1:31" x14ac:dyDescent="0.25">
      <c r="A772" t="s">
        <v>3466</v>
      </c>
      <c r="B772" t="s">
        <v>3467</v>
      </c>
      <c r="C772" s="1">
        <v>44648</v>
      </c>
      <c r="D772" s="1">
        <v>44147</v>
      </c>
      <c r="E772" t="s">
        <v>50</v>
      </c>
      <c r="F772" t="s">
        <v>91</v>
      </c>
      <c r="G772" t="s">
        <v>78</v>
      </c>
      <c r="H772" t="s">
        <v>79</v>
      </c>
      <c r="I772" t="s">
        <v>3468</v>
      </c>
      <c r="J772" t="s">
        <v>104</v>
      </c>
      <c r="K772" t="s">
        <v>181</v>
      </c>
      <c r="L772" t="s">
        <v>3469</v>
      </c>
      <c r="M772">
        <v>384</v>
      </c>
      <c r="N772">
        <v>12</v>
      </c>
      <c r="O772" t="s">
        <v>1394</v>
      </c>
      <c r="P772" t="s">
        <v>141</v>
      </c>
      <c r="Q772" t="s">
        <v>686</v>
      </c>
      <c r="R772" t="s">
        <v>86</v>
      </c>
      <c r="S772" t="s">
        <v>87</v>
      </c>
      <c r="T772" t="s">
        <v>409</v>
      </c>
      <c r="U772">
        <v>4591</v>
      </c>
      <c r="V772">
        <v>144</v>
      </c>
      <c r="W772">
        <v>28</v>
      </c>
      <c r="X772">
        <v>653.53</v>
      </c>
      <c r="Y772">
        <v>446.68</v>
      </c>
      <c r="Z772">
        <v>1100.21</v>
      </c>
      <c r="AA772" t="s">
        <v>47</v>
      </c>
      <c r="AB772">
        <v>12</v>
      </c>
      <c r="AC772">
        <v>81.23</v>
      </c>
      <c r="AD772">
        <v>305</v>
      </c>
      <c r="AE772">
        <v>319</v>
      </c>
    </row>
    <row r="773" spans="1:31" x14ac:dyDescent="0.25">
      <c r="A773" t="s">
        <v>3470</v>
      </c>
      <c r="B773" t="s">
        <v>3471</v>
      </c>
      <c r="C773" s="1">
        <v>44805</v>
      </c>
      <c r="D773" s="1">
        <v>44262</v>
      </c>
      <c r="E773" t="s">
        <v>65</v>
      </c>
      <c r="F773" t="s">
        <v>91</v>
      </c>
      <c r="G773" t="s">
        <v>102</v>
      </c>
      <c r="H773" t="s">
        <v>163</v>
      </c>
      <c r="I773" t="s">
        <v>3472</v>
      </c>
      <c r="J773" t="s">
        <v>38</v>
      </c>
      <c r="K773" t="s">
        <v>94</v>
      </c>
      <c r="L773" t="s">
        <v>3473</v>
      </c>
      <c r="M773">
        <v>497.26</v>
      </c>
      <c r="N773">
        <v>9</v>
      </c>
      <c r="O773" t="s">
        <v>3474</v>
      </c>
      <c r="P773" t="s">
        <v>108</v>
      </c>
      <c r="Q773" t="s">
        <v>169</v>
      </c>
      <c r="R773" t="s">
        <v>152</v>
      </c>
      <c r="S773" t="s">
        <v>98</v>
      </c>
      <c r="T773" t="s">
        <v>447</v>
      </c>
      <c r="U773">
        <v>3995</v>
      </c>
      <c r="V773">
        <v>125</v>
      </c>
      <c r="W773">
        <v>1</v>
      </c>
      <c r="X773">
        <v>1920.91</v>
      </c>
      <c r="Y773">
        <v>143.01</v>
      </c>
      <c r="Z773">
        <v>2063.92</v>
      </c>
      <c r="AA773" t="s">
        <v>62</v>
      </c>
      <c r="AB773">
        <v>0</v>
      </c>
      <c r="AC773">
        <v>92.53</v>
      </c>
      <c r="AD773">
        <v>110</v>
      </c>
      <c r="AE773">
        <v>86</v>
      </c>
    </row>
    <row r="774" spans="1:31" x14ac:dyDescent="0.25">
      <c r="A774" t="s">
        <v>3475</v>
      </c>
      <c r="B774" t="s">
        <v>3476</v>
      </c>
      <c r="C774" s="1">
        <v>43847</v>
      </c>
      <c r="D774" s="1">
        <v>44822</v>
      </c>
      <c r="E774" t="s">
        <v>65</v>
      </c>
      <c r="F774" t="s">
        <v>77</v>
      </c>
      <c r="G774" t="s">
        <v>66</v>
      </c>
      <c r="H774" t="s">
        <v>36</v>
      </c>
      <c r="I774" t="s">
        <v>2440</v>
      </c>
      <c r="J774" t="s">
        <v>38</v>
      </c>
      <c r="K774" t="s">
        <v>55</v>
      </c>
      <c r="L774" t="s">
        <v>2441</v>
      </c>
      <c r="M774">
        <v>180.25</v>
      </c>
      <c r="N774">
        <v>68</v>
      </c>
      <c r="O774" t="s">
        <v>3451</v>
      </c>
      <c r="P774" t="s">
        <v>108</v>
      </c>
      <c r="Q774" t="s">
        <v>320</v>
      </c>
      <c r="R774" t="s">
        <v>44</v>
      </c>
      <c r="S774" t="s">
        <v>98</v>
      </c>
      <c r="T774" t="s">
        <v>160</v>
      </c>
      <c r="U774">
        <v>2721</v>
      </c>
      <c r="V774">
        <v>349</v>
      </c>
      <c r="W774">
        <v>22</v>
      </c>
      <c r="X774">
        <v>1633.8</v>
      </c>
      <c r="Y774">
        <v>280.23</v>
      </c>
      <c r="Z774">
        <v>1914.03</v>
      </c>
      <c r="AA774" t="s">
        <v>62</v>
      </c>
      <c r="AB774">
        <v>0</v>
      </c>
      <c r="AC774">
        <v>98.82</v>
      </c>
      <c r="AD774">
        <v>124</v>
      </c>
      <c r="AE774">
        <v>91</v>
      </c>
    </row>
    <row r="775" spans="1:31" x14ac:dyDescent="0.25">
      <c r="A775" t="s">
        <v>3477</v>
      </c>
      <c r="B775" t="s">
        <v>3478</v>
      </c>
      <c r="C775" s="1">
        <v>44993</v>
      </c>
      <c r="D775" s="1">
        <v>45032</v>
      </c>
      <c r="E775" t="s">
        <v>65</v>
      </c>
      <c r="F775" t="s">
        <v>77</v>
      </c>
      <c r="G775" t="s">
        <v>35</v>
      </c>
      <c r="H775" t="s">
        <v>53</v>
      </c>
      <c r="I775" t="s">
        <v>3479</v>
      </c>
      <c r="J775" t="s">
        <v>38</v>
      </c>
      <c r="K775" t="s">
        <v>55</v>
      </c>
      <c r="L775" t="s">
        <v>3480</v>
      </c>
      <c r="M775">
        <v>12.72</v>
      </c>
      <c r="N775">
        <v>61</v>
      </c>
      <c r="O775" t="s">
        <v>3481</v>
      </c>
      <c r="P775" t="s">
        <v>58</v>
      </c>
      <c r="Q775" t="s">
        <v>72</v>
      </c>
      <c r="R775" t="s">
        <v>86</v>
      </c>
      <c r="S775" t="s">
        <v>98</v>
      </c>
      <c r="T775" t="s">
        <v>1004</v>
      </c>
      <c r="U775">
        <v>2182</v>
      </c>
      <c r="V775">
        <v>121</v>
      </c>
      <c r="W775">
        <v>22</v>
      </c>
      <c r="X775">
        <v>1837.49</v>
      </c>
      <c r="Y775">
        <v>307.20999999999998</v>
      </c>
      <c r="Z775">
        <v>2144.6999999999998</v>
      </c>
      <c r="AA775" t="s">
        <v>62</v>
      </c>
      <c r="AB775">
        <v>0</v>
      </c>
      <c r="AC775">
        <v>89.68</v>
      </c>
      <c r="AD775">
        <v>165</v>
      </c>
      <c r="AE775">
        <v>158</v>
      </c>
    </row>
    <row r="776" spans="1:31" x14ac:dyDescent="0.25">
      <c r="A776" t="s">
        <v>3482</v>
      </c>
      <c r="B776" t="s">
        <v>3483</v>
      </c>
      <c r="C776" s="1">
        <v>45087</v>
      </c>
      <c r="D776" s="1">
        <v>45265</v>
      </c>
      <c r="E776" t="s">
        <v>65</v>
      </c>
      <c r="F776" t="s">
        <v>146</v>
      </c>
      <c r="G776" t="s">
        <v>78</v>
      </c>
      <c r="H776" t="s">
        <v>147</v>
      </c>
      <c r="I776" t="s">
        <v>3484</v>
      </c>
      <c r="J776" t="s">
        <v>38</v>
      </c>
      <c r="K776" t="s">
        <v>55</v>
      </c>
      <c r="L776" t="s">
        <v>3485</v>
      </c>
      <c r="M776">
        <v>10.78</v>
      </c>
      <c r="N776">
        <v>28</v>
      </c>
      <c r="O776" t="s">
        <v>3486</v>
      </c>
      <c r="P776" t="s">
        <v>42</v>
      </c>
      <c r="Q776" t="s">
        <v>353</v>
      </c>
      <c r="R776" t="s">
        <v>44</v>
      </c>
      <c r="S776" t="s">
        <v>73</v>
      </c>
      <c r="T776" t="s">
        <v>1294</v>
      </c>
      <c r="U776">
        <v>3651</v>
      </c>
      <c r="V776">
        <v>447</v>
      </c>
      <c r="W776">
        <v>21</v>
      </c>
      <c r="X776">
        <v>344.9</v>
      </c>
      <c r="Y776">
        <v>106.86</v>
      </c>
      <c r="Z776">
        <v>451.76</v>
      </c>
      <c r="AA776" t="s">
        <v>62</v>
      </c>
      <c r="AB776">
        <v>0</v>
      </c>
      <c r="AC776">
        <v>84</v>
      </c>
      <c r="AD776">
        <v>247</v>
      </c>
      <c r="AE776">
        <v>288</v>
      </c>
    </row>
    <row r="777" spans="1:31" x14ac:dyDescent="0.25">
      <c r="A777" t="s">
        <v>3487</v>
      </c>
      <c r="B777" t="s">
        <v>3488</v>
      </c>
      <c r="C777" s="1">
        <v>44965</v>
      </c>
      <c r="D777" s="1">
        <v>44388</v>
      </c>
      <c r="E777" t="s">
        <v>65</v>
      </c>
      <c r="F777" t="s">
        <v>34</v>
      </c>
      <c r="G777" t="s">
        <v>92</v>
      </c>
      <c r="H777" t="s">
        <v>147</v>
      </c>
      <c r="I777" t="s">
        <v>3489</v>
      </c>
      <c r="J777" t="s">
        <v>38</v>
      </c>
      <c r="K777" t="s">
        <v>39</v>
      </c>
      <c r="L777" t="s">
        <v>3490</v>
      </c>
      <c r="M777">
        <v>64.150000000000006</v>
      </c>
      <c r="N777">
        <v>53</v>
      </c>
      <c r="O777" t="s">
        <v>3491</v>
      </c>
      <c r="P777" t="s">
        <v>42</v>
      </c>
      <c r="Q777" t="s">
        <v>266</v>
      </c>
      <c r="R777" t="s">
        <v>152</v>
      </c>
      <c r="S777" t="s">
        <v>126</v>
      </c>
      <c r="T777" t="s">
        <v>409</v>
      </c>
      <c r="U777">
        <v>3264</v>
      </c>
      <c r="V777">
        <v>383</v>
      </c>
      <c r="W777">
        <v>2</v>
      </c>
      <c r="X777">
        <v>1021.61</v>
      </c>
      <c r="Y777">
        <v>126.53</v>
      </c>
      <c r="Z777">
        <v>1148.1400000000001</v>
      </c>
      <c r="AA777" t="s">
        <v>47</v>
      </c>
      <c r="AB777">
        <v>14</v>
      </c>
      <c r="AC777">
        <v>73.41</v>
      </c>
      <c r="AD777">
        <v>481</v>
      </c>
      <c r="AE777">
        <v>486</v>
      </c>
    </row>
    <row r="778" spans="1:31" x14ac:dyDescent="0.25">
      <c r="A778" t="s">
        <v>3492</v>
      </c>
      <c r="B778" t="s">
        <v>3493</v>
      </c>
      <c r="C778" s="1">
        <v>45561</v>
      </c>
      <c r="D778" s="1">
        <v>44941</v>
      </c>
      <c r="E778" t="s">
        <v>65</v>
      </c>
      <c r="F778" t="s">
        <v>51</v>
      </c>
      <c r="G778" t="s">
        <v>52</v>
      </c>
      <c r="H778" t="s">
        <v>53</v>
      </c>
      <c r="I778" t="s">
        <v>3494</v>
      </c>
      <c r="J778" t="s">
        <v>38</v>
      </c>
      <c r="K778" t="s">
        <v>39</v>
      </c>
      <c r="L778" t="s">
        <v>3495</v>
      </c>
      <c r="M778">
        <v>232.6</v>
      </c>
      <c r="N778">
        <v>95</v>
      </c>
      <c r="O778" t="s">
        <v>3496</v>
      </c>
      <c r="P778" t="s">
        <v>141</v>
      </c>
      <c r="Q778" t="s">
        <v>389</v>
      </c>
      <c r="R778" t="s">
        <v>60</v>
      </c>
      <c r="S778" t="s">
        <v>73</v>
      </c>
      <c r="T778" t="s">
        <v>545</v>
      </c>
      <c r="U778">
        <v>2453</v>
      </c>
      <c r="V778">
        <v>262</v>
      </c>
      <c r="W778">
        <v>13</v>
      </c>
      <c r="X778">
        <v>1984.6</v>
      </c>
      <c r="Y778">
        <v>74.67</v>
      </c>
      <c r="Z778">
        <v>2059.27</v>
      </c>
      <c r="AA778" t="s">
        <v>62</v>
      </c>
      <c r="AB778">
        <v>0</v>
      </c>
      <c r="AC778">
        <v>75.099999999999994</v>
      </c>
      <c r="AD778">
        <v>465</v>
      </c>
      <c r="AE778">
        <v>434</v>
      </c>
    </row>
    <row r="779" spans="1:31" x14ac:dyDescent="0.25">
      <c r="A779" t="s">
        <v>3497</v>
      </c>
      <c r="B779" t="s">
        <v>3498</v>
      </c>
      <c r="C779" s="1">
        <v>44892</v>
      </c>
      <c r="D779" s="1">
        <v>44601</v>
      </c>
      <c r="E779" t="s">
        <v>50</v>
      </c>
      <c r="F779" t="s">
        <v>77</v>
      </c>
      <c r="G779" t="s">
        <v>343</v>
      </c>
      <c r="H779" t="s">
        <v>67</v>
      </c>
      <c r="I779" t="s">
        <v>3499</v>
      </c>
      <c r="J779" t="s">
        <v>38</v>
      </c>
      <c r="K779" t="s">
        <v>39</v>
      </c>
      <c r="L779" t="s">
        <v>3500</v>
      </c>
      <c r="M779">
        <v>58.47</v>
      </c>
      <c r="N779">
        <v>24</v>
      </c>
      <c r="O779" t="s">
        <v>1062</v>
      </c>
      <c r="P779" t="s">
        <v>84</v>
      </c>
      <c r="Q779" t="s">
        <v>320</v>
      </c>
      <c r="R779" t="s">
        <v>44</v>
      </c>
      <c r="S779" t="s">
        <v>73</v>
      </c>
      <c r="T779" t="s">
        <v>1004</v>
      </c>
      <c r="U779">
        <v>2763</v>
      </c>
      <c r="V779">
        <v>66</v>
      </c>
      <c r="W779">
        <v>9</v>
      </c>
      <c r="X779">
        <v>1234.31</v>
      </c>
      <c r="Y779">
        <v>93.47</v>
      </c>
      <c r="Z779">
        <v>1327.78</v>
      </c>
      <c r="AA779" t="s">
        <v>62</v>
      </c>
      <c r="AB779">
        <v>0</v>
      </c>
      <c r="AC779">
        <v>99.38</v>
      </c>
      <c r="AD779">
        <v>485</v>
      </c>
      <c r="AE779">
        <v>503</v>
      </c>
    </row>
    <row r="780" spans="1:31" x14ac:dyDescent="0.25">
      <c r="A780" t="s">
        <v>3501</v>
      </c>
      <c r="B780" t="s">
        <v>3502</v>
      </c>
      <c r="C780" s="1">
        <v>45339</v>
      </c>
      <c r="D780" s="1">
        <v>43996</v>
      </c>
      <c r="E780" t="s">
        <v>50</v>
      </c>
      <c r="F780" t="s">
        <v>77</v>
      </c>
      <c r="G780" t="s">
        <v>102</v>
      </c>
      <c r="H780" t="s">
        <v>36</v>
      </c>
      <c r="I780" t="s">
        <v>3503</v>
      </c>
      <c r="J780" t="s">
        <v>38</v>
      </c>
      <c r="K780" t="s">
        <v>39</v>
      </c>
      <c r="L780" t="s">
        <v>3504</v>
      </c>
      <c r="M780">
        <v>95.78</v>
      </c>
      <c r="N780">
        <v>24</v>
      </c>
      <c r="O780" t="s">
        <v>3505</v>
      </c>
      <c r="P780" t="s">
        <v>58</v>
      </c>
      <c r="Q780" t="s">
        <v>232</v>
      </c>
      <c r="R780" t="s">
        <v>44</v>
      </c>
      <c r="S780" t="s">
        <v>126</v>
      </c>
      <c r="T780" t="s">
        <v>99</v>
      </c>
      <c r="U780">
        <v>641</v>
      </c>
      <c r="V780">
        <v>292</v>
      </c>
      <c r="W780">
        <v>26</v>
      </c>
      <c r="X780">
        <v>970.53</v>
      </c>
      <c r="Y780">
        <v>144.61000000000001</v>
      </c>
      <c r="Z780">
        <v>1115.1400000000001</v>
      </c>
      <c r="AA780" t="s">
        <v>62</v>
      </c>
      <c r="AB780">
        <v>0</v>
      </c>
      <c r="AC780">
        <v>91.36</v>
      </c>
      <c r="AD780">
        <v>264</v>
      </c>
      <c r="AE780">
        <v>248</v>
      </c>
    </row>
    <row r="781" spans="1:31" x14ac:dyDescent="0.25">
      <c r="A781" t="s">
        <v>3506</v>
      </c>
      <c r="B781" t="s">
        <v>3507</v>
      </c>
      <c r="C781" s="1">
        <v>44579</v>
      </c>
      <c r="D781" s="1">
        <v>44826</v>
      </c>
      <c r="E781" t="s">
        <v>65</v>
      </c>
      <c r="F781" t="s">
        <v>51</v>
      </c>
      <c r="G781" t="s">
        <v>343</v>
      </c>
      <c r="H781" t="s">
        <v>147</v>
      </c>
      <c r="I781" t="s">
        <v>1120</v>
      </c>
      <c r="J781" t="s">
        <v>38</v>
      </c>
      <c r="K781" t="s">
        <v>81</v>
      </c>
      <c r="L781" t="s">
        <v>1121</v>
      </c>
      <c r="M781">
        <v>453.78</v>
      </c>
      <c r="N781">
        <v>75</v>
      </c>
      <c r="O781" t="s">
        <v>2682</v>
      </c>
      <c r="P781" t="s">
        <v>108</v>
      </c>
      <c r="Q781" t="s">
        <v>517</v>
      </c>
      <c r="R781" t="s">
        <v>60</v>
      </c>
      <c r="S781" t="s">
        <v>87</v>
      </c>
      <c r="T781" t="s">
        <v>470</v>
      </c>
      <c r="U781">
        <v>4113</v>
      </c>
      <c r="V781">
        <v>194</v>
      </c>
      <c r="W781">
        <v>2</v>
      </c>
      <c r="X781">
        <v>1456.29</v>
      </c>
      <c r="Y781">
        <v>83.03</v>
      </c>
      <c r="Z781">
        <v>1539.32</v>
      </c>
      <c r="AA781" t="s">
        <v>62</v>
      </c>
      <c r="AB781">
        <v>0</v>
      </c>
      <c r="AC781">
        <v>91.4</v>
      </c>
      <c r="AD781">
        <v>400</v>
      </c>
      <c r="AE781">
        <v>423</v>
      </c>
    </row>
    <row r="782" spans="1:31" x14ac:dyDescent="0.25">
      <c r="A782" t="s">
        <v>3508</v>
      </c>
      <c r="B782" t="s">
        <v>3509</v>
      </c>
      <c r="C782" s="1">
        <v>44793</v>
      </c>
      <c r="D782" s="1">
        <v>44837</v>
      </c>
      <c r="E782" t="s">
        <v>50</v>
      </c>
      <c r="F782" t="s">
        <v>146</v>
      </c>
      <c r="G782" t="s">
        <v>35</v>
      </c>
      <c r="H782" t="s">
        <v>79</v>
      </c>
      <c r="I782" t="s">
        <v>711</v>
      </c>
      <c r="J782" t="s">
        <v>38</v>
      </c>
      <c r="K782" t="s">
        <v>81</v>
      </c>
      <c r="L782" t="s">
        <v>712</v>
      </c>
      <c r="M782">
        <v>432.89</v>
      </c>
      <c r="N782">
        <v>94</v>
      </c>
      <c r="O782" t="s">
        <v>862</v>
      </c>
      <c r="P782" t="s">
        <v>42</v>
      </c>
      <c r="Q782" t="s">
        <v>97</v>
      </c>
      <c r="R782" t="s">
        <v>86</v>
      </c>
      <c r="S782" t="s">
        <v>87</v>
      </c>
      <c r="T782" t="s">
        <v>511</v>
      </c>
      <c r="U782">
        <v>4856</v>
      </c>
      <c r="V782">
        <v>307</v>
      </c>
      <c r="W782">
        <v>5</v>
      </c>
      <c r="X782">
        <v>1693.95</v>
      </c>
      <c r="Y782">
        <v>78.17</v>
      </c>
      <c r="Z782">
        <v>1772.12</v>
      </c>
      <c r="AA782" t="s">
        <v>62</v>
      </c>
      <c r="AB782">
        <v>0</v>
      </c>
      <c r="AC782">
        <v>78.84</v>
      </c>
      <c r="AD782">
        <v>328</v>
      </c>
      <c r="AE782">
        <v>323</v>
      </c>
    </row>
    <row r="783" spans="1:31" x14ac:dyDescent="0.25">
      <c r="A783" t="s">
        <v>3510</v>
      </c>
      <c r="B783" t="s">
        <v>3511</v>
      </c>
      <c r="C783" s="1">
        <v>45645</v>
      </c>
      <c r="D783" s="1">
        <v>44689</v>
      </c>
      <c r="E783" t="s">
        <v>65</v>
      </c>
      <c r="F783" t="s">
        <v>34</v>
      </c>
      <c r="G783" t="s">
        <v>102</v>
      </c>
      <c r="H783" t="s">
        <v>36</v>
      </c>
      <c r="I783" t="s">
        <v>3512</v>
      </c>
      <c r="J783" t="s">
        <v>38</v>
      </c>
      <c r="K783" t="s">
        <v>81</v>
      </c>
      <c r="L783" t="s">
        <v>3513</v>
      </c>
      <c r="M783">
        <v>145.74</v>
      </c>
      <c r="N783">
        <v>16</v>
      </c>
      <c r="O783" t="s">
        <v>3061</v>
      </c>
      <c r="P783" t="s">
        <v>42</v>
      </c>
      <c r="Q783" t="s">
        <v>458</v>
      </c>
      <c r="R783" t="s">
        <v>86</v>
      </c>
      <c r="S783" t="s">
        <v>126</v>
      </c>
      <c r="T783" t="s">
        <v>143</v>
      </c>
      <c r="U783">
        <v>540</v>
      </c>
      <c r="V783">
        <v>257</v>
      </c>
      <c r="W783">
        <v>13</v>
      </c>
      <c r="X783">
        <v>1460.11</v>
      </c>
      <c r="Y783">
        <v>136.22999999999999</v>
      </c>
      <c r="Z783">
        <v>1596.34</v>
      </c>
      <c r="AA783" t="s">
        <v>62</v>
      </c>
      <c r="AB783">
        <v>0</v>
      </c>
      <c r="AC783">
        <v>95.04</v>
      </c>
      <c r="AD783">
        <v>437</v>
      </c>
      <c r="AE783">
        <v>455</v>
      </c>
    </row>
    <row r="784" spans="1:31" x14ac:dyDescent="0.25">
      <c r="A784" t="s">
        <v>3514</v>
      </c>
      <c r="B784" t="s">
        <v>472</v>
      </c>
      <c r="C784" s="1">
        <v>45061</v>
      </c>
      <c r="D784" s="1">
        <v>45551</v>
      </c>
      <c r="E784" t="s">
        <v>65</v>
      </c>
      <c r="F784" t="s">
        <v>51</v>
      </c>
      <c r="G784" t="s">
        <v>113</v>
      </c>
      <c r="H784" t="s">
        <v>79</v>
      </c>
      <c r="I784" t="s">
        <v>3515</v>
      </c>
      <c r="J784" t="s">
        <v>165</v>
      </c>
      <c r="K784" t="s">
        <v>202</v>
      </c>
      <c r="L784" t="s">
        <v>3516</v>
      </c>
      <c r="M784">
        <v>197.37</v>
      </c>
      <c r="N784">
        <v>33</v>
      </c>
      <c r="O784" t="s">
        <v>3517</v>
      </c>
      <c r="P784" t="s">
        <v>141</v>
      </c>
      <c r="Q784" t="s">
        <v>43</v>
      </c>
      <c r="R784" t="s">
        <v>60</v>
      </c>
      <c r="S784" t="s">
        <v>98</v>
      </c>
      <c r="T784" t="s">
        <v>721</v>
      </c>
      <c r="U784">
        <v>4597</v>
      </c>
      <c r="V784">
        <v>52</v>
      </c>
      <c r="W784">
        <v>11</v>
      </c>
      <c r="X784">
        <v>562.11</v>
      </c>
      <c r="Y784">
        <v>290.64999999999998</v>
      </c>
      <c r="Z784">
        <v>852.76</v>
      </c>
      <c r="AA784" t="s">
        <v>62</v>
      </c>
      <c r="AB784">
        <v>0</v>
      </c>
      <c r="AC784">
        <v>70.13</v>
      </c>
      <c r="AD784">
        <v>394</v>
      </c>
      <c r="AE784">
        <v>424</v>
      </c>
    </row>
    <row r="785" spans="1:31" x14ac:dyDescent="0.25">
      <c r="A785" t="s">
        <v>3518</v>
      </c>
      <c r="B785" t="s">
        <v>3519</v>
      </c>
      <c r="C785" s="1">
        <v>43897</v>
      </c>
      <c r="D785" s="1">
        <v>45557</v>
      </c>
      <c r="E785" t="s">
        <v>65</v>
      </c>
      <c r="F785" t="s">
        <v>34</v>
      </c>
      <c r="G785" t="s">
        <v>78</v>
      </c>
      <c r="H785" t="s">
        <v>53</v>
      </c>
      <c r="I785" t="s">
        <v>3520</v>
      </c>
      <c r="J785" t="s">
        <v>104</v>
      </c>
      <c r="K785" t="s">
        <v>105</v>
      </c>
      <c r="L785" t="s">
        <v>3521</v>
      </c>
      <c r="M785">
        <v>395.29</v>
      </c>
      <c r="N785">
        <v>95</v>
      </c>
      <c r="O785" t="s">
        <v>1724</v>
      </c>
      <c r="P785" t="s">
        <v>108</v>
      </c>
      <c r="Q785" t="s">
        <v>159</v>
      </c>
      <c r="R785" t="s">
        <v>152</v>
      </c>
      <c r="S785" t="s">
        <v>45</v>
      </c>
      <c r="T785" t="s">
        <v>225</v>
      </c>
      <c r="U785">
        <v>2744</v>
      </c>
      <c r="V785">
        <v>61</v>
      </c>
      <c r="W785">
        <v>7</v>
      </c>
      <c r="X785">
        <v>1232.26</v>
      </c>
      <c r="Y785">
        <v>104.36</v>
      </c>
      <c r="Z785">
        <v>1336.62</v>
      </c>
      <c r="AA785" t="s">
        <v>62</v>
      </c>
      <c r="AB785">
        <v>0</v>
      </c>
      <c r="AC785">
        <v>90.73</v>
      </c>
      <c r="AD785">
        <v>377</v>
      </c>
      <c r="AE785">
        <v>389</v>
      </c>
    </row>
    <row r="786" spans="1:31" x14ac:dyDescent="0.25">
      <c r="A786" t="s">
        <v>3522</v>
      </c>
      <c r="B786" t="s">
        <v>3523</v>
      </c>
      <c r="C786" s="1">
        <v>44972</v>
      </c>
      <c r="D786" s="1">
        <v>44886</v>
      </c>
      <c r="E786" t="s">
        <v>50</v>
      </c>
      <c r="F786" t="s">
        <v>51</v>
      </c>
      <c r="G786" t="s">
        <v>102</v>
      </c>
      <c r="H786" t="s">
        <v>67</v>
      </c>
      <c r="I786" t="s">
        <v>3524</v>
      </c>
      <c r="J786" t="s">
        <v>104</v>
      </c>
      <c r="K786" t="s">
        <v>105</v>
      </c>
      <c r="L786" t="s">
        <v>3525</v>
      </c>
      <c r="M786">
        <v>274.45</v>
      </c>
      <c r="N786">
        <v>12</v>
      </c>
      <c r="O786" t="s">
        <v>3171</v>
      </c>
      <c r="P786" t="s">
        <v>84</v>
      </c>
      <c r="Q786" t="s">
        <v>333</v>
      </c>
      <c r="R786" t="s">
        <v>44</v>
      </c>
      <c r="S786" t="s">
        <v>87</v>
      </c>
      <c r="T786" t="s">
        <v>192</v>
      </c>
      <c r="U786">
        <v>3766</v>
      </c>
      <c r="V786">
        <v>104</v>
      </c>
      <c r="W786">
        <v>7</v>
      </c>
      <c r="X786">
        <v>81.19</v>
      </c>
      <c r="Y786">
        <v>104.59</v>
      </c>
      <c r="Z786">
        <v>185.78</v>
      </c>
      <c r="AA786" t="s">
        <v>62</v>
      </c>
      <c r="AB786">
        <v>0</v>
      </c>
      <c r="AC786">
        <v>77.62</v>
      </c>
      <c r="AD786">
        <v>311</v>
      </c>
      <c r="AE786">
        <v>318</v>
      </c>
    </row>
    <row r="787" spans="1:31" x14ac:dyDescent="0.25">
      <c r="A787" t="s">
        <v>3526</v>
      </c>
      <c r="B787" t="s">
        <v>3527</v>
      </c>
      <c r="C787" s="1">
        <v>44887</v>
      </c>
      <c r="D787" s="1">
        <v>44746</v>
      </c>
      <c r="E787" t="s">
        <v>65</v>
      </c>
      <c r="F787" t="s">
        <v>51</v>
      </c>
      <c r="G787" t="s">
        <v>66</v>
      </c>
      <c r="H787" t="s">
        <v>79</v>
      </c>
      <c r="I787" t="s">
        <v>1140</v>
      </c>
      <c r="J787" t="s">
        <v>104</v>
      </c>
      <c r="K787" t="s">
        <v>554</v>
      </c>
      <c r="L787" t="s">
        <v>1141</v>
      </c>
      <c r="M787">
        <v>188.62</v>
      </c>
      <c r="N787">
        <v>68</v>
      </c>
      <c r="O787" t="s">
        <v>3293</v>
      </c>
      <c r="P787" t="s">
        <v>42</v>
      </c>
      <c r="Q787" t="s">
        <v>562</v>
      </c>
      <c r="R787" t="s">
        <v>44</v>
      </c>
      <c r="S787" t="s">
        <v>126</v>
      </c>
      <c r="T787" t="s">
        <v>1038</v>
      </c>
      <c r="U787">
        <v>4103</v>
      </c>
      <c r="V787">
        <v>112</v>
      </c>
      <c r="W787">
        <v>13</v>
      </c>
      <c r="X787">
        <v>656.27</v>
      </c>
      <c r="Y787">
        <v>34.56</v>
      </c>
      <c r="Z787">
        <v>690.82999999999993</v>
      </c>
      <c r="AA787" t="s">
        <v>62</v>
      </c>
      <c r="AB787">
        <v>0</v>
      </c>
      <c r="AC787">
        <v>97.78</v>
      </c>
      <c r="AD787">
        <v>160</v>
      </c>
      <c r="AE787">
        <v>126</v>
      </c>
    </row>
    <row r="788" spans="1:31" x14ac:dyDescent="0.25">
      <c r="A788" t="s">
        <v>3528</v>
      </c>
      <c r="B788" t="s">
        <v>3529</v>
      </c>
      <c r="C788" s="1">
        <v>43976</v>
      </c>
      <c r="D788" s="1">
        <v>45400</v>
      </c>
      <c r="E788" t="s">
        <v>33</v>
      </c>
      <c r="F788" t="s">
        <v>34</v>
      </c>
      <c r="G788" t="s">
        <v>102</v>
      </c>
      <c r="H788" t="s">
        <v>67</v>
      </c>
      <c r="I788" t="s">
        <v>2400</v>
      </c>
      <c r="J788" t="s">
        <v>38</v>
      </c>
      <c r="K788" t="s">
        <v>338</v>
      </c>
      <c r="L788" t="s">
        <v>2401</v>
      </c>
      <c r="M788">
        <v>489.09</v>
      </c>
      <c r="N788">
        <v>46</v>
      </c>
      <c r="O788" t="s">
        <v>3530</v>
      </c>
      <c r="P788" t="s">
        <v>108</v>
      </c>
      <c r="Q788" t="s">
        <v>252</v>
      </c>
      <c r="R788" t="s">
        <v>152</v>
      </c>
      <c r="S788" t="s">
        <v>73</v>
      </c>
      <c r="T788" t="s">
        <v>359</v>
      </c>
      <c r="U788">
        <v>4620</v>
      </c>
      <c r="V788">
        <v>269</v>
      </c>
      <c r="W788">
        <v>21</v>
      </c>
      <c r="X788">
        <v>1169.06</v>
      </c>
      <c r="Y788">
        <v>290.87</v>
      </c>
      <c r="Z788">
        <v>1459.93</v>
      </c>
      <c r="AA788" t="s">
        <v>47</v>
      </c>
      <c r="AB788">
        <v>14</v>
      </c>
      <c r="AC788">
        <v>89.02</v>
      </c>
      <c r="AD788">
        <v>94</v>
      </c>
      <c r="AE788">
        <v>142</v>
      </c>
    </row>
    <row r="789" spans="1:31" x14ac:dyDescent="0.25">
      <c r="A789" t="s">
        <v>3531</v>
      </c>
      <c r="B789" t="s">
        <v>3532</v>
      </c>
      <c r="C789" s="1">
        <v>44643</v>
      </c>
      <c r="D789" s="1">
        <v>44615</v>
      </c>
      <c r="E789" t="s">
        <v>65</v>
      </c>
      <c r="F789" t="s">
        <v>51</v>
      </c>
      <c r="G789" t="s">
        <v>113</v>
      </c>
      <c r="H789" t="s">
        <v>67</v>
      </c>
      <c r="I789" t="s">
        <v>3533</v>
      </c>
      <c r="J789" t="s">
        <v>38</v>
      </c>
      <c r="K789" t="s">
        <v>94</v>
      </c>
      <c r="L789" t="s">
        <v>3534</v>
      </c>
      <c r="M789">
        <v>72.3</v>
      </c>
      <c r="N789">
        <v>13</v>
      </c>
      <c r="O789" t="s">
        <v>2635</v>
      </c>
      <c r="P789" t="s">
        <v>42</v>
      </c>
      <c r="Q789" t="s">
        <v>85</v>
      </c>
      <c r="R789" t="s">
        <v>60</v>
      </c>
      <c r="S789" t="s">
        <v>126</v>
      </c>
      <c r="T789" t="s">
        <v>334</v>
      </c>
      <c r="U789">
        <v>4884</v>
      </c>
      <c r="V789">
        <v>138</v>
      </c>
      <c r="W789">
        <v>18</v>
      </c>
      <c r="X789">
        <v>1033.71</v>
      </c>
      <c r="Y789">
        <v>408.02</v>
      </c>
      <c r="Z789">
        <v>1441.73</v>
      </c>
      <c r="AA789" t="s">
        <v>62</v>
      </c>
      <c r="AB789">
        <v>0</v>
      </c>
      <c r="AC789">
        <v>97.58</v>
      </c>
      <c r="AD789">
        <v>224</v>
      </c>
      <c r="AE789">
        <v>239</v>
      </c>
    </row>
    <row r="790" spans="1:31" x14ac:dyDescent="0.25">
      <c r="A790" t="s">
        <v>3535</v>
      </c>
      <c r="B790" t="s">
        <v>3536</v>
      </c>
      <c r="C790" s="1">
        <v>44358</v>
      </c>
      <c r="D790" s="1">
        <v>44299</v>
      </c>
      <c r="E790" t="s">
        <v>50</v>
      </c>
      <c r="F790" t="s">
        <v>77</v>
      </c>
      <c r="G790" t="s">
        <v>35</v>
      </c>
      <c r="H790" t="s">
        <v>221</v>
      </c>
      <c r="I790" t="s">
        <v>3537</v>
      </c>
      <c r="J790" t="s">
        <v>38</v>
      </c>
      <c r="K790" t="s">
        <v>55</v>
      </c>
      <c r="L790" t="s">
        <v>3538</v>
      </c>
      <c r="M790">
        <v>340.74</v>
      </c>
      <c r="N790">
        <v>65</v>
      </c>
      <c r="O790" t="s">
        <v>2145</v>
      </c>
      <c r="P790" t="s">
        <v>84</v>
      </c>
      <c r="Q790" t="s">
        <v>217</v>
      </c>
      <c r="R790" t="s">
        <v>60</v>
      </c>
      <c r="S790" t="s">
        <v>98</v>
      </c>
      <c r="T790" t="s">
        <v>177</v>
      </c>
      <c r="U790">
        <v>1076</v>
      </c>
      <c r="V790">
        <v>265</v>
      </c>
      <c r="W790">
        <v>22</v>
      </c>
      <c r="X790">
        <v>1008.22</v>
      </c>
      <c r="Y790">
        <v>64.62</v>
      </c>
      <c r="Z790">
        <v>1072.8399999999999</v>
      </c>
      <c r="AA790" t="s">
        <v>62</v>
      </c>
      <c r="AB790">
        <v>0</v>
      </c>
      <c r="AC790">
        <v>71.98</v>
      </c>
      <c r="AD790">
        <v>91</v>
      </c>
      <c r="AE790">
        <v>136</v>
      </c>
    </row>
    <row r="791" spans="1:31" x14ac:dyDescent="0.25">
      <c r="A791" t="s">
        <v>3539</v>
      </c>
      <c r="B791" t="s">
        <v>3540</v>
      </c>
      <c r="C791" s="1">
        <v>45152</v>
      </c>
      <c r="D791" s="1">
        <v>44474</v>
      </c>
      <c r="E791" t="s">
        <v>65</v>
      </c>
      <c r="F791" t="s">
        <v>77</v>
      </c>
      <c r="G791" t="s">
        <v>52</v>
      </c>
      <c r="H791" t="s">
        <v>79</v>
      </c>
      <c r="I791" t="s">
        <v>3541</v>
      </c>
      <c r="J791" t="s">
        <v>38</v>
      </c>
      <c r="K791" t="s">
        <v>263</v>
      </c>
      <c r="L791" t="s">
        <v>3542</v>
      </c>
      <c r="M791">
        <v>230.23</v>
      </c>
      <c r="N791">
        <v>24</v>
      </c>
      <c r="O791" t="s">
        <v>3543</v>
      </c>
      <c r="P791" t="s">
        <v>108</v>
      </c>
      <c r="Q791" t="s">
        <v>142</v>
      </c>
      <c r="R791" t="s">
        <v>44</v>
      </c>
      <c r="S791" t="s">
        <v>73</v>
      </c>
      <c r="T791" t="s">
        <v>170</v>
      </c>
      <c r="U791">
        <v>2781</v>
      </c>
      <c r="V791">
        <v>83</v>
      </c>
      <c r="W791">
        <v>24</v>
      </c>
      <c r="X791">
        <v>1107.58</v>
      </c>
      <c r="Y791">
        <v>484.19</v>
      </c>
      <c r="Z791">
        <v>1591.77</v>
      </c>
      <c r="AA791" t="s">
        <v>62</v>
      </c>
      <c r="AB791">
        <v>0</v>
      </c>
      <c r="AC791">
        <v>97.09</v>
      </c>
      <c r="AD791">
        <v>277</v>
      </c>
      <c r="AE791">
        <v>276</v>
      </c>
    </row>
    <row r="792" spans="1:31" x14ac:dyDescent="0.25">
      <c r="A792" t="s">
        <v>3544</v>
      </c>
      <c r="B792" t="s">
        <v>3545</v>
      </c>
      <c r="C792" s="1">
        <v>44720</v>
      </c>
      <c r="D792" s="1">
        <v>45496</v>
      </c>
      <c r="E792" t="s">
        <v>65</v>
      </c>
      <c r="F792" t="s">
        <v>34</v>
      </c>
      <c r="G792" t="s">
        <v>78</v>
      </c>
      <c r="H792" t="s">
        <v>36</v>
      </c>
      <c r="I792" t="s">
        <v>1433</v>
      </c>
      <c r="J792" t="s">
        <v>165</v>
      </c>
      <c r="K792" t="s">
        <v>166</v>
      </c>
      <c r="L792" t="s">
        <v>1434</v>
      </c>
      <c r="M792">
        <v>457.87</v>
      </c>
      <c r="N792">
        <v>36</v>
      </c>
      <c r="O792" t="s">
        <v>469</v>
      </c>
      <c r="P792" t="s">
        <v>84</v>
      </c>
      <c r="Q792" t="s">
        <v>72</v>
      </c>
      <c r="R792" t="s">
        <v>86</v>
      </c>
      <c r="S792" t="s">
        <v>45</v>
      </c>
      <c r="T792" t="s">
        <v>119</v>
      </c>
      <c r="U792">
        <v>3673</v>
      </c>
      <c r="V792">
        <v>247</v>
      </c>
      <c r="W792">
        <v>17</v>
      </c>
      <c r="X792">
        <v>1308.17</v>
      </c>
      <c r="Y792">
        <v>451.39</v>
      </c>
      <c r="Z792">
        <v>1759.56</v>
      </c>
      <c r="AA792" t="s">
        <v>62</v>
      </c>
      <c r="AB792">
        <v>0</v>
      </c>
      <c r="AC792">
        <v>94.06</v>
      </c>
      <c r="AD792">
        <v>415</v>
      </c>
      <c r="AE792">
        <v>454</v>
      </c>
    </row>
    <row r="793" spans="1:31" x14ac:dyDescent="0.25">
      <c r="A793" t="s">
        <v>3546</v>
      </c>
      <c r="B793" t="s">
        <v>3547</v>
      </c>
      <c r="C793" s="1">
        <v>45101</v>
      </c>
      <c r="D793" s="1">
        <v>44613</v>
      </c>
      <c r="E793" t="s">
        <v>65</v>
      </c>
      <c r="F793" t="s">
        <v>146</v>
      </c>
      <c r="G793" t="s">
        <v>113</v>
      </c>
      <c r="H793" t="s">
        <v>114</v>
      </c>
      <c r="I793" t="s">
        <v>3246</v>
      </c>
      <c r="J793" t="s">
        <v>104</v>
      </c>
      <c r="K793" t="s">
        <v>105</v>
      </c>
      <c r="L793" t="s">
        <v>3247</v>
      </c>
      <c r="M793">
        <v>208.3</v>
      </c>
      <c r="N793">
        <v>38</v>
      </c>
      <c r="O793" t="s">
        <v>1652</v>
      </c>
      <c r="P793" t="s">
        <v>58</v>
      </c>
      <c r="Q793" t="s">
        <v>517</v>
      </c>
      <c r="R793" t="s">
        <v>60</v>
      </c>
      <c r="S793" t="s">
        <v>73</v>
      </c>
      <c r="T793" t="s">
        <v>654</v>
      </c>
      <c r="U793">
        <v>1294</v>
      </c>
      <c r="V793">
        <v>305</v>
      </c>
      <c r="W793">
        <v>13</v>
      </c>
      <c r="X793">
        <v>916.27</v>
      </c>
      <c r="Y793">
        <v>389.4</v>
      </c>
      <c r="Z793">
        <v>1305.67</v>
      </c>
      <c r="AA793" t="s">
        <v>62</v>
      </c>
      <c r="AB793">
        <v>0</v>
      </c>
      <c r="AC793">
        <v>97.95</v>
      </c>
      <c r="AD793">
        <v>200</v>
      </c>
      <c r="AE793">
        <v>199</v>
      </c>
    </row>
    <row r="794" spans="1:31" x14ac:dyDescent="0.25">
      <c r="A794" t="s">
        <v>3548</v>
      </c>
      <c r="B794" t="s">
        <v>3549</v>
      </c>
      <c r="C794" s="1">
        <v>44711</v>
      </c>
      <c r="D794" s="1">
        <v>44953</v>
      </c>
      <c r="E794" t="s">
        <v>65</v>
      </c>
      <c r="F794" t="s">
        <v>146</v>
      </c>
      <c r="G794" t="s">
        <v>78</v>
      </c>
      <c r="H794" t="s">
        <v>67</v>
      </c>
      <c r="I794" t="s">
        <v>3550</v>
      </c>
      <c r="J794" t="s">
        <v>104</v>
      </c>
      <c r="K794" t="s">
        <v>554</v>
      </c>
      <c r="L794" t="s">
        <v>3551</v>
      </c>
      <c r="M794">
        <v>19.11</v>
      </c>
      <c r="N794">
        <v>11</v>
      </c>
      <c r="O794" t="s">
        <v>3552</v>
      </c>
      <c r="P794" t="s">
        <v>42</v>
      </c>
      <c r="Q794" t="s">
        <v>232</v>
      </c>
      <c r="R794" t="s">
        <v>60</v>
      </c>
      <c r="S794" t="s">
        <v>45</v>
      </c>
      <c r="T794" t="s">
        <v>302</v>
      </c>
      <c r="U794">
        <v>1299</v>
      </c>
      <c r="V794">
        <v>169</v>
      </c>
      <c r="W794">
        <v>6</v>
      </c>
      <c r="X794">
        <v>464.72</v>
      </c>
      <c r="Y794">
        <v>211.48</v>
      </c>
      <c r="Z794">
        <v>676.2</v>
      </c>
      <c r="AA794" t="s">
        <v>62</v>
      </c>
      <c r="AB794">
        <v>0</v>
      </c>
      <c r="AC794">
        <v>77.05</v>
      </c>
      <c r="AD794">
        <v>421</v>
      </c>
      <c r="AE794">
        <v>393</v>
      </c>
    </row>
    <row r="795" spans="1:31" x14ac:dyDescent="0.25">
      <c r="A795" t="s">
        <v>3553</v>
      </c>
      <c r="B795" t="s">
        <v>3554</v>
      </c>
      <c r="C795" s="1">
        <v>45602</v>
      </c>
      <c r="D795" s="1">
        <v>44336</v>
      </c>
      <c r="E795" t="s">
        <v>33</v>
      </c>
      <c r="F795" t="s">
        <v>91</v>
      </c>
      <c r="G795" t="s">
        <v>102</v>
      </c>
      <c r="H795" t="s">
        <v>163</v>
      </c>
      <c r="I795" t="s">
        <v>3555</v>
      </c>
      <c r="J795" t="s">
        <v>38</v>
      </c>
      <c r="K795" t="s">
        <v>94</v>
      </c>
      <c r="L795" t="s">
        <v>3556</v>
      </c>
      <c r="M795">
        <v>380.6</v>
      </c>
      <c r="N795">
        <v>94</v>
      </c>
      <c r="O795" t="s">
        <v>1579</v>
      </c>
      <c r="P795" t="s">
        <v>84</v>
      </c>
      <c r="Q795" t="s">
        <v>238</v>
      </c>
      <c r="R795" t="s">
        <v>60</v>
      </c>
      <c r="S795" t="s">
        <v>87</v>
      </c>
      <c r="T795" t="s">
        <v>419</v>
      </c>
      <c r="U795">
        <v>1766</v>
      </c>
      <c r="V795">
        <v>87</v>
      </c>
      <c r="W795">
        <v>8</v>
      </c>
      <c r="X795">
        <v>1150.4100000000001</v>
      </c>
      <c r="Y795">
        <v>66.44</v>
      </c>
      <c r="Z795">
        <v>1216.8499999999999</v>
      </c>
      <c r="AA795" t="s">
        <v>62</v>
      </c>
      <c r="AB795">
        <v>0</v>
      </c>
      <c r="AC795">
        <v>96.94</v>
      </c>
      <c r="AD795">
        <v>400</v>
      </c>
      <c r="AE795">
        <v>395</v>
      </c>
    </row>
    <row r="796" spans="1:31" x14ac:dyDescent="0.25">
      <c r="A796" t="s">
        <v>3557</v>
      </c>
      <c r="B796" t="s">
        <v>3558</v>
      </c>
      <c r="C796" s="1">
        <v>44022</v>
      </c>
      <c r="D796" s="1">
        <v>44624</v>
      </c>
      <c r="E796" t="s">
        <v>65</v>
      </c>
      <c r="F796" t="s">
        <v>146</v>
      </c>
      <c r="G796" t="s">
        <v>35</v>
      </c>
      <c r="H796" t="s">
        <v>147</v>
      </c>
      <c r="I796" t="s">
        <v>3559</v>
      </c>
      <c r="J796" t="s">
        <v>38</v>
      </c>
      <c r="K796" t="s">
        <v>94</v>
      </c>
      <c r="L796" t="s">
        <v>3560</v>
      </c>
      <c r="M796">
        <v>196.13</v>
      </c>
      <c r="N796">
        <v>96</v>
      </c>
      <c r="O796" t="s">
        <v>3561</v>
      </c>
      <c r="P796" t="s">
        <v>108</v>
      </c>
      <c r="Q796" t="s">
        <v>353</v>
      </c>
      <c r="R796" t="s">
        <v>86</v>
      </c>
      <c r="S796" t="s">
        <v>87</v>
      </c>
      <c r="T796" t="s">
        <v>1168</v>
      </c>
      <c r="U796">
        <v>4621</v>
      </c>
      <c r="V796">
        <v>438</v>
      </c>
      <c r="W796">
        <v>4</v>
      </c>
      <c r="X796">
        <v>1790.83</v>
      </c>
      <c r="Y796">
        <v>421.52</v>
      </c>
      <c r="Z796">
        <v>2212.35</v>
      </c>
      <c r="AA796" t="s">
        <v>62</v>
      </c>
      <c r="AB796">
        <v>0</v>
      </c>
      <c r="AC796">
        <v>92.7</v>
      </c>
      <c r="AD796">
        <v>288</v>
      </c>
      <c r="AE796">
        <v>239</v>
      </c>
    </row>
    <row r="797" spans="1:31" x14ac:dyDescent="0.25">
      <c r="A797" t="s">
        <v>3562</v>
      </c>
      <c r="B797" t="s">
        <v>3563</v>
      </c>
      <c r="C797" s="1">
        <v>44486</v>
      </c>
      <c r="D797" s="1">
        <v>44177</v>
      </c>
      <c r="E797" t="s">
        <v>65</v>
      </c>
      <c r="F797" t="s">
        <v>34</v>
      </c>
      <c r="G797" t="s">
        <v>66</v>
      </c>
      <c r="H797" t="s">
        <v>221</v>
      </c>
      <c r="I797" t="s">
        <v>1650</v>
      </c>
      <c r="J797" t="s">
        <v>38</v>
      </c>
      <c r="K797" t="s">
        <v>94</v>
      </c>
      <c r="L797" t="s">
        <v>1651</v>
      </c>
      <c r="M797">
        <v>425.71</v>
      </c>
      <c r="N797">
        <v>71</v>
      </c>
      <c r="O797" t="s">
        <v>158</v>
      </c>
      <c r="P797" t="s">
        <v>84</v>
      </c>
      <c r="Q797" t="s">
        <v>151</v>
      </c>
      <c r="R797" t="s">
        <v>86</v>
      </c>
      <c r="S797" t="s">
        <v>126</v>
      </c>
      <c r="T797" t="s">
        <v>308</v>
      </c>
      <c r="U797">
        <v>4964</v>
      </c>
      <c r="V797">
        <v>475</v>
      </c>
      <c r="W797">
        <v>2</v>
      </c>
      <c r="X797">
        <v>1737.1</v>
      </c>
      <c r="Y797">
        <v>156.82</v>
      </c>
      <c r="Z797">
        <v>1893.92</v>
      </c>
      <c r="AA797" t="s">
        <v>62</v>
      </c>
      <c r="AB797">
        <v>0</v>
      </c>
      <c r="AC797">
        <v>90.07</v>
      </c>
      <c r="AD797">
        <v>355</v>
      </c>
      <c r="AE797">
        <v>381</v>
      </c>
    </row>
    <row r="798" spans="1:31" x14ac:dyDescent="0.25">
      <c r="A798" t="s">
        <v>3564</v>
      </c>
      <c r="B798" t="s">
        <v>3565</v>
      </c>
      <c r="C798" s="1">
        <v>45131</v>
      </c>
      <c r="D798" s="1">
        <v>45432</v>
      </c>
      <c r="E798" t="s">
        <v>65</v>
      </c>
      <c r="F798" t="s">
        <v>51</v>
      </c>
      <c r="G798" t="s">
        <v>113</v>
      </c>
      <c r="H798" t="s">
        <v>79</v>
      </c>
      <c r="I798" t="s">
        <v>3566</v>
      </c>
      <c r="J798" t="s">
        <v>38</v>
      </c>
      <c r="K798" t="s">
        <v>81</v>
      </c>
      <c r="L798" t="s">
        <v>3567</v>
      </c>
      <c r="M798">
        <v>33.69</v>
      </c>
      <c r="N798">
        <v>90</v>
      </c>
      <c r="O798" t="s">
        <v>3228</v>
      </c>
      <c r="P798" t="s">
        <v>58</v>
      </c>
      <c r="Q798" t="s">
        <v>425</v>
      </c>
      <c r="R798" t="s">
        <v>86</v>
      </c>
      <c r="S798" t="s">
        <v>45</v>
      </c>
      <c r="T798" t="s">
        <v>61</v>
      </c>
      <c r="U798">
        <v>1594</v>
      </c>
      <c r="V798">
        <v>375</v>
      </c>
      <c r="W798">
        <v>10</v>
      </c>
      <c r="X798">
        <v>878.84</v>
      </c>
      <c r="Y798">
        <v>26.49</v>
      </c>
      <c r="Z798">
        <v>905.33</v>
      </c>
      <c r="AA798" t="s">
        <v>47</v>
      </c>
      <c r="AB798">
        <v>4</v>
      </c>
      <c r="AC798">
        <v>90.74</v>
      </c>
      <c r="AD798">
        <v>478</v>
      </c>
      <c r="AE798">
        <v>486</v>
      </c>
    </row>
    <row r="799" spans="1:31" x14ac:dyDescent="0.25">
      <c r="A799" t="s">
        <v>3568</v>
      </c>
      <c r="B799" t="s">
        <v>3569</v>
      </c>
      <c r="C799" s="1">
        <v>44664</v>
      </c>
      <c r="D799" s="1">
        <v>45442</v>
      </c>
      <c r="E799" t="s">
        <v>33</v>
      </c>
      <c r="F799" t="s">
        <v>51</v>
      </c>
      <c r="G799" t="s">
        <v>35</v>
      </c>
      <c r="H799" t="s">
        <v>36</v>
      </c>
      <c r="I799" t="s">
        <v>450</v>
      </c>
      <c r="J799" t="s">
        <v>38</v>
      </c>
      <c r="K799" t="s">
        <v>81</v>
      </c>
      <c r="L799" t="s">
        <v>451</v>
      </c>
      <c r="M799">
        <v>183.66</v>
      </c>
      <c r="N799">
        <v>83</v>
      </c>
      <c r="O799" t="s">
        <v>1454</v>
      </c>
      <c r="P799" t="s">
        <v>84</v>
      </c>
      <c r="Q799" t="s">
        <v>562</v>
      </c>
      <c r="R799" t="s">
        <v>60</v>
      </c>
      <c r="S799" t="s">
        <v>87</v>
      </c>
      <c r="T799" t="s">
        <v>314</v>
      </c>
      <c r="U799">
        <v>4970</v>
      </c>
      <c r="V799">
        <v>189</v>
      </c>
      <c r="W799">
        <v>23</v>
      </c>
      <c r="X799">
        <v>1902.13</v>
      </c>
      <c r="Y799">
        <v>73.88</v>
      </c>
      <c r="Z799">
        <v>1976.01</v>
      </c>
      <c r="AA799" t="s">
        <v>62</v>
      </c>
      <c r="AB799">
        <v>0</v>
      </c>
      <c r="AC799">
        <v>92.83</v>
      </c>
      <c r="AD799">
        <v>388</v>
      </c>
      <c r="AE799">
        <v>361</v>
      </c>
    </row>
    <row r="800" spans="1:31" x14ac:dyDescent="0.25">
      <c r="A800" t="s">
        <v>3570</v>
      </c>
      <c r="B800" t="s">
        <v>3571</v>
      </c>
      <c r="C800" s="1">
        <v>45619</v>
      </c>
      <c r="D800" s="1">
        <v>45023</v>
      </c>
      <c r="E800" t="s">
        <v>50</v>
      </c>
      <c r="F800" t="s">
        <v>34</v>
      </c>
      <c r="G800" t="s">
        <v>52</v>
      </c>
      <c r="H800" t="s">
        <v>114</v>
      </c>
      <c r="I800" t="s">
        <v>3572</v>
      </c>
      <c r="J800" t="s">
        <v>165</v>
      </c>
      <c r="K800" t="s">
        <v>202</v>
      </c>
      <c r="L800" t="s">
        <v>3573</v>
      </c>
      <c r="M800">
        <v>475.6</v>
      </c>
      <c r="N800">
        <v>14</v>
      </c>
      <c r="O800" t="s">
        <v>2226</v>
      </c>
      <c r="P800" t="s">
        <v>108</v>
      </c>
      <c r="Q800" t="s">
        <v>613</v>
      </c>
      <c r="R800" t="s">
        <v>60</v>
      </c>
      <c r="S800" t="s">
        <v>73</v>
      </c>
      <c r="T800" t="s">
        <v>470</v>
      </c>
      <c r="U800">
        <v>3153</v>
      </c>
      <c r="V800">
        <v>313</v>
      </c>
      <c r="W800">
        <v>21</v>
      </c>
      <c r="X800">
        <v>1317.73</v>
      </c>
      <c r="Y800">
        <v>450.21</v>
      </c>
      <c r="Z800">
        <v>1767.94</v>
      </c>
      <c r="AA800" t="s">
        <v>62</v>
      </c>
      <c r="AB800">
        <v>0</v>
      </c>
      <c r="AC800">
        <v>71.37</v>
      </c>
      <c r="AD800">
        <v>260</v>
      </c>
      <c r="AE800">
        <v>273</v>
      </c>
    </row>
    <row r="801" spans="1:31" x14ac:dyDescent="0.25">
      <c r="A801" t="s">
        <v>3574</v>
      </c>
      <c r="B801" t="s">
        <v>3575</v>
      </c>
      <c r="C801" s="1">
        <v>44171</v>
      </c>
      <c r="D801" s="1">
        <v>45366</v>
      </c>
      <c r="E801" t="s">
        <v>65</v>
      </c>
      <c r="F801" t="s">
        <v>77</v>
      </c>
      <c r="G801" t="s">
        <v>113</v>
      </c>
      <c r="H801" t="s">
        <v>114</v>
      </c>
      <c r="I801" t="s">
        <v>3576</v>
      </c>
      <c r="J801" t="s">
        <v>38</v>
      </c>
      <c r="K801" t="s">
        <v>94</v>
      </c>
      <c r="L801" t="s">
        <v>3577</v>
      </c>
      <c r="M801">
        <v>196.45</v>
      </c>
      <c r="N801">
        <v>85</v>
      </c>
      <c r="O801" t="s">
        <v>568</v>
      </c>
      <c r="P801" t="s">
        <v>58</v>
      </c>
      <c r="Q801" t="s">
        <v>245</v>
      </c>
      <c r="R801" t="s">
        <v>152</v>
      </c>
      <c r="S801" t="s">
        <v>73</v>
      </c>
      <c r="T801" t="s">
        <v>61</v>
      </c>
      <c r="U801">
        <v>2229</v>
      </c>
      <c r="V801">
        <v>216</v>
      </c>
      <c r="W801">
        <v>24</v>
      </c>
      <c r="X801">
        <v>1810.78</v>
      </c>
      <c r="Y801">
        <v>26.8</v>
      </c>
      <c r="Z801">
        <v>1837.58</v>
      </c>
      <c r="AA801" t="s">
        <v>62</v>
      </c>
      <c r="AB801">
        <v>0</v>
      </c>
      <c r="AC801">
        <v>71.61</v>
      </c>
      <c r="AD801">
        <v>427</v>
      </c>
      <c r="AE801">
        <v>452</v>
      </c>
    </row>
    <row r="802" spans="1:31" x14ac:dyDescent="0.25">
      <c r="A802" t="s">
        <v>3578</v>
      </c>
      <c r="B802" t="s">
        <v>3579</v>
      </c>
      <c r="C802" s="1">
        <v>44241</v>
      </c>
      <c r="D802" s="1">
        <v>44962</v>
      </c>
      <c r="E802" t="s">
        <v>50</v>
      </c>
      <c r="F802" t="s">
        <v>77</v>
      </c>
      <c r="G802" t="s">
        <v>78</v>
      </c>
      <c r="H802" t="s">
        <v>147</v>
      </c>
      <c r="I802" t="s">
        <v>3479</v>
      </c>
      <c r="J802" t="s">
        <v>38</v>
      </c>
      <c r="K802" t="s">
        <v>55</v>
      </c>
      <c r="L802" t="s">
        <v>3480</v>
      </c>
      <c r="M802">
        <v>496.49</v>
      </c>
      <c r="N802">
        <v>12</v>
      </c>
      <c r="O802" t="s">
        <v>1697</v>
      </c>
      <c r="P802" t="s">
        <v>108</v>
      </c>
      <c r="Q802" t="s">
        <v>252</v>
      </c>
      <c r="R802" t="s">
        <v>86</v>
      </c>
      <c r="S802" t="s">
        <v>126</v>
      </c>
      <c r="T802" t="s">
        <v>910</v>
      </c>
      <c r="U802">
        <v>1959</v>
      </c>
      <c r="V802">
        <v>90</v>
      </c>
      <c r="W802">
        <v>6</v>
      </c>
      <c r="X802">
        <v>179.15</v>
      </c>
      <c r="Y802">
        <v>36.72</v>
      </c>
      <c r="Z802">
        <v>215.87</v>
      </c>
      <c r="AA802" t="s">
        <v>62</v>
      </c>
      <c r="AB802">
        <v>0</v>
      </c>
      <c r="AC802">
        <v>92.89</v>
      </c>
      <c r="AD802">
        <v>487</v>
      </c>
      <c r="AE802">
        <v>450</v>
      </c>
    </row>
    <row r="803" spans="1:31" x14ac:dyDescent="0.25">
      <c r="A803" t="s">
        <v>3580</v>
      </c>
      <c r="B803" t="s">
        <v>3581</v>
      </c>
      <c r="C803" s="1">
        <v>45480</v>
      </c>
      <c r="D803" s="1">
        <v>44297</v>
      </c>
      <c r="E803" t="s">
        <v>65</v>
      </c>
      <c r="F803" t="s">
        <v>91</v>
      </c>
      <c r="G803" t="s">
        <v>78</v>
      </c>
      <c r="H803" t="s">
        <v>221</v>
      </c>
      <c r="I803" t="s">
        <v>3582</v>
      </c>
      <c r="J803" t="s">
        <v>38</v>
      </c>
      <c r="K803" t="s">
        <v>735</v>
      </c>
      <c r="L803" t="s">
        <v>3583</v>
      </c>
      <c r="M803">
        <v>215.64</v>
      </c>
      <c r="N803">
        <v>62</v>
      </c>
      <c r="O803" t="s">
        <v>2312</v>
      </c>
      <c r="P803" t="s">
        <v>58</v>
      </c>
      <c r="Q803" t="s">
        <v>327</v>
      </c>
      <c r="R803" t="s">
        <v>86</v>
      </c>
      <c r="S803" t="s">
        <v>87</v>
      </c>
      <c r="T803" t="s">
        <v>511</v>
      </c>
      <c r="U803">
        <v>4123</v>
      </c>
      <c r="V803">
        <v>78</v>
      </c>
      <c r="W803">
        <v>5</v>
      </c>
      <c r="X803">
        <v>1573.08</v>
      </c>
      <c r="Y803">
        <v>342.57</v>
      </c>
      <c r="Z803">
        <v>1915.65</v>
      </c>
      <c r="AA803" t="s">
        <v>62</v>
      </c>
      <c r="AB803">
        <v>0</v>
      </c>
      <c r="AC803">
        <v>85.86</v>
      </c>
      <c r="AD803">
        <v>331</v>
      </c>
      <c r="AE803">
        <v>299</v>
      </c>
    </row>
    <row r="804" spans="1:31" x14ac:dyDescent="0.25">
      <c r="A804" t="s">
        <v>3584</v>
      </c>
      <c r="B804" t="s">
        <v>3585</v>
      </c>
      <c r="C804" s="1">
        <v>44447</v>
      </c>
      <c r="D804" s="1">
        <v>45190</v>
      </c>
      <c r="E804" t="s">
        <v>65</v>
      </c>
      <c r="F804" t="s">
        <v>146</v>
      </c>
      <c r="G804" t="s">
        <v>113</v>
      </c>
      <c r="H804" t="s">
        <v>79</v>
      </c>
      <c r="I804" t="s">
        <v>3586</v>
      </c>
      <c r="J804" t="s">
        <v>165</v>
      </c>
      <c r="K804" t="s">
        <v>202</v>
      </c>
      <c r="L804" t="s">
        <v>3587</v>
      </c>
      <c r="M804">
        <v>447.98</v>
      </c>
      <c r="N804">
        <v>41</v>
      </c>
      <c r="O804" t="s">
        <v>431</v>
      </c>
      <c r="P804" t="s">
        <v>58</v>
      </c>
      <c r="Q804" t="s">
        <v>72</v>
      </c>
      <c r="R804" t="s">
        <v>44</v>
      </c>
      <c r="S804" t="s">
        <v>87</v>
      </c>
      <c r="T804" t="s">
        <v>545</v>
      </c>
      <c r="U804">
        <v>2568</v>
      </c>
      <c r="V804">
        <v>445</v>
      </c>
      <c r="W804">
        <v>21</v>
      </c>
      <c r="X804">
        <v>755.18</v>
      </c>
      <c r="Y804">
        <v>107.67</v>
      </c>
      <c r="Z804">
        <v>862.84999999999991</v>
      </c>
      <c r="AA804" t="s">
        <v>62</v>
      </c>
      <c r="AB804">
        <v>0</v>
      </c>
      <c r="AC804">
        <v>80.58</v>
      </c>
      <c r="AD804">
        <v>308</v>
      </c>
      <c r="AE804">
        <v>279</v>
      </c>
    </row>
    <row r="805" spans="1:31" x14ac:dyDescent="0.25">
      <c r="A805" t="s">
        <v>3588</v>
      </c>
      <c r="B805" t="s">
        <v>3589</v>
      </c>
      <c r="C805" s="1">
        <v>45070</v>
      </c>
      <c r="D805" s="1">
        <v>44105</v>
      </c>
      <c r="E805" t="s">
        <v>50</v>
      </c>
      <c r="F805" t="s">
        <v>34</v>
      </c>
      <c r="G805" t="s">
        <v>92</v>
      </c>
      <c r="H805" t="s">
        <v>114</v>
      </c>
      <c r="I805" t="s">
        <v>3590</v>
      </c>
      <c r="J805" t="s">
        <v>165</v>
      </c>
      <c r="K805" t="s">
        <v>202</v>
      </c>
      <c r="L805" t="s">
        <v>3591</v>
      </c>
      <c r="M805">
        <v>139.43</v>
      </c>
      <c r="N805">
        <v>85</v>
      </c>
      <c r="O805" t="s">
        <v>2640</v>
      </c>
      <c r="P805" t="s">
        <v>141</v>
      </c>
      <c r="Q805" t="s">
        <v>217</v>
      </c>
      <c r="R805" t="s">
        <v>44</v>
      </c>
      <c r="S805" t="s">
        <v>98</v>
      </c>
      <c r="T805" t="s">
        <v>239</v>
      </c>
      <c r="U805">
        <v>296</v>
      </c>
      <c r="V805">
        <v>337</v>
      </c>
      <c r="W805">
        <v>24</v>
      </c>
      <c r="X805">
        <v>1503.56</v>
      </c>
      <c r="Y805">
        <v>155.46</v>
      </c>
      <c r="Z805">
        <v>1659.02</v>
      </c>
      <c r="AA805" t="s">
        <v>62</v>
      </c>
      <c r="AB805">
        <v>0</v>
      </c>
      <c r="AC805">
        <v>89.89</v>
      </c>
      <c r="AD805">
        <v>223</v>
      </c>
      <c r="AE805">
        <v>257</v>
      </c>
    </row>
    <row r="806" spans="1:31" x14ac:dyDescent="0.25">
      <c r="A806" t="s">
        <v>3592</v>
      </c>
      <c r="B806" t="s">
        <v>3593</v>
      </c>
      <c r="C806" s="1">
        <v>44090</v>
      </c>
      <c r="D806" s="1">
        <v>44780</v>
      </c>
      <c r="E806" t="s">
        <v>65</v>
      </c>
      <c r="F806" t="s">
        <v>146</v>
      </c>
      <c r="G806" t="s">
        <v>113</v>
      </c>
      <c r="H806" t="s">
        <v>79</v>
      </c>
      <c r="I806" t="s">
        <v>3594</v>
      </c>
      <c r="J806" t="s">
        <v>165</v>
      </c>
      <c r="K806" t="s">
        <v>202</v>
      </c>
      <c r="L806" t="s">
        <v>3595</v>
      </c>
      <c r="M806">
        <v>416.84</v>
      </c>
      <c r="N806">
        <v>86</v>
      </c>
      <c r="O806" t="s">
        <v>2386</v>
      </c>
      <c r="P806" t="s">
        <v>108</v>
      </c>
      <c r="Q806" t="s">
        <v>708</v>
      </c>
      <c r="R806" t="s">
        <v>60</v>
      </c>
      <c r="S806" t="s">
        <v>87</v>
      </c>
      <c r="T806" t="s">
        <v>627</v>
      </c>
      <c r="U806">
        <v>1206</v>
      </c>
      <c r="V806">
        <v>199</v>
      </c>
      <c r="W806">
        <v>21</v>
      </c>
      <c r="X806">
        <v>1770.18</v>
      </c>
      <c r="Y806">
        <v>161.38</v>
      </c>
      <c r="Z806">
        <v>1931.56</v>
      </c>
      <c r="AA806" t="s">
        <v>62</v>
      </c>
      <c r="AB806">
        <v>0</v>
      </c>
      <c r="AC806">
        <v>77.959999999999994</v>
      </c>
      <c r="AD806">
        <v>387</v>
      </c>
      <c r="AE806">
        <v>418</v>
      </c>
    </row>
    <row r="807" spans="1:31" x14ac:dyDescent="0.25">
      <c r="A807" t="s">
        <v>3596</v>
      </c>
      <c r="B807" t="s">
        <v>3597</v>
      </c>
      <c r="C807" s="1">
        <v>44498</v>
      </c>
      <c r="D807" s="1">
        <v>44006</v>
      </c>
      <c r="E807" t="s">
        <v>65</v>
      </c>
      <c r="F807" t="s">
        <v>77</v>
      </c>
      <c r="G807" t="s">
        <v>78</v>
      </c>
      <c r="H807" t="s">
        <v>79</v>
      </c>
      <c r="I807" t="s">
        <v>3241</v>
      </c>
      <c r="J807" t="s">
        <v>165</v>
      </c>
      <c r="K807" t="s">
        <v>202</v>
      </c>
      <c r="L807" t="s">
        <v>3242</v>
      </c>
      <c r="M807">
        <v>87.94</v>
      </c>
      <c r="N807">
        <v>59</v>
      </c>
      <c r="O807" t="s">
        <v>1664</v>
      </c>
      <c r="P807" t="s">
        <v>141</v>
      </c>
      <c r="Q807" t="s">
        <v>333</v>
      </c>
      <c r="R807" t="s">
        <v>86</v>
      </c>
      <c r="S807" t="s">
        <v>98</v>
      </c>
      <c r="T807" t="s">
        <v>916</v>
      </c>
      <c r="U807">
        <v>678</v>
      </c>
      <c r="V807">
        <v>271</v>
      </c>
      <c r="W807">
        <v>3</v>
      </c>
      <c r="X807">
        <v>185.96</v>
      </c>
      <c r="Y807">
        <v>379.5</v>
      </c>
      <c r="Z807">
        <v>565.46</v>
      </c>
      <c r="AA807" t="s">
        <v>62</v>
      </c>
      <c r="AB807">
        <v>0</v>
      </c>
      <c r="AC807">
        <v>75.08</v>
      </c>
      <c r="AD807">
        <v>200</v>
      </c>
      <c r="AE807">
        <v>186</v>
      </c>
    </row>
    <row r="808" spans="1:31" x14ac:dyDescent="0.25">
      <c r="A808" t="s">
        <v>3598</v>
      </c>
      <c r="B808" t="s">
        <v>3599</v>
      </c>
      <c r="C808" s="1">
        <v>44992</v>
      </c>
      <c r="D808" s="1">
        <v>44988</v>
      </c>
      <c r="E808" t="s">
        <v>50</v>
      </c>
      <c r="F808" t="s">
        <v>91</v>
      </c>
      <c r="G808" t="s">
        <v>113</v>
      </c>
      <c r="H808" t="s">
        <v>114</v>
      </c>
      <c r="I808" t="s">
        <v>2559</v>
      </c>
      <c r="J808" t="s">
        <v>165</v>
      </c>
      <c r="K808" t="s">
        <v>166</v>
      </c>
      <c r="L808" t="s">
        <v>2560</v>
      </c>
      <c r="M808">
        <v>141.04</v>
      </c>
      <c r="N808">
        <v>73</v>
      </c>
      <c r="O808" t="s">
        <v>1472</v>
      </c>
      <c r="P808" t="s">
        <v>58</v>
      </c>
      <c r="Q808" t="s">
        <v>125</v>
      </c>
      <c r="R808" t="s">
        <v>60</v>
      </c>
      <c r="S808" t="s">
        <v>73</v>
      </c>
      <c r="T808" t="s">
        <v>371</v>
      </c>
      <c r="U808">
        <v>1285</v>
      </c>
      <c r="V808">
        <v>364</v>
      </c>
      <c r="W808">
        <v>9</v>
      </c>
      <c r="X808">
        <v>294.70999999999998</v>
      </c>
      <c r="Y808">
        <v>141.6</v>
      </c>
      <c r="Z808">
        <v>436.30999999999989</v>
      </c>
      <c r="AA808" t="s">
        <v>62</v>
      </c>
      <c r="AB808">
        <v>0</v>
      </c>
      <c r="AC808">
        <v>79.28</v>
      </c>
      <c r="AD808">
        <v>91</v>
      </c>
      <c r="AE808">
        <v>71</v>
      </c>
    </row>
    <row r="809" spans="1:31" x14ac:dyDescent="0.25">
      <c r="A809" t="s">
        <v>3600</v>
      </c>
      <c r="B809" t="s">
        <v>3601</v>
      </c>
      <c r="C809" s="1">
        <v>44315</v>
      </c>
      <c r="D809" s="1">
        <v>44982</v>
      </c>
      <c r="E809" t="s">
        <v>65</v>
      </c>
      <c r="F809" t="s">
        <v>77</v>
      </c>
      <c r="G809" t="s">
        <v>113</v>
      </c>
      <c r="H809" t="s">
        <v>221</v>
      </c>
      <c r="I809" t="s">
        <v>2026</v>
      </c>
      <c r="J809" t="s">
        <v>165</v>
      </c>
      <c r="K809" t="s">
        <v>166</v>
      </c>
      <c r="L809" t="s">
        <v>2027</v>
      </c>
      <c r="M809">
        <v>92.79</v>
      </c>
      <c r="N809">
        <v>52</v>
      </c>
      <c r="O809" t="s">
        <v>3270</v>
      </c>
      <c r="P809" t="s">
        <v>141</v>
      </c>
      <c r="Q809" t="s">
        <v>238</v>
      </c>
      <c r="R809" t="s">
        <v>86</v>
      </c>
      <c r="S809" t="s">
        <v>126</v>
      </c>
      <c r="T809" t="s">
        <v>481</v>
      </c>
      <c r="U809">
        <v>828</v>
      </c>
      <c r="V809">
        <v>221</v>
      </c>
      <c r="W809">
        <v>27</v>
      </c>
      <c r="X809">
        <v>1626</v>
      </c>
      <c r="Y809">
        <v>382.27</v>
      </c>
      <c r="Z809">
        <v>2008.27</v>
      </c>
      <c r="AA809" t="s">
        <v>62</v>
      </c>
      <c r="AB809">
        <v>0</v>
      </c>
      <c r="AC809">
        <v>86.41</v>
      </c>
      <c r="AD809">
        <v>465</v>
      </c>
      <c r="AE809">
        <v>447</v>
      </c>
    </row>
    <row r="810" spans="1:31" x14ac:dyDescent="0.25">
      <c r="A810" t="s">
        <v>3602</v>
      </c>
      <c r="B810" t="s">
        <v>3603</v>
      </c>
      <c r="C810" s="1">
        <v>45376</v>
      </c>
      <c r="D810" s="1">
        <v>45167</v>
      </c>
      <c r="E810" t="s">
        <v>65</v>
      </c>
      <c r="F810" t="s">
        <v>51</v>
      </c>
      <c r="G810" t="s">
        <v>52</v>
      </c>
      <c r="H810" t="s">
        <v>79</v>
      </c>
      <c r="I810" t="s">
        <v>3604</v>
      </c>
      <c r="J810" t="s">
        <v>104</v>
      </c>
      <c r="K810" t="s">
        <v>181</v>
      </c>
      <c r="L810" t="s">
        <v>3605</v>
      </c>
      <c r="M810">
        <v>106.8</v>
      </c>
      <c r="N810">
        <v>16</v>
      </c>
      <c r="O810" t="s">
        <v>107</v>
      </c>
      <c r="P810" t="s">
        <v>42</v>
      </c>
      <c r="Q810" t="s">
        <v>151</v>
      </c>
      <c r="R810" t="s">
        <v>44</v>
      </c>
      <c r="S810" t="s">
        <v>126</v>
      </c>
      <c r="T810" t="s">
        <v>334</v>
      </c>
      <c r="U810">
        <v>2691</v>
      </c>
      <c r="V810">
        <v>400</v>
      </c>
      <c r="W810">
        <v>10</v>
      </c>
      <c r="X810">
        <v>1015.8</v>
      </c>
      <c r="Y810">
        <v>283.45999999999998</v>
      </c>
      <c r="Z810">
        <v>1299.26</v>
      </c>
      <c r="AA810" t="s">
        <v>62</v>
      </c>
      <c r="AB810">
        <v>0</v>
      </c>
      <c r="AC810">
        <v>73.260000000000005</v>
      </c>
      <c r="AD810">
        <v>90</v>
      </c>
      <c r="AE810">
        <v>72</v>
      </c>
    </row>
    <row r="811" spans="1:31" x14ac:dyDescent="0.25">
      <c r="A811" t="s">
        <v>3606</v>
      </c>
      <c r="B811" t="s">
        <v>3607</v>
      </c>
      <c r="C811" s="1">
        <v>45104</v>
      </c>
      <c r="D811" s="1">
        <v>43892</v>
      </c>
      <c r="E811" t="s">
        <v>50</v>
      </c>
      <c r="F811" t="s">
        <v>51</v>
      </c>
      <c r="G811" t="s">
        <v>35</v>
      </c>
      <c r="H811" t="s">
        <v>114</v>
      </c>
      <c r="I811" t="s">
        <v>1188</v>
      </c>
      <c r="J811" t="s">
        <v>38</v>
      </c>
      <c r="K811" t="s">
        <v>39</v>
      </c>
      <c r="L811" t="s">
        <v>1189</v>
      </c>
      <c r="M811">
        <v>82.36</v>
      </c>
      <c r="N811">
        <v>49</v>
      </c>
      <c r="O811" t="s">
        <v>3608</v>
      </c>
      <c r="P811" t="s">
        <v>141</v>
      </c>
      <c r="Q811" t="s">
        <v>72</v>
      </c>
      <c r="R811" t="s">
        <v>44</v>
      </c>
      <c r="S811" t="s">
        <v>126</v>
      </c>
      <c r="T811" t="s">
        <v>74</v>
      </c>
      <c r="U811">
        <v>3144</v>
      </c>
      <c r="V811">
        <v>439</v>
      </c>
      <c r="W811">
        <v>25</v>
      </c>
      <c r="X811">
        <v>1322.12</v>
      </c>
      <c r="Y811">
        <v>435.38</v>
      </c>
      <c r="Z811">
        <v>1757.5</v>
      </c>
      <c r="AA811" t="s">
        <v>62</v>
      </c>
      <c r="AB811">
        <v>0</v>
      </c>
      <c r="AC811">
        <v>93.89</v>
      </c>
      <c r="AD811">
        <v>67</v>
      </c>
      <c r="AE811">
        <v>36</v>
      </c>
    </row>
    <row r="812" spans="1:31" x14ac:dyDescent="0.25">
      <c r="A812" t="s">
        <v>3609</v>
      </c>
      <c r="B812" t="s">
        <v>3610</v>
      </c>
      <c r="C812" s="1">
        <v>45264</v>
      </c>
      <c r="D812" s="1">
        <v>43943</v>
      </c>
      <c r="E812" t="s">
        <v>65</v>
      </c>
      <c r="F812" t="s">
        <v>34</v>
      </c>
      <c r="G812" t="s">
        <v>343</v>
      </c>
      <c r="H812" t="s">
        <v>221</v>
      </c>
      <c r="I812" t="s">
        <v>3611</v>
      </c>
      <c r="J812" t="s">
        <v>38</v>
      </c>
      <c r="K812" t="s">
        <v>81</v>
      </c>
      <c r="L812" t="s">
        <v>3612</v>
      </c>
      <c r="M812">
        <v>495.34</v>
      </c>
      <c r="N812">
        <v>94</v>
      </c>
      <c r="O812" t="s">
        <v>3613</v>
      </c>
      <c r="P812" t="s">
        <v>108</v>
      </c>
      <c r="Q812" t="s">
        <v>72</v>
      </c>
      <c r="R812" t="s">
        <v>152</v>
      </c>
      <c r="S812" t="s">
        <v>73</v>
      </c>
      <c r="T812" t="s">
        <v>511</v>
      </c>
      <c r="U812">
        <v>3192</v>
      </c>
      <c r="V812">
        <v>470</v>
      </c>
      <c r="W812">
        <v>23</v>
      </c>
      <c r="X812">
        <v>1406</v>
      </c>
      <c r="Y812">
        <v>222.95</v>
      </c>
      <c r="Z812">
        <v>1628.95</v>
      </c>
      <c r="AA812" t="s">
        <v>62</v>
      </c>
      <c r="AB812">
        <v>0</v>
      </c>
      <c r="AC812">
        <v>75.739999999999995</v>
      </c>
      <c r="AD812">
        <v>495</v>
      </c>
      <c r="AE812">
        <v>476</v>
      </c>
    </row>
    <row r="813" spans="1:31" x14ac:dyDescent="0.25">
      <c r="A813" t="s">
        <v>3614</v>
      </c>
      <c r="B813" t="s">
        <v>3615</v>
      </c>
      <c r="C813" s="1">
        <v>44650</v>
      </c>
      <c r="D813" s="1">
        <v>44680</v>
      </c>
      <c r="E813" t="s">
        <v>65</v>
      </c>
      <c r="F813" t="s">
        <v>51</v>
      </c>
      <c r="G813" t="s">
        <v>102</v>
      </c>
      <c r="H813" t="s">
        <v>147</v>
      </c>
      <c r="I813" t="s">
        <v>3616</v>
      </c>
      <c r="J813" t="s">
        <v>38</v>
      </c>
      <c r="K813" t="s">
        <v>735</v>
      </c>
      <c r="L813" t="s">
        <v>3617</v>
      </c>
      <c r="M813">
        <v>51.83</v>
      </c>
      <c r="N813">
        <v>70</v>
      </c>
      <c r="O813" t="s">
        <v>3618</v>
      </c>
      <c r="P813" t="s">
        <v>108</v>
      </c>
      <c r="Q813" t="s">
        <v>491</v>
      </c>
      <c r="R813" t="s">
        <v>44</v>
      </c>
      <c r="S813" t="s">
        <v>87</v>
      </c>
      <c r="T813" t="s">
        <v>1004</v>
      </c>
      <c r="U813">
        <v>2811</v>
      </c>
      <c r="V813">
        <v>159</v>
      </c>
      <c r="W813">
        <v>7</v>
      </c>
      <c r="X813">
        <v>1945.16</v>
      </c>
      <c r="Y813">
        <v>497.24</v>
      </c>
      <c r="Z813">
        <v>2442.4</v>
      </c>
      <c r="AA813" t="s">
        <v>62</v>
      </c>
      <c r="AB813">
        <v>0</v>
      </c>
      <c r="AC813">
        <v>98.96</v>
      </c>
      <c r="AD813">
        <v>390</v>
      </c>
      <c r="AE813">
        <v>372</v>
      </c>
    </row>
    <row r="814" spans="1:31" x14ac:dyDescent="0.25">
      <c r="A814" t="s">
        <v>3619</v>
      </c>
      <c r="B814" t="s">
        <v>3620</v>
      </c>
      <c r="C814" s="1">
        <v>44229</v>
      </c>
      <c r="D814" s="1">
        <v>45389</v>
      </c>
      <c r="E814" t="s">
        <v>65</v>
      </c>
      <c r="F814" t="s">
        <v>91</v>
      </c>
      <c r="G814" t="s">
        <v>78</v>
      </c>
      <c r="H814" t="s">
        <v>163</v>
      </c>
      <c r="I814" t="s">
        <v>3079</v>
      </c>
      <c r="J814" t="s">
        <v>38</v>
      </c>
      <c r="K814" t="s">
        <v>735</v>
      </c>
      <c r="L814" t="s">
        <v>3080</v>
      </c>
      <c r="M814">
        <v>244.25</v>
      </c>
      <c r="N814">
        <v>83</v>
      </c>
      <c r="O814" t="s">
        <v>3621</v>
      </c>
      <c r="P814" t="s">
        <v>42</v>
      </c>
      <c r="Q814" t="s">
        <v>708</v>
      </c>
      <c r="R814" t="s">
        <v>152</v>
      </c>
      <c r="S814" t="s">
        <v>73</v>
      </c>
      <c r="T814" t="s">
        <v>206</v>
      </c>
      <c r="U814">
        <v>3908</v>
      </c>
      <c r="V814">
        <v>65</v>
      </c>
      <c r="W814">
        <v>23</v>
      </c>
      <c r="X814">
        <v>1851.92</v>
      </c>
      <c r="Y814">
        <v>467.29</v>
      </c>
      <c r="Z814">
        <v>2319.21</v>
      </c>
      <c r="AA814" t="s">
        <v>62</v>
      </c>
      <c r="AB814">
        <v>0</v>
      </c>
      <c r="AC814">
        <v>86.42</v>
      </c>
      <c r="AD814">
        <v>469</v>
      </c>
      <c r="AE814">
        <v>507</v>
      </c>
    </row>
    <row r="815" spans="1:31" x14ac:dyDescent="0.25">
      <c r="A815" t="s">
        <v>3622</v>
      </c>
      <c r="B815" t="s">
        <v>1105</v>
      </c>
      <c r="C815" s="1">
        <v>45573</v>
      </c>
      <c r="D815" s="1">
        <v>45185</v>
      </c>
      <c r="E815" t="s">
        <v>65</v>
      </c>
      <c r="F815" t="s">
        <v>51</v>
      </c>
      <c r="G815" t="s">
        <v>113</v>
      </c>
      <c r="H815" t="s">
        <v>79</v>
      </c>
      <c r="I815" t="s">
        <v>3623</v>
      </c>
      <c r="J815" t="s">
        <v>104</v>
      </c>
      <c r="K815" t="s">
        <v>105</v>
      </c>
      <c r="L815" t="s">
        <v>3624</v>
      </c>
      <c r="M815">
        <v>20.59</v>
      </c>
      <c r="N815">
        <v>83</v>
      </c>
      <c r="O815" t="s">
        <v>3625</v>
      </c>
      <c r="P815" t="s">
        <v>84</v>
      </c>
      <c r="Q815" t="s">
        <v>252</v>
      </c>
      <c r="R815" t="s">
        <v>152</v>
      </c>
      <c r="S815" t="s">
        <v>87</v>
      </c>
      <c r="T815" t="s">
        <v>177</v>
      </c>
      <c r="U815">
        <v>725</v>
      </c>
      <c r="V815">
        <v>481</v>
      </c>
      <c r="W815">
        <v>28</v>
      </c>
      <c r="X815">
        <v>501.74</v>
      </c>
      <c r="Y815">
        <v>415.58</v>
      </c>
      <c r="Z815">
        <v>917.31999999999994</v>
      </c>
      <c r="AA815" t="s">
        <v>62</v>
      </c>
      <c r="AB815">
        <v>0</v>
      </c>
      <c r="AC815">
        <v>82.79</v>
      </c>
      <c r="AD815">
        <v>72</v>
      </c>
      <c r="AE815">
        <v>98</v>
      </c>
    </row>
    <row r="816" spans="1:31" x14ac:dyDescent="0.25">
      <c r="A816" t="s">
        <v>3626</v>
      </c>
      <c r="B816" t="s">
        <v>3627</v>
      </c>
      <c r="C816" s="1">
        <v>43855</v>
      </c>
      <c r="D816" s="1">
        <v>44208</v>
      </c>
      <c r="E816" t="s">
        <v>65</v>
      </c>
      <c r="F816" t="s">
        <v>34</v>
      </c>
      <c r="G816" t="s">
        <v>102</v>
      </c>
      <c r="H816" t="s">
        <v>67</v>
      </c>
      <c r="I816" t="s">
        <v>3628</v>
      </c>
      <c r="J816" t="s">
        <v>104</v>
      </c>
      <c r="K816" t="s">
        <v>105</v>
      </c>
      <c r="L816" t="s">
        <v>3629</v>
      </c>
      <c r="M816">
        <v>254.64</v>
      </c>
      <c r="N816">
        <v>52</v>
      </c>
      <c r="O816" t="s">
        <v>3630</v>
      </c>
      <c r="P816" t="s">
        <v>58</v>
      </c>
      <c r="Q816" t="s">
        <v>517</v>
      </c>
      <c r="R816" t="s">
        <v>152</v>
      </c>
      <c r="S816" t="s">
        <v>87</v>
      </c>
      <c r="T816" t="s">
        <v>46</v>
      </c>
      <c r="U816">
        <v>1163</v>
      </c>
      <c r="V816">
        <v>474</v>
      </c>
      <c r="W816">
        <v>21</v>
      </c>
      <c r="X816">
        <v>1958.84</v>
      </c>
      <c r="Y816">
        <v>84.92</v>
      </c>
      <c r="Z816">
        <v>2043.76</v>
      </c>
      <c r="AA816" t="s">
        <v>62</v>
      </c>
      <c r="AB816">
        <v>0</v>
      </c>
      <c r="AC816">
        <v>99.12</v>
      </c>
      <c r="AD816">
        <v>165</v>
      </c>
      <c r="AE816">
        <v>186</v>
      </c>
    </row>
    <row r="817" spans="1:31" x14ac:dyDescent="0.25">
      <c r="A817" t="s">
        <v>3631</v>
      </c>
      <c r="B817" t="s">
        <v>3632</v>
      </c>
      <c r="C817" s="1">
        <v>44517</v>
      </c>
      <c r="D817" s="1">
        <v>44401</v>
      </c>
      <c r="E817" t="s">
        <v>65</v>
      </c>
      <c r="F817" t="s">
        <v>91</v>
      </c>
      <c r="G817" t="s">
        <v>113</v>
      </c>
      <c r="H817" t="s">
        <v>53</v>
      </c>
      <c r="I817" t="s">
        <v>3633</v>
      </c>
      <c r="J817" t="s">
        <v>104</v>
      </c>
      <c r="K817" t="s">
        <v>181</v>
      </c>
      <c r="L817" t="s">
        <v>3634</v>
      </c>
      <c r="M817">
        <v>303.64</v>
      </c>
      <c r="N817">
        <v>51</v>
      </c>
      <c r="O817" t="s">
        <v>3635</v>
      </c>
      <c r="P817" t="s">
        <v>58</v>
      </c>
      <c r="Q817" t="s">
        <v>295</v>
      </c>
      <c r="R817" t="s">
        <v>152</v>
      </c>
      <c r="S817" t="s">
        <v>45</v>
      </c>
      <c r="T817" t="s">
        <v>198</v>
      </c>
      <c r="U817">
        <v>2010</v>
      </c>
      <c r="V817">
        <v>200</v>
      </c>
      <c r="W817">
        <v>13</v>
      </c>
      <c r="X817">
        <v>272.11</v>
      </c>
      <c r="Y817">
        <v>446.51</v>
      </c>
      <c r="Z817">
        <v>718.62</v>
      </c>
      <c r="AA817" t="s">
        <v>62</v>
      </c>
      <c r="AB817">
        <v>0</v>
      </c>
      <c r="AC817">
        <v>99.46</v>
      </c>
      <c r="AD817">
        <v>351</v>
      </c>
      <c r="AE817">
        <v>307</v>
      </c>
    </row>
    <row r="818" spans="1:31" x14ac:dyDescent="0.25">
      <c r="A818" t="s">
        <v>3636</v>
      </c>
      <c r="B818" t="s">
        <v>3637</v>
      </c>
      <c r="C818" s="1">
        <v>44175</v>
      </c>
      <c r="D818" s="1">
        <v>44866</v>
      </c>
      <c r="E818" t="s">
        <v>50</v>
      </c>
      <c r="F818" t="s">
        <v>77</v>
      </c>
      <c r="G818" t="s">
        <v>92</v>
      </c>
      <c r="H818" t="s">
        <v>147</v>
      </c>
      <c r="I818" t="s">
        <v>3638</v>
      </c>
      <c r="J818" t="s">
        <v>104</v>
      </c>
      <c r="K818" t="s">
        <v>181</v>
      </c>
      <c r="L818" t="s">
        <v>3639</v>
      </c>
      <c r="M818">
        <v>65.209999999999994</v>
      </c>
      <c r="N818">
        <v>84</v>
      </c>
      <c r="O818" t="s">
        <v>1979</v>
      </c>
      <c r="P818" t="s">
        <v>42</v>
      </c>
      <c r="Q818" t="s">
        <v>118</v>
      </c>
      <c r="R818" t="s">
        <v>152</v>
      </c>
      <c r="S818" t="s">
        <v>45</v>
      </c>
      <c r="T818" t="s">
        <v>185</v>
      </c>
      <c r="U818">
        <v>331</v>
      </c>
      <c r="V818">
        <v>387</v>
      </c>
      <c r="W818">
        <v>8</v>
      </c>
      <c r="X818">
        <v>817.07</v>
      </c>
      <c r="Y818">
        <v>330.69</v>
      </c>
      <c r="Z818">
        <v>1147.76</v>
      </c>
      <c r="AA818" t="s">
        <v>62</v>
      </c>
      <c r="AB818">
        <v>0</v>
      </c>
      <c r="AC818">
        <v>71.290000000000006</v>
      </c>
      <c r="AD818">
        <v>203</v>
      </c>
      <c r="AE818">
        <v>237</v>
      </c>
    </row>
    <row r="819" spans="1:31" x14ac:dyDescent="0.25">
      <c r="A819" t="s">
        <v>3640</v>
      </c>
      <c r="B819" t="s">
        <v>3641</v>
      </c>
      <c r="C819" s="1">
        <v>45356</v>
      </c>
      <c r="D819" s="1">
        <v>44047</v>
      </c>
      <c r="E819" t="s">
        <v>65</v>
      </c>
      <c r="F819" t="s">
        <v>146</v>
      </c>
      <c r="G819" t="s">
        <v>78</v>
      </c>
      <c r="H819" t="s">
        <v>36</v>
      </c>
      <c r="I819" t="s">
        <v>3642</v>
      </c>
      <c r="J819" t="s">
        <v>104</v>
      </c>
      <c r="K819" t="s">
        <v>181</v>
      </c>
      <c r="L819" t="s">
        <v>3643</v>
      </c>
      <c r="M819">
        <v>68.13</v>
      </c>
      <c r="N819">
        <v>3</v>
      </c>
      <c r="O819" t="s">
        <v>1247</v>
      </c>
      <c r="P819" t="s">
        <v>42</v>
      </c>
      <c r="Q819" t="s">
        <v>562</v>
      </c>
      <c r="R819" t="s">
        <v>60</v>
      </c>
      <c r="S819" t="s">
        <v>73</v>
      </c>
      <c r="T819" t="s">
        <v>278</v>
      </c>
      <c r="U819">
        <v>2815</v>
      </c>
      <c r="V819">
        <v>384</v>
      </c>
      <c r="W819">
        <v>19</v>
      </c>
      <c r="X819">
        <v>105.04</v>
      </c>
      <c r="Y819">
        <v>144.71</v>
      </c>
      <c r="Z819">
        <v>249.75</v>
      </c>
      <c r="AA819" t="s">
        <v>62</v>
      </c>
      <c r="AB819">
        <v>0</v>
      </c>
      <c r="AC819">
        <v>85.97</v>
      </c>
      <c r="AD819">
        <v>419</v>
      </c>
      <c r="AE819">
        <v>417</v>
      </c>
    </row>
    <row r="820" spans="1:31" x14ac:dyDescent="0.25">
      <c r="A820" t="s">
        <v>3644</v>
      </c>
      <c r="B820" t="s">
        <v>3645</v>
      </c>
      <c r="C820" s="1">
        <v>43890</v>
      </c>
      <c r="D820" s="1">
        <v>44126</v>
      </c>
      <c r="E820" t="s">
        <v>50</v>
      </c>
      <c r="F820" t="s">
        <v>146</v>
      </c>
      <c r="G820" t="s">
        <v>35</v>
      </c>
      <c r="H820" t="s">
        <v>221</v>
      </c>
      <c r="I820" t="s">
        <v>3646</v>
      </c>
      <c r="J820" t="s">
        <v>38</v>
      </c>
      <c r="K820" t="s">
        <v>338</v>
      </c>
      <c r="L820" t="s">
        <v>3647</v>
      </c>
      <c r="M820">
        <v>424.11</v>
      </c>
      <c r="N820">
        <v>24</v>
      </c>
      <c r="O820" t="s">
        <v>1420</v>
      </c>
      <c r="P820" t="s">
        <v>141</v>
      </c>
      <c r="Q820" t="s">
        <v>491</v>
      </c>
      <c r="R820" t="s">
        <v>60</v>
      </c>
      <c r="S820" t="s">
        <v>87</v>
      </c>
      <c r="T820" t="s">
        <v>61</v>
      </c>
      <c r="U820">
        <v>669</v>
      </c>
      <c r="V820">
        <v>336</v>
      </c>
      <c r="W820">
        <v>29</v>
      </c>
      <c r="X820">
        <v>498.52</v>
      </c>
      <c r="Y820">
        <v>79.040000000000006</v>
      </c>
      <c r="Z820">
        <v>577.55999999999995</v>
      </c>
      <c r="AA820" t="s">
        <v>62</v>
      </c>
      <c r="AB820">
        <v>0</v>
      </c>
      <c r="AC820">
        <v>72.58</v>
      </c>
      <c r="AD820">
        <v>464</v>
      </c>
      <c r="AE820">
        <v>441</v>
      </c>
    </row>
    <row r="821" spans="1:31" x14ac:dyDescent="0.25">
      <c r="A821" t="s">
        <v>3648</v>
      </c>
      <c r="B821" t="s">
        <v>3649</v>
      </c>
      <c r="C821" s="1">
        <v>45548</v>
      </c>
      <c r="D821" s="1">
        <v>45396</v>
      </c>
      <c r="E821" t="s">
        <v>50</v>
      </c>
      <c r="F821" t="s">
        <v>91</v>
      </c>
      <c r="G821" t="s">
        <v>343</v>
      </c>
      <c r="H821" t="s">
        <v>163</v>
      </c>
      <c r="I821" t="s">
        <v>3650</v>
      </c>
      <c r="J821" t="s">
        <v>38</v>
      </c>
      <c r="K821" t="s">
        <v>55</v>
      </c>
      <c r="L821" t="s">
        <v>3651</v>
      </c>
      <c r="M821">
        <v>497.02</v>
      </c>
      <c r="N821">
        <v>49</v>
      </c>
      <c r="O821" t="s">
        <v>3652</v>
      </c>
      <c r="P821" t="s">
        <v>84</v>
      </c>
      <c r="Q821" t="s">
        <v>191</v>
      </c>
      <c r="R821" t="s">
        <v>60</v>
      </c>
      <c r="S821" t="s">
        <v>45</v>
      </c>
      <c r="T821" t="s">
        <v>206</v>
      </c>
      <c r="U821">
        <v>105</v>
      </c>
      <c r="V821">
        <v>293</v>
      </c>
      <c r="W821">
        <v>2</v>
      </c>
      <c r="X821">
        <v>1905.3</v>
      </c>
      <c r="Y821">
        <v>415.64</v>
      </c>
      <c r="Z821">
        <v>2320.94</v>
      </c>
      <c r="AA821" t="s">
        <v>62</v>
      </c>
      <c r="AB821">
        <v>0</v>
      </c>
      <c r="AC821">
        <v>84.64</v>
      </c>
      <c r="AD821">
        <v>149</v>
      </c>
      <c r="AE821">
        <v>132</v>
      </c>
    </row>
    <row r="822" spans="1:31" x14ac:dyDescent="0.25">
      <c r="A822" t="s">
        <v>3653</v>
      </c>
      <c r="B822" t="s">
        <v>3654</v>
      </c>
      <c r="C822" s="1">
        <v>43969</v>
      </c>
      <c r="D822" s="1">
        <v>44477</v>
      </c>
      <c r="E822" t="s">
        <v>33</v>
      </c>
      <c r="F822" t="s">
        <v>91</v>
      </c>
      <c r="G822" t="s">
        <v>102</v>
      </c>
      <c r="H822" t="s">
        <v>163</v>
      </c>
      <c r="I822" t="s">
        <v>3655</v>
      </c>
      <c r="J822" t="s">
        <v>38</v>
      </c>
      <c r="K822" t="s">
        <v>55</v>
      </c>
      <c r="L822" t="s">
        <v>3656</v>
      </c>
      <c r="M822">
        <v>207.91</v>
      </c>
      <c r="N822">
        <v>98</v>
      </c>
      <c r="O822" t="s">
        <v>3073</v>
      </c>
      <c r="P822" t="s">
        <v>141</v>
      </c>
      <c r="Q822" t="s">
        <v>491</v>
      </c>
      <c r="R822" t="s">
        <v>60</v>
      </c>
      <c r="S822" t="s">
        <v>98</v>
      </c>
      <c r="T822" t="s">
        <v>110</v>
      </c>
      <c r="U822">
        <v>51</v>
      </c>
      <c r="V822">
        <v>493</v>
      </c>
      <c r="W822">
        <v>4</v>
      </c>
      <c r="X822">
        <v>1207.58</v>
      </c>
      <c r="Y822">
        <v>88.38</v>
      </c>
      <c r="Z822">
        <v>1295.96</v>
      </c>
      <c r="AA822" t="s">
        <v>62</v>
      </c>
      <c r="AB822">
        <v>0</v>
      </c>
      <c r="AC822">
        <v>92.4</v>
      </c>
      <c r="AD822">
        <v>345</v>
      </c>
      <c r="AE822">
        <v>364</v>
      </c>
    </row>
    <row r="823" spans="1:31" x14ac:dyDescent="0.25">
      <c r="A823" t="s">
        <v>3657</v>
      </c>
      <c r="B823" t="s">
        <v>3658</v>
      </c>
      <c r="C823" s="1">
        <v>43873</v>
      </c>
      <c r="D823" s="1">
        <v>44583</v>
      </c>
      <c r="E823" t="s">
        <v>65</v>
      </c>
      <c r="F823" t="s">
        <v>51</v>
      </c>
      <c r="G823" t="s">
        <v>35</v>
      </c>
      <c r="H823" t="s">
        <v>114</v>
      </c>
      <c r="I823" t="s">
        <v>2921</v>
      </c>
      <c r="J823" t="s">
        <v>38</v>
      </c>
      <c r="K823" t="s">
        <v>55</v>
      </c>
      <c r="L823" t="s">
        <v>2922</v>
      </c>
      <c r="M823">
        <v>52.29</v>
      </c>
      <c r="N823">
        <v>52</v>
      </c>
      <c r="O823" t="s">
        <v>3659</v>
      </c>
      <c r="P823" t="s">
        <v>84</v>
      </c>
      <c r="Q823" t="s">
        <v>266</v>
      </c>
      <c r="R823" t="s">
        <v>60</v>
      </c>
      <c r="S823" t="s">
        <v>98</v>
      </c>
      <c r="T823" t="s">
        <v>916</v>
      </c>
      <c r="U823">
        <v>102</v>
      </c>
      <c r="V823">
        <v>346</v>
      </c>
      <c r="W823">
        <v>3</v>
      </c>
      <c r="X823">
        <v>530.97</v>
      </c>
      <c r="Y823">
        <v>78.86</v>
      </c>
      <c r="Z823">
        <v>609.83000000000004</v>
      </c>
      <c r="AA823" t="s">
        <v>62</v>
      </c>
      <c r="AB823">
        <v>0</v>
      </c>
      <c r="AC823">
        <v>92.94</v>
      </c>
      <c r="AD823">
        <v>363</v>
      </c>
      <c r="AE823">
        <v>398</v>
      </c>
    </row>
    <row r="824" spans="1:31" x14ac:dyDescent="0.25">
      <c r="A824" t="s">
        <v>3660</v>
      </c>
      <c r="B824" t="s">
        <v>3661</v>
      </c>
      <c r="C824" s="1">
        <v>45084</v>
      </c>
      <c r="D824" s="1">
        <v>45171</v>
      </c>
      <c r="E824" t="s">
        <v>50</v>
      </c>
      <c r="F824" t="s">
        <v>34</v>
      </c>
      <c r="G824" t="s">
        <v>343</v>
      </c>
      <c r="H824" t="s">
        <v>67</v>
      </c>
      <c r="I824" t="s">
        <v>3662</v>
      </c>
      <c r="J824" t="s">
        <v>38</v>
      </c>
      <c r="K824" t="s">
        <v>69</v>
      </c>
      <c r="L824" t="s">
        <v>3663</v>
      </c>
      <c r="M824">
        <v>165.29</v>
      </c>
      <c r="N824">
        <v>86</v>
      </c>
      <c r="O824" t="s">
        <v>1772</v>
      </c>
      <c r="P824" t="s">
        <v>108</v>
      </c>
      <c r="Q824" t="s">
        <v>176</v>
      </c>
      <c r="R824" t="s">
        <v>86</v>
      </c>
      <c r="S824" t="s">
        <v>73</v>
      </c>
      <c r="T824" t="s">
        <v>206</v>
      </c>
      <c r="U824">
        <v>3622</v>
      </c>
      <c r="V824">
        <v>482</v>
      </c>
      <c r="W824">
        <v>8</v>
      </c>
      <c r="X824">
        <v>1496.64</v>
      </c>
      <c r="Y824">
        <v>212.47</v>
      </c>
      <c r="Z824">
        <v>1709.11</v>
      </c>
      <c r="AA824" t="s">
        <v>62</v>
      </c>
      <c r="AB824">
        <v>0</v>
      </c>
      <c r="AC824">
        <v>72.63</v>
      </c>
      <c r="AD824">
        <v>276</v>
      </c>
      <c r="AE824">
        <v>320</v>
      </c>
    </row>
    <row r="825" spans="1:31" x14ac:dyDescent="0.25">
      <c r="A825" t="s">
        <v>3664</v>
      </c>
      <c r="B825" t="s">
        <v>3665</v>
      </c>
      <c r="C825" s="1">
        <v>45304</v>
      </c>
      <c r="D825" s="1">
        <v>44729</v>
      </c>
      <c r="E825" t="s">
        <v>65</v>
      </c>
      <c r="F825" t="s">
        <v>51</v>
      </c>
      <c r="G825" t="s">
        <v>92</v>
      </c>
      <c r="H825" t="s">
        <v>114</v>
      </c>
      <c r="I825" t="s">
        <v>3666</v>
      </c>
      <c r="J825" t="s">
        <v>38</v>
      </c>
      <c r="K825" t="s">
        <v>81</v>
      </c>
      <c r="L825" t="s">
        <v>3667</v>
      </c>
      <c r="M825">
        <v>469.89</v>
      </c>
      <c r="N825">
        <v>12</v>
      </c>
      <c r="O825" t="s">
        <v>3195</v>
      </c>
      <c r="P825" t="s">
        <v>42</v>
      </c>
      <c r="Q825" t="s">
        <v>377</v>
      </c>
      <c r="R825" t="s">
        <v>152</v>
      </c>
      <c r="S825" t="s">
        <v>126</v>
      </c>
      <c r="T825" t="s">
        <v>545</v>
      </c>
      <c r="U825">
        <v>2288</v>
      </c>
      <c r="V825">
        <v>229</v>
      </c>
      <c r="W825">
        <v>15</v>
      </c>
      <c r="X825">
        <v>1177.3900000000001</v>
      </c>
      <c r="Y825">
        <v>57.53</v>
      </c>
      <c r="Z825">
        <v>1234.92</v>
      </c>
      <c r="AA825" t="s">
        <v>62</v>
      </c>
      <c r="AB825">
        <v>0</v>
      </c>
      <c r="AC825">
        <v>84.88</v>
      </c>
      <c r="AD825">
        <v>94</v>
      </c>
      <c r="AE825">
        <v>102</v>
      </c>
    </row>
    <row r="826" spans="1:31" x14ac:dyDescent="0.25">
      <c r="A826" t="s">
        <v>3668</v>
      </c>
      <c r="B826" t="s">
        <v>3669</v>
      </c>
      <c r="C826" s="1">
        <v>45159</v>
      </c>
      <c r="D826" s="1">
        <v>45537</v>
      </c>
      <c r="E826" t="s">
        <v>33</v>
      </c>
      <c r="F826" t="s">
        <v>51</v>
      </c>
      <c r="G826" t="s">
        <v>78</v>
      </c>
      <c r="H826" t="s">
        <v>53</v>
      </c>
      <c r="I826" t="s">
        <v>3670</v>
      </c>
      <c r="J826" t="s">
        <v>165</v>
      </c>
      <c r="K826" t="s">
        <v>202</v>
      </c>
      <c r="L826" t="s">
        <v>3671</v>
      </c>
      <c r="M826">
        <v>70.23</v>
      </c>
      <c r="N826">
        <v>17</v>
      </c>
      <c r="O826" t="s">
        <v>237</v>
      </c>
      <c r="P826" t="s">
        <v>84</v>
      </c>
      <c r="Q826" t="s">
        <v>169</v>
      </c>
      <c r="R826" t="s">
        <v>44</v>
      </c>
      <c r="S826" t="s">
        <v>126</v>
      </c>
      <c r="T826" t="s">
        <v>246</v>
      </c>
      <c r="U826">
        <v>4072</v>
      </c>
      <c r="V826">
        <v>211</v>
      </c>
      <c r="W826">
        <v>9</v>
      </c>
      <c r="X826">
        <v>454.83</v>
      </c>
      <c r="Y826">
        <v>369.51</v>
      </c>
      <c r="Z826">
        <v>824.33999999999992</v>
      </c>
      <c r="AA826" t="s">
        <v>62</v>
      </c>
      <c r="AB826">
        <v>0</v>
      </c>
      <c r="AC826">
        <v>74.319999999999993</v>
      </c>
      <c r="AD826">
        <v>224</v>
      </c>
      <c r="AE826">
        <v>217</v>
      </c>
    </row>
    <row r="827" spans="1:31" x14ac:dyDescent="0.25">
      <c r="A827" t="s">
        <v>3672</v>
      </c>
      <c r="B827" t="s">
        <v>3673</v>
      </c>
      <c r="C827" s="1">
        <v>44584</v>
      </c>
      <c r="D827" s="1">
        <v>45017</v>
      </c>
      <c r="E827" t="s">
        <v>65</v>
      </c>
      <c r="F827" t="s">
        <v>51</v>
      </c>
      <c r="G827" t="s">
        <v>92</v>
      </c>
      <c r="H827" t="s">
        <v>67</v>
      </c>
      <c r="I827" t="s">
        <v>3590</v>
      </c>
      <c r="J827" t="s">
        <v>165</v>
      </c>
      <c r="K827" t="s">
        <v>202</v>
      </c>
      <c r="L827" t="s">
        <v>3591</v>
      </c>
      <c r="M827">
        <v>417.19</v>
      </c>
      <c r="N827">
        <v>54</v>
      </c>
      <c r="O827" t="s">
        <v>1270</v>
      </c>
      <c r="P827" t="s">
        <v>42</v>
      </c>
      <c r="Q827" t="s">
        <v>708</v>
      </c>
      <c r="R827" t="s">
        <v>152</v>
      </c>
      <c r="S827" t="s">
        <v>98</v>
      </c>
      <c r="T827" t="s">
        <v>253</v>
      </c>
      <c r="U827">
        <v>1674</v>
      </c>
      <c r="V827">
        <v>320</v>
      </c>
      <c r="W827">
        <v>18</v>
      </c>
      <c r="X827">
        <v>761.53</v>
      </c>
      <c r="Y827">
        <v>482.71</v>
      </c>
      <c r="Z827">
        <v>1244.24</v>
      </c>
      <c r="AA827" t="s">
        <v>62</v>
      </c>
      <c r="AB827">
        <v>0</v>
      </c>
      <c r="AC827">
        <v>81.150000000000006</v>
      </c>
      <c r="AD827">
        <v>311</v>
      </c>
      <c r="AE827">
        <v>289</v>
      </c>
    </row>
    <row r="828" spans="1:31" x14ac:dyDescent="0.25">
      <c r="A828" t="s">
        <v>3674</v>
      </c>
      <c r="B828" t="s">
        <v>421</v>
      </c>
      <c r="C828" s="1">
        <v>44164</v>
      </c>
      <c r="D828" s="1">
        <v>45343</v>
      </c>
      <c r="E828" t="s">
        <v>50</v>
      </c>
      <c r="F828" t="s">
        <v>51</v>
      </c>
      <c r="G828" t="s">
        <v>343</v>
      </c>
      <c r="H828" t="s">
        <v>79</v>
      </c>
      <c r="I828" t="s">
        <v>3675</v>
      </c>
      <c r="J828" t="s">
        <v>165</v>
      </c>
      <c r="K828" t="s">
        <v>202</v>
      </c>
      <c r="L828" t="s">
        <v>3676</v>
      </c>
      <c r="M828">
        <v>39.380000000000003</v>
      </c>
      <c r="N828">
        <v>70</v>
      </c>
      <c r="O828" t="s">
        <v>2849</v>
      </c>
      <c r="P828" t="s">
        <v>108</v>
      </c>
      <c r="Q828" t="s">
        <v>184</v>
      </c>
      <c r="R828" t="s">
        <v>60</v>
      </c>
      <c r="S828" t="s">
        <v>87</v>
      </c>
      <c r="T828" t="s">
        <v>916</v>
      </c>
      <c r="U828">
        <v>4265</v>
      </c>
      <c r="V828">
        <v>128</v>
      </c>
      <c r="W828">
        <v>23</v>
      </c>
      <c r="X828">
        <v>1201.31</v>
      </c>
      <c r="Y828">
        <v>311.97000000000003</v>
      </c>
      <c r="Z828">
        <v>1513.28</v>
      </c>
      <c r="AA828" t="s">
        <v>62</v>
      </c>
      <c r="AB828">
        <v>0</v>
      </c>
      <c r="AC828">
        <v>87.03</v>
      </c>
      <c r="AD828">
        <v>407</v>
      </c>
      <c r="AE828">
        <v>358</v>
      </c>
    </row>
    <row r="829" spans="1:31" x14ac:dyDescent="0.25">
      <c r="A829" t="s">
        <v>3677</v>
      </c>
      <c r="B829" t="s">
        <v>1707</v>
      </c>
      <c r="C829" s="1">
        <v>44070</v>
      </c>
      <c r="D829" s="1">
        <v>44443</v>
      </c>
      <c r="E829" t="s">
        <v>65</v>
      </c>
      <c r="F829" t="s">
        <v>51</v>
      </c>
      <c r="G829" t="s">
        <v>78</v>
      </c>
      <c r="H829" t="s">
        <v>147</v>
      </c>
      <c r="I829" t="s">
        <v>3678</v>
      </c>
      <c r="J829" t="s">
        <v>165</v>
      </c>
      <c r="K829" t="s">
        <v>166</v>
      </c>
      <c r="L829" t="s">
        <v>3679</v>
      </c>
      <c r="M829">
        <v>86.36</v>
      </c>
      <c r="N829">
        <v>92</v>
      </c>
      <c r="O829" t="s">
        <v>538</v>
      </c>
      <c r="P829" t="s">
        <v>141</v>
      </c>
      <c r="Q829" t="s">
        <v>702</v>
      </c>
      <c r="R829" t="s">
        <v>152</v>
      </c>
      <c r="S829" t="s">
        <v>45</v>
      </c>
      <c r="T829" t="s">
        <v>378</v>
      </c>
      <c r="U829">
        <v>3247</v>
      </c>
      <c r="V829">
        <v>75</v>
      </c>
      <c r="W829">
        <v>5</v>
      </c>
      <c r="X829">
        <v>1774.73</v>
      </c>
      <c r="Y829">
        <v>199.97</v>
      </c>
      <c r="Z829">
        <v>1974.7</v>
      </c>
      <c r="AA829" t="s">
        <v>62</v>
      </c>
      <c r="AB829">
        <v>0</v>
      </c>
      <c r="AC829">
        <v>78.099999999999994</v>
      </c>
      <c r="AD829">
        <v>364</v>
      </c>
      <c r="AE829">
        <v>314</v>
      </c>
    </row>
    <row r="830" spans="1:31" x14ac:dyDescent="0.25">
      <c r="A830" t="s">
        <v>3680</v>
      </c>
      <c r="B830" t="s">
        <v>3681</v>
      </c>
      <c r="C830" s="1">
        <v>44822</v>
      </c>
      <c r="D830" s="1">
        <v>45074</v>
      </c>
      <c r="E830" t="s">
        <v>65</v>
      </c>
      <c r="F830" t="s">
        <v>34</v>
      </c>
      <c r="G830" t="s">
        <v>92</v>
      </c>
      <c r="H830" t="s">
        <v>79</v>
      </c>
      <c r="I830" t="s">
        <v>3682</v>
      </c>
      <c r="J830" t="s">
        <v>38</v>
      </c>
      <c r="K830" t="s">
        <v>39</v>
      </c>
      <c r="L830" t="s">
        <v>3683</v>
      </c>
      <c r="M830">
        <v>8.02</v>
      </c>
      <c r="N830">
        <v>60</v>
      </c>
      <c r="O830" t="s">
        <v>1314</v>
      </c>
      <c r="P830" t="s">
        <v>108</v>
      </c>
      <c r="Q830" t="s">
        <v>389</v>
      </c>
      <c r="R830" t="s">
        <v>44</v>
      </c>
      <c r="S830" t="s">
        <v>45</v>
      </c>
      <c r="T830" t="s">
        <v>170</v>
      </c>
      <c r="U830">
        <v>3128</v>
      </c>
      <c r="V830">
        <v>137</v>
      </c>
      <c r="W830">
        <v>14</v>
      </c>
      <c r="X830">
        <v>1934.88</v>
      </c>
      <c r="Y830">
        <v>420.1</v>
      </c>
      <c r="Z830">
        <v>2354.98</v>
      </c>
      <c r="AA830" t="s">
        <v>62</v>
      </c>
      <c r="AB830">
        <v>0</v>
      </c>
      <c r="AC830">
        <v>85.61</v>
      </c>
      <c r="AD830">
        <v>173</v>
      </c>
      <c r="AE830">
        <v>181</v>
      </c>
    </row>
    <row r="831" spans="1:31" x14ac:dyDescent="0.25">
      <c r="A831" t="s">
        <v>3684</v>
      </c>
      <c r="B831" t="s">
        <v>3685</v>
      </c>
      <c r="C831" s="1">
        <v>45521</v>
      </c>
      <c r="D831" s="1">
        <v>44124</v>
      </c>
      <c r="E831" t="s">
        <v>65</v>
      </c>
      <c r="F831" t="s">
        <v>146</v>
      </c>
      <c r="G831" t="s">
        <v>113</v>
      </c>
      <c r="H831" t="s">
        <v>147</v>
      </c>
      <c r="I831" t="s">
        <v>1969</v>
      </c>
      <c r="J831" t="s">
        <v>38</v>
      </c>
      <c r="K831" t="s">
        <v>81</v>
      </c>
      <c r="L831" t="s">
        <v>1970</v>
      </c>
      <c r="M831">
        <v>296.45</v>
      </c>
      <c r="N831">
        <v>23</v>
      </c>
      <c r="O831" t="s">
        <v>3686</v>
      </c>
      <c r="P831" t="s">
        <v>108</v>
      </c>
      <c r="Q831" t="s">
        <v>346</v>
      </c>
      <c r="R831" t="s">
        <v>44</v>
      </c>
      <c r="S831" t="s">
        <v>87</v>
      </c>
      <c r="T831" t="s">
        <v>127</v>
      </c>
      <c r="U831">
        <v>3683</v>
      </c>
      <c r="V831">
        <v>218</v>
      </c>
      <c r="W831">
        <v>21</v>
      </c>
      <c r="X831">
        <v>1107.03</v>
      </c>
      <c r="Y831">
        <v>384.46</v>
      </c>
      <c r="Z831">
        <v>1491.49</v>
      </c>
      <c r="AA831" t="s">
        <v>62</v>
      </c>
      <c r="AB831">
        <v>0</v>
      </c>
      <c r="AC831">
        <v>91.38</v>
      </c>
      <c r="AD831">
        <v>206</v>
      </c>
      <c r="AE831">
        <v>170</v>
      </c>
    </row>
    <row r="832" spans="1:31" x14ac:dyDescent="0.25">
      <c r="A832" t="s">
        <v>3687</v>
      </c>
      <c r="B832" t="s">
        <v>3688</v>
      </c>
      <c r="C832" s="1">
        <v>45399</v>
      </c>
      <c r="D832" s="1">
        <v>44498</v>
      </c>
      <c r="E832" t="s">
        <v>33</v>
      </c>
      <c r="F832" t="s">
        <v>51</v>
      </c>
      <c r="G832" t="s">
        <v>102</v>
      </c>
      <c r="H832" t="s">
        <v>67</v>
      </c>
      <c r="I832" t="s">
        <v>3689</v>
      </c>
      <c r="J832" t="s">
        <v>165</v>
      </c>
      <c r="K832" t="s">
        <v>202</v>
      </c>
      <c r="L832" t="s">
        <v>3690</v>
      </c>
      <c r="M832">
        <v>419.85</v>
      </c>
      <c r="N832">
        <v>60</v>
      </c>
      <c r="O832" t="s">
        <v>1599</v>
      </c>
      <c r="P832" t="s">
        <v>58</v>
      </c>
      <c r="Q832" t="s">
        <v>370</v>
      </c>
      <c r="R832" t="s">
        <v>152</v>
      </c>
      <c r="S832" t="s">
        <v>87</v>
      </c>
      <c r="T832" t="s">
        <v>259</v>
      </c>
      <c r="U832">
        <v>1133</v>
      </c>
      <c r="V832">
        <v>247</v>
      </c>
      <c r="W832">
        <v>13</v>
      </c>
      <c r="X832">
        <v>931.22</v>
      </c>
      <c r="Y832">
        <v>63.16</v>
      </c>
      <c r="Z832">
        <v>994.38</v>
      </c>
      <c r="AA832" t="s">
        <v>62</v>
      </c>
      <c r="AB832">
        <v>0</v>
      </c>
      <c r="AC832">
        <v>80.260000000000005</v>
      </c>
      <c r="AD832">
        <v>55</v>
      </c>
      <c r="AE832">
        <v>37</v>
      </c>
    </row>
    <row r="833" spans="1:31" x14ac:dyDescent="0.25">
      <c r="A833" t="s">
        <v>3691</v>
      </c>
      <c r="B833" t="s">
        <v>3692</v>
      </c>
      <c r="C833" s="1">
        <v>44817</v>
      </c>
      <c r="D833" s="1">
        <v>45378</v>
      </c>
      <c r="E833" t="s">
        <v>65</v>
      </c>
      <c r="F833" t="s">
        <v>146</v>
      </c>
      <c r="G833" t="s">
        <v>102</v>
      </c>
      <c r="H833" t="s">
        <v>221</v>
      </c>
      <c r="I833" t="s">
        <v>3693</v>
      </c>
      <c r="J833" t="s">
        <v>104</v>
      </c>
      <c r="K833" t="s">
        <v>181</v>
      </c>
      <c r="L833" t="s">
        <v>3694</v>
      </c>
      <c r="M833">
        <v>301.7</v>
      </c>
      <c r="N833">
        <v>68</v>
      </c>
      <c r="O833" t="s">
        <v>3695</v>
      </c>
      <c r="P833" t="s">
        <v>42</v>
      </c>
      <c r="Q833" t="s">
        <v>191</v>
      </c>
      <c r="R833" t="s">
        <v>86</v>
      </c>
      <c r="S833" t="s">
        <v>73</v>
      </c>
      <c r="T833" t="s">
        <v>225</v>
      </c>
      <c r="U833">
        <v>1206</v>
      </c>
      <c r="V833">
        <v>352</v>
      </c>
      <c r="W833">
        <v>25</v>
      </c>
      <c r="X833">
        <v>537.75</v>
      </c>
      <c r="Y833">
        <v>408.6</v>
      </c>
      <c r="Z833">
        <v>946.35</v>
      </c>
      <c r="AA833" t="s">
        <v>62</v>
      </c>
      <c r="AB833">
        <v>0</v>
      </c>
      <c r="AC833">
        <v>88.79</v>
      </c>
      <c r="AD833">
        <v>203</v>
      </c>
      <c r="AE833">
        <v>206</v>
      </c>
    </row>
    <row r="834" spans="1:31" x14ac:dyDescent="0.25">
      <c r="A834" t="s">
        <v>3696</v>
      </c>
      <c r="B834" t="s">
        <v>3697</v>
      </c>
      <c r="C834" s="1">
        <v>44256</v>
      </c>
      <c r="D834" s="1">
        <v>45029</v>
      </c>
      <c r="E834" t="s">
        <v>65</v>
      </c>
      <c r="F834" t="s">
        <v>34</v>
      </c>
      <c r="G834" t="s">
        <v>52</v>
      </c>
      <c r="H834" t="s">
        <v>53</v>
      </c>
      <c r="I834" t="s">
        <v>3698</v>
      </c>
      <c r="J834" t="s">
        <v>38</v>
      </c>
      <c r="K834" t="s">
        <v>263</v>
      </c>
      <c r="L834" t="s">
        <v>2770</v>
      </c>
      <c r="M834">
        <v>51.22</v>
      </c>
      <c r="N834">
        <v>24</v>
      </c>
      <c r="O834" t="s">
        <v>2096</v>
      </c>
      <c r="P834" t="s">
        <v>58</v>
      </c>
      <c r="Q834" t="s">
        <v>232</v>
      </c>
      <c r="R834" t="s">
        <v>86</v>
      </c>
      <c r="S834" t="s">
        <v>87</v>
      </c>
      <c r="T834" t="s">
        <v>1229</v>
      </c>
      <c r="U834">
        <v>307</v>
      </c>
      <c r="V834">
        <v>165</v>
      </c>
      <c r="W834">
        <v>19</v>
      </c>
      <c r="X834">
        <v>1864.77</v>
      </c>
      <c r="Y834">
        <v>220.82</v>
      </c>
      <c r="Z834">
        <v>2085.59</v>
      </c>
      <c r="AA834" t="s">
        <v>62</v>
      </c>
      <c r="AB834">
        <v>0</v>
      </c>
      <c r="AC834">
        <v>77.36</v>
      </c>
      <c r="AD834">
        <v>88</v>
      </c>
      <c r="AE834">
        <v>122</v>
      </c>
    </row>
    <row r="835" spans="1:31" x14ac:dyDescent="0.25">
      <c r="A835" t="s">
        <v>3699</v>
      </c>
      <c r="B835" t="s">
        <v>3700</v>
      </c>
      <c r="C835" s="1">
        <v>43968</v>
      </c>
      <c r="D835" s="1">
        <v>45110</v>
      </c>
      <c r="E835" t="s">
        <v>65</v>
      </c>
      <c r="F835" t="s">
        <v>34</v>
      </c>
      <c r="G835" t="s">
        <v>66</v>
      </c>
      <c r="H835" t="s">
        <v>114</v>
      </c>
      <c r="I835" t="s">
        <v>3701</v>
      </c>
      <c r="J835" t="s">
        <v>38</v>
      </c>
      <c r="K835" t="s">
        <v>138</v>
      </c>
      <c r="L835" t="s">
        <v>3702</v>
      </c>
      <c r="M835">
        <v>315.79000000000002</v>
      </c>
      <c r="N835">
        <v>49</v>
      </c>
      <c r="O835" t="s">
        <v>2363</v>
      </c>
      <c r="P835" t="s">
        <v>84</v>
      </c>
      <c r="Q835" t="s">
        <v>909</v>
      </c>
      <c r="R835" t="s">
        <v>86</v>
      </c>
      <c r="S835" t="s">
        <v>98</v>
      </c>
      <c r="T835" t="s">
        <v>1294</v>
      </c>
      <c r="U835">
        <v>1690</v>
      </c>
      <c r="V835">
        <v>326</v>
      </c>
      <c r="W835">
        <v>24</v>
      </c>
      <c r="X835">
        <v>649.11</v>
      </c>
      <c r="Y835">
        <v>70.290000000000006</v>
      </c>
      <c r="Z835">
        <v>719.4</v>
      </c>
      <c r="AA835" t="s">
        <v>62</v>
      </c>
      <c r="AB835">
        <v>0</v>
      </c>
      <c r="AC835">
        <v>71.42</v>
      </c>
      <c r="AD835">
        <v>437</v>
      </c>
      <c r="AE835">
        <v>451</v>
      </c>
    </row>
    <row r="836" spans="1:31" x14ac:dyDescent="0.25">
      <c r="A836" t="s">
        <v>3703</v>
      </c>
      <c r="B836" t="s">
        <v>3704</v>
      </c>
      <c r="C836" s="1">
        <v>43877</v>
      </c>
      <c r="D836" s="1">
        <v>44557</v>
      </c>
      <c r="E836" t="s">
        <v>50</v>
      </c>
      <c r="F836" t="s">
        <v>34</v>
      </c>
      <c r="G836" t="s">
        <v>52</v>
      </c>
      <c r="H836" t="s">
        <v>147</v>
      </c>
      <c r="I836" t="s">
        <v>3705</v>
      </c>
      <c r="J836" t="s">
        <v>104</v>
      </c>
      <c r="K836" t="s">
        <v>229</v>
      </c>
      <c r="L836" t="s">
        <v>3706</v>
      </c>
      <c r="M836">
        <v>478.49</v>
      </c>
      <c r="N836">
        <v>67</v>
      </c>
      <c r="O836" t="s">
        <v>1338</v>
      </c>
      <c r="P836" t="s">
        <v>141</v>
      </c>
      <c r="Q836" t="s">
        <v>346</v>
      </c>
      <c r="R836" t="s">
        <v>86</v>
      </c>
      <c r="S836" t="s">
        <v>73</v>
      </c>
      <c r="T836" t="s">
        <v>302</v>
      </c>
      <c r="U836">
        <v>4015</v>
      </c>
      <c r="V836">
        <v>479</v>
      </c>
      <c r="W836">
        <v>2</v>
      </c>
      <c r="X836">
        <v>1755.17</v>
      </c>
      <c r="Y836">
        <v>276.38</v>
      </c>
      <c r="Z836">
        <v>2031.55</v>
      </c>
      <c r="AA836" t="s">
        <v>62</v>
      </c>
      <c r="AB836">
        <v>0</v>
      </c>
      <c r="AC836">
        <v>99.61</v>
      </c>
      <c r="AD836">
        <v>447</v>
      </c>
      <c r="AE836">
        <v>489</v>
      </c>
    </row>
    <row r="837" spans="1:31" x14ac:dyDescent="0.25">
      <c r="A837" t="s">
        <v>3707</v>
      </c>
      <c r="B837" t="s">
        <v>3708</v>
      </c>
      <c r="C837" s="1">
        <v>45603</v>
      </c>
      <c r="D837" s="1">
        <v>44688</v>
      </c>
      <c r="E837" t="s">
        <v>65</v>
      </c>
      <c r="F837" t="s">
        <v>146</v>
      </c>
      <c r="G837" t="s">
        <v>78</v>
      </c>
      <c r="H837" t="s">
        <v>163</v>
      </c>
      <c r="I837" t="s">
        <v>3305</v>
      </c>
      <c r="J837" t="s">
        <v>104</v>
      </c>
      <c r="K837" t="s">
        <v>181</v>
      </c>
      <c r="L837" t="s">
        <v>3306</v>
      </c>
      <c r="M837">
        <v>369.88</v>
      </c>
      <c r="N837">
        <v>19</v>
      </c>
      <c r="O837" t="s">
        <v>2037</v>
      </c>
      <c r="P837" t="s">
        <v>108</v>
      </c>
      <c r="Q837" t="s">
        <v>544</v>
      </c>
      <c r="R837" t="s">
        <v>152</v>
      </c>
      <c r="S837" t="s">
        <v>45</v>
      </c>
      <c r="T837" t="s">
        <v>533</v>
      </c>
      <c r="U837">
        <v>4671</v>
      </c>
      <c r="V837">
        <v>383</v>
      </c>
      <c r="W837">
        <v>2</v>
      </c>
      <c r="X837">
        <v>1971.48</v>
      </c>
      <c r="Y837">
        <v>110.38</v>
      </c>
      <c r="Z837">
        <v>2081.86</v>
      </c>
      <c r="AA837" t="s">
        <v>62</v>
      </c>
      <c r="AB837">
        <v>0</v>
      </c>
      <c r="AC837">
        <v>79.989999999999995</v>
      </c>
      <c r="AD837">
        <v>424</v>
      </c>
      <c r="AE837">
        <v>438</v>
      </c>
    </row>
    <row r="838" spans="1:31" x14ac:dyDescent="0.25">
      <c r="A838" t="s">
        <v>3709</v>
      </c>
      <c r="B838" t="s">
        <v>3710</v>
      </c>
      <c r="C838" s="1">
        <v>44023</v>
      </c>
      <c r="D838" s="1">
        <v>44593</v>
      </c>
      <c r="E838" t="s">
        <v>65</v>
      </c>
      <c r="F838" t="s">
        <v>146</v>
      </c>
      <c r="G838" t="s">
        <v>113</v>
      </c>
      <c r="H838" t="s">
        <v>67</v>
      </c>
      <c r="I838" t="s">
        <v>2604</v>
      </c>
      <c r="J838" t="s">
        <v>38</v>
      </c>
      <c r="K838" t="s">
        <v>338</v>
      </c>
      <c r="L838" t="s">
        <v>2605</v>
      </c>
      <c r="M838">
        <v>168.4</v>
      </c>
      <c r="N838">
        <v>27</v>
      </c>
      <c r="O838" t="s">
        <v>3711</v>
      </c>
      <c r="P838" t="s">
        <v>84</v>
      </c>
      <c r="Q838" t="s">
        <v>544</v>
      </c>
      <c r="R838" t="s">
        <v>86</v>
      </c>
      <c r="S838" t="s">
        <v>98</v>
      </c>
      <c r="T838" t="s">
        <v>253</v>
      </c>
      <c r="U838">
        <v>1016</v>
      </c>
      <c r="V838">
        <v>241</v>
      </c>
      <c r="W838">
        <v>29</v>
      </c>
      <c r="X838">
        <v>1039</v>
      </c>
      <c r="Y838">
        <v>134.07</v>
      </c>
      <c r="Z838">
        <v>1173.07</v>
      </c>
      <c r="AA838" t="s">
        <v>62</v>
      </c>
      <c r="AB838">
        <v>0</v>
      </c>
      <c r="AC838">
        <v>82.38</v>
      </c>
      <c r="AD838">
        <v>391</v>
      </c>
      <c r="AE838">
        <v>399</v>
      </c>
    </row>
    <row r="839" spans="1:31" x14ac:dyDescent="0.25">
      <c r="A839" t="s">
        <v>3712</v>
      </c>
      <c r="B839" t="s">
        <v>3713</v>
      </c>
      <c r="C839" s="1">
        <v>44094</v>
      </c>
      <c r="D839" s="1">
        <v>43983</v>
      </c>
      <c r="E839" t="s">
        <v>65</v>
      </c>
      <c r="F839" t="s">
        <v>77</v>
      </c>
      <c r="G839" t="s">
        <v>52</v>
      </c>
      <c r="H839" t="s">
        <v>114</v>
      </c>
      <c r="I839" t="s">
        <v>3714</v>
      </c>
      <c r="J839" t="s">
        <v>38</v>
      </c>
      <c r="K839" t="s">
        <v>55</v>
      </c>
      <c r="L839" t="s">
        <v>3715</v>
      </c>
      <c r="M839">
        <v>391.4</v>
      </c>
      <c r="N839">
        <v>60</v>
      </c>
      <c r="O839" t="s">
        <v>3716</v>
      </c>
      <c r="P839" t="s">
        <v>58</v>
      </c>
      <c r="Q839" t="s">
        <v>72</v>
      </c>
      <c r="R839" t="s">
        <v>152</v>
      </c>
      <c r="S839" t="s">
        <v>45</v>
      </c>
      <c r="T839" t="s">
        <v>347</v>
      </c>
      <c r="U839">
        <v>1066</v>
      </c>
      <c r="V839">
        <v>84</v>
      </c>
      <c r="W839">
        <v>2</v>
      </c>
      <c r="X839">
        <v>891.28</v>
      </c>
      <c r="Y839">
        <v>293.47000000000003</v>
      </c>
      <c r="Z839">
        <v>1184.75</v>
      </c>
      <c r="AA839" t="s">
        <v>47</v>
      </c>
      <c r="AB839">
        <v>2</v>
      </c>
      <c r="AC839">
        <v>98.25</v>
      </c>
      <c r="AD839">
        <v>198</v>
      </c>
      <c r="AE839">
        <v>169</v>
      </c>
    </row>
    <row r="840" spans="1:31" x14ac:dyDescent="0.25">
      <c r="A840" t="s">
        <v>3717</v>
      </c>
      <c r="B840" t="s">
        <v>3718</v>
      </c>
      <c r="C840" s="1">
        <v>45426</v>
      </c>
      <c r="D840" s="1">
        <v>45273</v>
      </c>
      <c r="E840" t="s">
        <v>50</v>
      </c>
      <c r="F840" t="s">
        <v>146</v>
      </c>
      <c r="G840" t="s">
        <v>102</v>
      </c>
      <c r="H840" t="s">
        <v>36</v>
      </c>
      <c r="I840" t="s">
        <v>3719</v>
      </c>
      <c r="J840" t="s">
        <v>38</v>
      </c>
      <c r="K840" t="s">
        <v>138</v>
      </c>
      <c r="L840" t="s">
        <v>3720</v>
      </c>
      <c r="M840">
        <v>211.49</v>
      </c>
      <c r="N840">
        <v>60</v>
      </c>
      <c r="O840" t="s">
        <v>2544</v>
      </c>
      <c r="P840" t="s">
        <v>141</v>
      </c>
      <c r="Q840" t="s">
        <v>980</v>
      </c>
      <c r="R840" t="s">
        <v>86</v>
      </c>
      <c r="S840" t="s">
        <v>73</v>
      </c>
      <c r="T840" t="s">
        <v>481</v>
      </c>
      <c r="U840">
        <v>755</v>
      </c>
      <c r="V840">
        <v>175</v>
      </c>
      <c r="W840">
        <v>8</v>
      </c>
      <c r="X840">
        <v>1560.51</v>
      </c>
      <c r="Y840">
        <v>154.76</v>
      </c>
      <c r="Z840">
        <v>1715.27</v>
      </c>
      <c r="AA840" t="s">
        <v>62</v>
      </c>
      <c r="AB840">
        <v>0</v>
      </c>
      <c r="AC840">
        <v>74.77</v>
      </c>
      <c r="AD840">
        <v>336</v>
      </c>
      <c r="AE840">
        <v>380</v>
      </c>
    </row>
    <row r="841" spans="1:31" x14ac:dyDescent="0.25">
      <c r="A841" t="s">
        <v>3721</v>
      </c>
      <c r="B841" t="s">
        <v>3722</v>
      </c>
      <c r="C841" s="1">
        <v>45586</v>
      </c>
      <c r="D841" s="1">
        <v>44632</v>
      </c>
      <c r="E841" t="s">
        <v>65</v>
      </c>
      <c r="F841" t="s">
        <v>51</v>
      </c>
      <c r="G841" t="s">
        <v>343</v>
      </c>
      <c r="H841" t="s">
        <v>79</v>
      </c>
      <c r="I841" t="s">
        <v>3723</v>
      </c>
      <c r="J841" t="s">
        <v>38</v>
      </c>
      <c r="K841" t="s">
        <v>69</v>
      </c>
      <c r="L841" t="s">
        <v>3724</v>
      </c>
      <c r="M841">
        <v>109.44</v>
      </c>
      <c r="N841">
        <v>85</v>
      </c>
      <c r="O841" t="s">
        <v>3725</v>
      </c>
      <c r="P841" t="s">
        <v>141</v>
      </c>
      <c r="Q841" t="s">
        <v>491</v>
      </c>
      <c r="R841" t="s">
        <v>152</v>
      </c>
      <c r="S841" t="s">
        <v>73</v>
      </c>
      <c r="T841" t="s">
        <v>134</v>
      </c>
      <c r="U841">
        <v>2577</v>
      </c>
      <c r="V841">
        <v>286</v>
      </c>
      <c r="W841">
        <v>26</v>
      </c>
      <c r="X841">
        <v>1192.78</v>
      </c>
      <c r="Y841">
        <v>371.62</v>
      </c>
      <c r="Z841">
        <v>1564.4</v>
      </c>
      <c r="AA841" t="s">
        <v>62</v>
      </c>
      <c r="AB841">
        <v>0</v>
      </c>
      <c r="AC841">
        <v>86.36</v>
      </c>
      <c r="AD841">
        <v>221</v>
      </c>
      <c r="AE841">
        <v>185</v>
      </c>
    </row>
    <row r="842" spans="1:31" x14ac:dyDescent="0.25">
      <c r="A842" t="s">
        <v>3726</v>
      </c>
      <c r="B842" t="s">
        <v>3727</v>
      </c>
      <c r="C842" s="1">
        <v>45482</v>
      </c>
      <c r="D842" s="1">
        <v>45620</v>
      </c>
      <c r="E842" t="s">
        <v>50</v>
      </c>
      <c r="F842" t="s">
        <v>51</v>
      </c>
      <c r="G842" t="s">
        <v>92</v>
      </c>
      <c r="H842" t="s">
        <v>79</v>
      </c>
      <c r="I842" t="s">
        <v>3728</v>
      </c>
      <c r="J842" t="s">
        <v>38</v>
      </c>
      <c r="K842" t="s">
        <v>39</v>
      </c>
      <c r="L842" t="s">
        <v>3729</v>
      </c>
      <c r="M842">
        <v>301.17</v>
      </c>
      <c r="N842">
        <v>1</v>
      </c>
      <c r="O842" t="s">
        <v>117</v>
      </c>
      <c r="P842" t="s">
        <v>108</v>
      </c>
      <c r="Q842" t="s">
        <v>686</v>
      </c>
      <c r="R842" t="s">
        <v>86</v>
      </c>
      <c r="S842" t="s">
        <v>45</v>
      </c>
      <c r="T842" t="s">
        <v>419</v>
      </c>
      <c r="U842">
        <v>2883</v>
      </c>
      <c r="V842">
        <v>383</v>
      </c>
      <c r="W842">
        <v>25</v>
      </c>
      <c r="X842">
        <v>1406.72</v>
      </c>
      <c r="Y842">
        <v>73.61</v>
      </c>
      <c r="Z842">
        <v>1480.33</v>
      </c>
      <c r="AA842" t="s">
        <v>62</v>
      </c>
      <c r="AB842">
        <v>0</v>
      </c>
      <c r="AC842">
        <v>87.09</v>
      </c>
      <c r="AD842">
        <v>471</v>
      </c>
      <c r="AE842">
        <v>447</v>
      </c>
    </row>
    <row r="843" spans="1:31" x14ac:dyDescent="0.25">
      <c r="A843" t="s">
        <v>3730</v>
      </c>
      <c r="B843" t="s">
        <v>3731</v>
      </c>
      <c r="C843" s="1">
        <v>44860</v>
      </c>
      <c r="D843" s="1">
        <v>44737</v>
      </c>
      <c r="E843" t="s">
        <v>50</v>
      </c>
      <c r="F843" t="s">
        <v>91</v>
      </c>
      <c r="G843" t="s">
        <v>343</v>
      </c>
      <c r="H843" t="s">
        <v>221</v>
      </c>
      <c r="I843" t="s">
        <v>520</v>
      </c>
      <c r="J843" t="s">
        <v>38</v>
      </c>
      <c r="K843" t="s">
        <v>55</v>
      </c>
      <c r="L843" t="s">
        <v>521</v>
      </c>
      <c r="M843">
        <v>413.95</v>
      </c>
      <c r="N843">
        <v>82</v>
      </c>
      <c r="O843" t="s">
        <v>3716</v>
      </c>
      <c r="P843" t="s">
        <v>58</v>
      </c>
      <c r="Q843" t="s">
        <v>389</v>
      </c>
      <c r="R843" t="s">
        <v>86</v>
      </c>
      <c r="S843" t="s">
        <v>73</v>
      </c>
      <c r="T843" t="s">
        <v>511</v>
      </c>
      <c r="U843">
        <v>3074</v>
      </c>
      <c r="V843">
        <v>172</v>
      </c>
      <c r="W843">
        <v>10</v>
      </c>
      <c r="X843">
        <v>1104.43</v>
      </c>
      <c r="Y843">
        <v>195.71</v>
      </c>
      <c r="Z843">
        <v>1300.1400000000001</v>
      </c>
      <c r="AA843" t="s">
        <v>62</v>
      </c>
      <c r="AB843">
        <v>0</v>
      </c>
      <c r="AC843">
        <v>77.89</v>
      </c>
      <c r="AD843">
        <v>192</v>
      </c>
      <c r="AE843">
        <v>193</v>
      </c>
    </row>
    <row r="844" spans="1:31" x14ac:dyDescent="0.25">
      <c r="A844" t="s">
        <v>3732</v>
      </c>
      <c r="B844" t="s">
        <v>3733</v>
      </c>
      <c r="C844" s="1">
        <v>44396</v>
      </c>
      <c r="D844" s="1">
        <v>45589</v>
      </c>
      <c r="E844" t="s">
        <v>65</v>
      </c>
      <c r="F844" t="s">
        <v>34</v>
      </c>
      <c r="G844" t="s">
        <v>78</v>
      </c>
      <c r="H844" t="s">
        <v>67</v>
      </c>
      <c r="I844" t="s">
        <v>3734</v>
      </c>
      <c r="J844" t="s">
        <v>38</v>
      </c>
      <c r="K844" t="s">
        <v>81</v>
      </c>
      <c r="L844" t="s">
        <v>3735</v>
      </c>
      <c r="M844">
        <v>480.79</v>
      </c>
      <c r="N844">
        <v>83</v>
      </c>
      <c r="O844" t="s">
        <v>2386</v>
      </c>
      <c r="P844" t="s">
        <v>42</v>
      </c>
      <c r="Q844" t="s">
        <v>613</v>
      </c>
      <c r="R844" t="s">
        <v>152</v>
      </c>
      <c r="S844" t="s">
        <v>126</v>
      </c>
      <c r="T844" t="s">
        <v>1229</v>
      </c>
      <c r="U844">
        <v>4903</v>
      </c>
      <c r="V844">
        <v>420</v>
      </c>
      <c r="W844">
        <v>25</v>
      </c>
      <c r="X844">
        <v>1545.78</v>
      </c>
      <c r="Y844">
        <v>338.35</v>
      </c>
      <c r="Z844">
        <v>1884.13</v>
      </c>
      <c r="AA844" t="s">
        <v>47</v>
      </c>
      <c r="AB844">
        <v>10</v>
      </c>
      <c r="AC844">
        <v>89.06</v>
      </c>
      <c r="AD844">
        <v>414</v>
      </c>
      <c r="AE844">
        <v>393</v>
      </c>
    </row>
    <row r="845" spans="1:31" x14ac:dyDescent="0.25">
      <c r="A845" t="s">
        <v>3736</v>
      </c>
      <c r="B845" t="s">
        <v>3737</v>
      </c>
      <c r="C845" s="1">
        <v>44560</v>
      </c>
      <c r="D845" s="1">
        <v>44257</v>
      </c>
      <c r="E845" t="s">
        <v>65</v>
      </c>
      <c r="F845" t="s">
        <v>146</v>
      </c>
      <c r="G845" t="s">
        <v>78</v>
      </c>
      <c r="H845" t="s">
        <v>53</v>
      </c>
      <c r="I845" t="s">
        <v>3738</v>
      </c>
      <c r="J845" t="s">
        <v>165</v>
      </c>
      <c r="K845" t="s">
        <v>202</v>
      </c>
      <c r="L845" t="s">
        <v>3739</v>
      </c>
      <c r="M845">
        <v>152.81</v>
      </c>
      <c r="N845">
        <v>11</v>
      </c>
      <c r="O845" t="s">
        <v>3740</v>
      </c>
      <c r="P845" t="s">
        <v>58</v>
      </c>
      <c r="Q845" t="s">
        <v>72</v>
      </c>
      <c r="R845" t="s">
        <v>60</v>
      </c>
      <c r="S845" t="s">
        <v>45</v>
      </c>
      <c r="T845" t="s">
        <v>284</v>
      </c>
      <c r="U845">
        <v>1353</v>
      </c>
      <c r="V845">
        <v>370</v>
      </c>
      <c r="W845">
        <v>5</v>
      </c>
      <c r="X845">
        <v>144.84</v>
      </c>
      <c r="Y845">
        <v>366.46</v>
      </c>
      <c r="Z845">
        <v>511.3</v>
      </c>
      <c r="AA845" t="s">
        <v>62</v>
      </c>
      <c r="AB845">
        <v>0</v>
      </c>
      <c r="AC845">
        <v>75.63</v>
      </c>
      <c r="AD845">
        <v>478</v>
      </c>
      <c r="AE845">
        <v>438</v>
      </c>
    </row>
    <row r="846" spans="1:31" x14ac:dyDescent="0.25">
      <c r="A846" t="s">
        <v>3741</v>
      </c>
      <c r="B846" t="s">
        <v>3742</v>
      </c>
      <c r="C846" s="1">
        <v>45425</v>
      </c>
      <c r="D846" s="1">
        <v>43878</v>
      </c>
      <c r="E846" t="s">
        <v>65</v>
      </c>
      <c r="F846" t="s">
        <v>34</v>
      </c>
      <c r="G846" t="s">
        <v>35</v>
      </c>
      <c r="H846" t="s">
        <v>163</v>
      </c>
      <c r="I846" t="s">
        <v>3743</v>
      </c>
      <c r="J846" t="s">
        <v>104</v>
      </c>
      <c r="K846" t="s">
        <v>554</v>
      </c>
      <c r="L846" t="s">
        <v>3744</v>
      </c>
      <c r="M846">
        <v>207.61</v>
      </c>
      <c r="N846">
        <v>10</v>
      </c>
      <c r="O846" t="s">
        <v>3745</v>
      </c>
      <c r="P846" t="s">
        <v>42</v>
      </c>
      <c r="Q846" t="s">
        <v>159</v>
      </c>
      <c r="R846" t="s">
        <v>60</v>
      </c>
      <c r="S846" t="s">
        <v>98</v>
      </c>
      <c r="T846" t="s">
        <v>378</v>
      </c>
      <c r="U846">
        <v>2883</v>
      </c>
      <c r="V846">
        <v>172</v>
      </c>
      <c r="W846">
        <v>20</v>
      </c>
      <c r="X846">
        <v>1085.3499999999999</v>
      </c>
      <c r="Y846">
        <v>407.25</v>
      </c>
      <c r="Z846">
        <v>1492.6</v>
      </c>
      <c r="AA846" t="s">
        <v>62</v>
      </c>
      <c r="AB846">
        <v>0</v>
      </c>
      <c r="AC846">
        <v>85.92</v>
      </c>
      <c r="AD846">
        <v>395</v>
      </c>
      <c r="AE846">
        <v>385</v>
      </c>
    </row>
    <row r="847" spans="1:31" x14ac:dyDescent="0.25">
      <c r="A847" t="s">
        <v>3746</v>
      </c>
      <c r="B847" t="s">
        <v>3747</v>
      </c>
      <c r="C847" s="1">
        <v>44168</v>
      </c>
      <c r="D847" s="1">
        <v>44995</v>
      </c>
      <c r="E847" t="s">
        <v>65</v>
      </c>
      <c r="F847" t="s">
        <v>77</v>
      </c>
      <c r="G847" t="s">
        <v>113</v>
      </c>
      <c r="H847" t="s">
        <v>147</v>
      </c>
      <c r="I847" t="s">
        <v>3748</v>
      </c>
      <c r="J847" t="s">
        <v>38</v>
      </c>
      <c r="K847" t="s">
        <v>338</v>
      </c>
      <c r="L847" t="s">
        <v>3749</v>
      </c>
      <c r="M847">
        <v>478.76</v>
      </c>
      <c r="N847">
        <v>23</v>
      </c>
      <c r="O847" t="s">
        <v>822</v>
      </c>
      <c r="P847" t="s">
        <v>141</v>
      </c>
      <c r="Q847" t="s">
        <v>205</v>
      </c>
      <c r="R847" t="s">
        <v>44</v>
      </c>
      <c r="S847" t="s">
        <v>45</v>
      </c>
      <c r="T847" t="s">
        <v>910</v>
      </c>
      <c r="U847">
        <v>4704</v>
      </c>
      <c r="V847">
        <v>107</v>
      </c>
      <c r="W847">
        <v>6</v>
      </c>
      <c r="X847">
        <v>1244.3900000000001</v>
      </c>
      <c r="Y847">
        <v>222.4</v>
      </c>
      <c r="Z847">
        <v>1466.79</v>
      </c>
      <c r="AA847" t="s">
        <v>62</v>
      </c>
      <c r="AB847">
        <v>0</v>
      </c>
      <c r="AC847">
        <v>81.739999999999995</v>
      </c>
      <c r="AD847">
        <v>261</v>
      </c>
      <c r="AE847">
        <v>216</v>
      </c>
    </row>
    <row r="848" spans="1:31" x14ac:dyDescent="0.25">
      <c r="A848" t="s">
        <v>3750</v>
      </c>
      <c r="B848" t="s">
        <v>3751</v>
      </c>
      <c r="C848" s="1">
        <v>45172</v>
      </c>
      <c r="D848" s="1">
        <v>45170</v>
      </c>
      <c r="E848" t="s">
        <v>65</v>
      </c>
      <c r="F848" t="s">
        <v>34</v>
      </c>
      <c r="G848" t="s">
        <v>66</v>
      </c>
      <c r="H848" t="s">
        <v>53</v>
      </c>
      <c r="I848" t="s">
        <v>3752</v>
      </c>
      <c r="J848" t="s">
        <v>38</v>
      </c>
      <c r="K848" t="s">
        <v>39</v>
      </c>
      <c r="L848" t="s">
        <v>3753</v>
      </c>
      <c r="M848">
        <v>257.58999999999997</v>
      </c>
      <c r="N848">
        <v>2</v>
      </c>
      <c r="O848" t="s">
        <v>3754</v>
      </c>
      <c r="P848" t="s">
        <v>42</v>
      </c>
      <c r="Q848" t="s">
        <v>562</v>
      </c>
      <c r="R848" t="s">
        <v>86</v>
      </c>
      <c r="S848" t="s">
        <v>45</v>
      </c>
      <c r="T848" t="s">
        <v>239</v>
      </c>
      <c r="U848">
        <v>4415</v>
      </c>
      <c r="V848">
        <v>316</v>
      </c>
      <c r="W848">
        <v>25</v>
      </c>
      <c r="X848">
        <v>98.78</v>
      </c>
      <c r="Y848">
        <v>414.03</v>
      </c>
      <c r="Z848">
        <v>512.80999999999995</v>
      </c>
      <c r="AA848" t="s">
        <v>62</v>
      </c>
      <c r="AB848">
        <v>0</v>
      </c>
      <c r="AC848">
        <v>92.6</v>
      </c>
      <c r="AD848">
        <v>170</v>
      </c>
      <c r="AE848">
        <v>168</v>
      </c>
    </row>
    <row r="849" spans="1:31" x14ac:dyDescent="0.25">
      <c r="A849" t="s">
        <v>3755</v>
      </c>
      <c r="B849" t="s">
        <v>3756</v>
      </c>
      <c r="C849" s="1">
        <v>45622</v>
      </c>
      <c r="D849" s="1">
        <v>43994</v>
      </c>
      <c r="E849" t="s">
        <v>65</v>
      </c>
      <c r="F849" t="s">
        <v>146</v>
      </c>
      <c r="G849" t="s">
        <v>102</v>
      </c>
      <c r="H849" t="s">
        <v>36</v>
      </c>
      <c r="I849" t="s">
        <v>3757</v>
      </c>
      <c r="J849" t="s">
        <v>38</v>
      </c>
      <c r="K849" t="s">
        <v>39</v>
      </c>
      <c r="L849" t="s">
        <v>3758</v>
      </c>
      <c r="M849">
        <v>375.77</v>
      </c>
      <c r="N849">
        <v>83</v>
      </c>
      <c r="O849" t="s">
        <v>3002</v>
      </c>
      <c r="P849" t="s">
        <v>58</v>
      </c>
      <c r="Q849" t="s">
        <v>151</v>
      </c>
      <c r="R849" t="s">
        <v>44</v>
      </c>
      <c r="S849" t="s">
        <v>45</v>
      </c>
      <c r="T849" t="s">
        <v>46</v>
      </c>
      <c r="U849">
        <v>3032</v>
      </c>
      <c r="V849">
        <v>230</v>
      </c>
      <c r="W849">
        <v>2</v>
      </c>
      <c r="X849">
        <v>979.87</v>
      </c>
      <c r="Y849">
        <v>169.31</v>
      </c>
      <c r="Z849">
        <v>1149.18</v>
      </c>
      <c r="AA849" t="s">
        <v>62</v>
      </c>
      <c r="AB849">
        <v>0</v>
      </c>
      <c r="AC849">
        <v>91.24</v>
      </c>
      <c r="AD849">
        <v>458</v>
      </c>
      <c r="AE849">
        <v>487</v>
      </c>
    </row>
    <row r="850" spans="1:31" x14ac:dyDescent="0.25">
      <c r="A850" t="s">
        <v>3759</v>
      </c>
      <c r="B850" t="s">
        <v>3760</v>
      </c>
      <c r="C850" s="1">
        <v>44715</v>
      </c>
      <c r="D850" s="1">
        <v>44082</v>
      </c>
      <c r="E850" t="s">
        <v>65</v>
      </c>
      <c r="F850" t="s">
        <v>91</v>
      </c>
      <c r="G850" t="s">
        <v>52</v>
      </c>
      <c r="H850" t="s">
        <v>36</v>
      </c>
      <c r="I850" t="s">
        <v>1087</v>
      </c>
      <c r="J850" t="s">
        <v>38</v>
      </c>
      <c r="K850" t="s">
        <v>81</v>
      </c>
      <c r="L850" t="s">
        <v>1088</v>
      </c>
      <c r="M850">
        <v>144.71</v>
      </c>
      <c r="N850">
        <v>29</v>
      </c>
      <c r="O850" t="s">
        <v>3608</v>
      </c>
      <c r="P850" t="s">
        <v>141</v>
      </c>
      <c r="Q850" t="s">
        <v>370</v>
      </c>
      <c r="R850" t="s">
        <v>60</v>
      </c>
      <c r="S850" t="s">
        <v>45</v>
      </c>
      <c r="T850" t="s">
        <v>481</v>
      </c>
      <c r="U850">
        <v>4174</v>
      </c>
      <c r="V850">
        <v>232</v>
      </c>
      <c r="W850">
        <v>26</v>
      </c>
      <c r="X850">
        <v>1203.1099999999999</v>
      </c>
      <c r="Y850">
        <v>285.43</v>
      </c>
      <c r="Z850">
        <v>1488.54</v>
      </c>
      <c r="AA850" t="s">
        <v>62</v>
      </c>
      <c r="AB850">
        <v>0</v>
      </c>
      <c r="AC850">
        <v>72.209999999999994</v>
      </c>
      <c r="AD850">
        <v>415</v>
      </c>
      <c r="AE850">
        <v>417</v>
      </c>
    </row>
    <row r="851" spans="1:31" x14ac:dyDescent="0.25">
      <c r="A851" t="s">
        <v>3761</v>
      </c>
      <c r="B851" t="s">
        <v>3762</v>
      </c>
      <c r="C851" s="1">
        <v>44505</v>
      </c>
      <c r="D851" s="1">
        <v>44503</v>
      </c>
      <c r="E851" t="s">
        <v>50</v>
      </c>
      <c r="F851" t="s">
        <v>146</v>
      </c>
      <c r="G851" t="s">
        <v>35</v>
      </c>
      <c r="H851" t="s">
        <v>147</v>
      </c>
      <c r="I851" t="s">
        <v>3763</v>
      </c>
      <c r="J851" t="s">
        <v>38</v>
      </c>
      <c r="K851" t="s">
        <v>735</v>
      </c>
      <c r="L851" t="s">
        <v>3764</v>
      </c>
      <c r="M851">
        <v>299.73</v>
      </c>
      <c r="N851">
        <v>48</v>
      </c>
      <c r="O851" t="s">
        <v>3765</v>
      </c>
      <c r="P851" t="s">
        <v>42</v>
      </c>
      <c r="Q851" t="s">
        <v>909</v>
      </c>
      <c r="R851" t="s">
        <v>60</v>
      </c>
      <c r="S851" t="s">
        <v>126</v>
      </c>
      <c r="T851" t="s">
        <v>378</v>
      </c>
      <c r="U851">
        <v>4031</v>
      </c>
      <c r="V851">
        <v>371</v>
      </c>
      <c r="W851">
        <v>15</v>
      </c>
      <c r="X851">
        <v>604.16999999999996</v>
      </c>
      <c r="Y851">
        <v>407.53</v>
      </c>
      <c r="Z851">
        <v>1011.7</v>
      </c>
      <c r="AA851" t="s">
        <v>62</v>
      </c>
      <c r="AB851">
        <v>0</v>
      </c>
      <c r="AC851">
        <v>98.78</v>
      </c>
      <c r="AD851">
        <v>294</v>
      </c>
      <c r="AE851">
        <v>294</v>
      </c>
    </row>
    <row r="852" spans="1:31" x14ac:dyDescent="0.25">
      <c r="A852" t="s">
        <v>3766</v>
      </c>
      <c r="B852" t="s">
        <v>3767</v>
      </c>
      <c r="C852" s="1">
        <v>44110</v>
      </c>
      <c r="D852" s="1">
        <v>45133</v>
      </c>
      <c r="E852" t="s">
        <v>65</v>
      </c>
      <c r="F852" t="s">
        <v>51</v>
      </c>
      <c r="G852" t="s">
        <v>92</v>
      </c>
      <c r="H852" t="s">
        <v>53</v>
      </c>
      <c r="I852" t="s">
        <v>3768</v>
      </c>
      <c r="J852" t="s">
        <v>38</v>
      </c>
      <c r="K852" t="s">
        <v>338</v>
      </c>
      <c r="L852" t="s">
        <v>3769</v>
      </c>
      <c r="M852">
        <v>293.08</v>
      </c>
      <c r="N852">
        <v>71</v>
      </c>
      <c r="O852" t="s">
        <v>3770</v>
      </c>
      <c r="P852" t="s">
        <v>84</v>
      </c>
      <c r="Q852" t="s">
        <v>909</v>
      </c>
      <c r="R852" t="s">
        <v>44</v>
      </c>
      <c r="S852" t="s">
        <v>87</v>
      </c>
      <c r="T852" t="s">
        <v>160</v>
      </c>
      <c r="U852">
        <v>3257</v>
      </c>
      <c r="V852">
        <v>51</v>
      </c>
      <c r="W852">
        <v>18</v>
      </c>
      <c r="X852">
        <v>354.93</v>
      </c>
      <c r="Y852">
        <v>423.35</v>
      </c>
      <c r="Z852">
        <v>778.28</v>
      </c>
      <c r="AA852" t="s">
        <v>62</v>
      </c>
      <c r="AB852">
        <v>0</v>
      </c>
      <c r="AC852">
        <v>90.7</v>
      </c>
      <c r="AD852">
        <v>68</v>
      </c>
      <c r="AE852">
        <v>24</v>
      </c>
    </row>
    <row r="853" spans="1:31" x14ac:dyDescent="0.25">
      <c r="A853" t="s">
        <v>3771</v>
      </c>
      <c r="B853" t="s">
        <v>3772</v>
      </c>
      <c r="C853" s="1">
        <v>45207</v>
      </c>
      <c r="D853" s="1">
        <v>45545</v>
      </c>
      <c r="E853" t="s">
        <v>65</v>
      </c>
      <c r="F853" t="s">
        <v>146</v>
      </c>
      <c r="G853" t="s">
        <v>66</v>
      </c>
      <c r="H853" t="s">
        <v>67</v>
      </c>
      <c r="I853" t="s">
        <v>3773</v>
      </c>
      <c r="J853" t="s">
        <v>38</v>
      </c>
      <c r="K853" t="s">
        <v>338</v>
      </c>
      <c r="L853" t="s">
        <v>3774</v>
      </c>
      <c r="M853">
        <v>61.01</v>
      </c>
      <c r="N853">
        <v>90</v>
      </c>
      <c r="O853" t="s">
        <v>1548</v>
      </c>
      <c r="P853" t="s">
        <v>141</v>
      </c>
      <c r="Q853" t="s">
        <v>909</v>
      </c>
      <c r="R853" t="s">
        <v>60</v>
      </c>
      <c r="S853" t="s">
        <v>87</v>
      </c>
      <c r="T853" t="s">
        <v>654</v>
      </c>
      <c r="U853">
        <v>2839</v>
      </c>
      <c r="V853">
        <v>95</v>
      </c>
      <c r="W853">
        <v>22</v>
      </c>
      <c r="X853">
        <v>257.27</v>
      </c>
      <c r="Y853">
        <v>375.2</v>
      </c>
      <c r="Z853">
        <v>632.47</v>
      </c>
      <c r="AA853" t="s">
        <v>62</v>
      </c>
      <c r="AB853">
        <v>0</v>
      </c>
      <c r="AC853">
        <v>93.81</v>
      </c>
      <c r="AD853">
        <v>430</v>
      </c>
      <c r="AE853">
        <v>394</v>
      </c>
    </row>
    <row r="854" spans="1:31" x14ac:dyDescent="0.25">
      <c r="A854" t="s">
        <v>3775</v>
      </c>
      <c r="B854" t="s">
        <v>3776</v>
      </c>
      <c r="C854" s="1">
        <v>45278</v>
      </c>
      <c r="D854" s="1">
        <v>45397</v>
      </c>
      <c r="E854" t="s">
        <v>65</v>
      </c>
      <c r="F854" t="s">
        <v>77</v>
      </c>
      <c r="G854" t="s">
        <v>35</v>
      </c>
      <c r="H854" t="s">
        <v>79</v>
      </c>
      <c r="I854" t="s">
        <v>3777</v>
      </c>
      <c r="J854" t="s">
        <v>38</v>
      </c>
      <c r="K854" t="s">
        <v>94</v>
      </c>
      <c r="L854" t="s">
        <v>3778</v>
      </c>
      <c r="M854">
        <v>311.93</v>
      </c>
      <c r="N854">
        <v>84</v>
      </c>
      <c r="O854" t="s">
        <v>592</v>
      </c>
      <c r="P854" t="s">
        <v>108</v>
      </c>
      <c r="Q854" t="s">
        <v>1244</v>
      </c>
      <c r="R854" t="s">
        <v>86</v>
      </c>
      <c r="S854" t="s">
        <v>87</v>
      </c>
      <c r="T854" t="s">
        <v>721</v>
      </c>
      <c r="U854">
        <v>3611</v>
      </c>
      <c r="V854">
        <v>148</v>
      </c>
      <c r="W854">
        <v>11</v>
      </c>
      <c r="X854">
        <v>1043.8399999999999</v>
      </c>
      <c r="Y854">
        <v>328.95</v>
      </c>
      <c r="Z854">
        <v>1372.79</v>
      </c>
      <c r="AA854" t="s">
        <v>62</v>
      </c>
      <c r="AB854">
        <v>0</v>
      </c>
      <c r="AC854">
        <v>76.88</v>
      </c>
      <c r="AD854">
        <v>444</v>
      </c>
      <c r="AE854">
        <v>456</v>
      </c>
    </row>
    <row r="855" spans="1:31" x14ac:dyDescent="0.25">
      <c r="A855" t="s">
        <v>3779</v>
      </c>
      <c r="B855" t="s">
        <v>3780</v>
      </c>
      <c r="C855" s="1">
        <v>44702</v>
      </c>
      <c r="D855" s="1">
        <v>44958</v>
      </c>
      <c r="E855" t="s">
        <v>65</v>
      </c>
      <c r="F855" t="s">
        <v>91</v>
      </c>
      <c r="G855" t="s">
        <v>113</v>
      </c>
      <c r="H855" t="s">
        <v>53</v>
      </c>
      <c r="I855" t="s">
        <v>1655</v>
      </c>
      <c r="J855" t="s">
        <v>38</v>
      </c>
      <c r="K855" t="s">
        <v>55</v>
      </c>
      <c r="L855" t="s">
        <v>1656</v>
      </c>
      <c r="M855">
        <v>170.88</v>
      </c>
      <c r="N855">
        <v>38</v>
      </c>
      <c r="O855" t="s">
        <v>3781</v>
      </c>
      <c r="P855" t="s">
        <v>58</v>
      </c>
      <c r="Q855" t="s">
        <v>491</v>
      </c>
      <c r="R855" t="s">
        <v>44</v>
      </c>
      <c r="S855" t="s">
        <v>126</v>
      </c>
      <c r="T855" t="s">
        <v>143</v>
      </c>
      <c r="U855">
        <v>1146</v>
      </c>
      <c r="V855">
        <v>165</v>
      </c>
      <c r="W855">
        <v>22</v>
      </c>
      <c r="X855">
        <v>1879.21</v>
      </c>
      <c r="Y855">
        <v>318.58999999999997</v>
      </c>
      <c r="Z855">
        <v>2197.8000000000002</v>
      </c>
      <c r="AA855" t="s">
        <v>47</v>
      </c>
      <c r="AB855">
        <v>6</v>
      </c>
      <c r="AC855">
        <v>83.47</v>
      </c>
      <c r="AD855">
        <v>146</v>
      </c>
      <c r="AE855">
        <v>113</v>
      </c>
    </row>
    <row r="856" spans="1:31" x14ac:dyDescent="0.25">
      <c r="A856" t="s">
        <v>3782</v>
      </c>
      <c r="B856" t="s">
        <v>3783</v>
      </c>
      <c r="C856" s="1">
        <v>44318</v>
      </c>
      <c r="D856" s="1">
        <v>44108</v>
      </c>
      <c r="E856" t="s">
        <v>65</v>
      </c>
      <c r="F856" t="s">
        <v>77</v>
      </c>
      <c r="G856" t="s">
        <v>66</v>
      </c>
      <c r="H856" t="s">
        <v>79</v>
      </c>
      <c r="I856" t="s">
        <v>3784</v>
      </c>
      <c r="J856" t="s">
        <v>38</v>
      </c>
      <c r="K856" t="s">
        <v>39</v>
      </c>
      <c r="L856" t="s">
        <v>3785</v>
      </c>
      <c r="M856">
        <v>282.47000000000003</v>
      </c>
      <c r="N856">
        <v>45</v>
      </c>
      <c r="O856" t="s">
        <v>1543</v>
      </c>
      <c r="P856" t="s">
        <v>42</v>
      </c>
      <c r="Q856" t="s">
        <v>266</v>
      </c>
      <c r="R856" t="s">
        <v>86</v>
      </c>
      <c r="S856" t="s">
        <v>87</v>
      </c>
      <c r="T856" t="s">
        <v>437</v>
      </c>
      <c r="U856">
        <v>1531</v>
      </c>
      <c r="V856">
        <v>154</v>
      </c>
      <c r="W856">
        <v>17</v>
      </c>
      <c r="X856">
        <v>1529.97</v>
      </c>
      <c r="Y856">
        <v>233.56</v>
      </c>
      <c r="Z856">
        <v>1763.53</v>
      </c>
      <c r="AA856" t="s">
        <v>62</v>
      </c>
      <c r="AB856">
        <v>0</v>
      </c>
      <c r="AC856">
        <v>90.78</v>
      </c>
      <c r="AD856">
        <v>96</v>
      </c>
      <c r="AE856">
        <v>83</v>
      </c>
    </row>
    <row r="857" spans="1:31" x14ac:dyDescent="0.25">
      <c r="A857" t="s">
        <v>3786</v>
      </c>
      <c r="B857" t="s">
        <v>3787</v>
      </c>
      <c r="C857" s="1">
        <v>44169</v>
      </c>
      <c r="D857" s="1">
        <v>44354</v>
      </c>
      <c r="E857" t="s">
        <v>65</v>
      </c>
      <c r="F857" t="s">
        <v>77</v>
      </c>
      <c r="G857" t="s">
        <v>102</v>
      </c>
      <c r="H857" t="s">
        <v>221</v>
      </c>
      <c r="I857" t="s">
        <v>2280</v>
      </c>
      <c r="J857" t="s">
        <v>38</v>
      </c>
      <c r="K857" t="s">
        <v>39</v>
      </c>
      <c r="L857" t="s">
        <v>2281</v>
      </c>
      <c r="M857">
        <v>406.69</v>
      </c>
      <c r="N857">
        <v>36</v>
      </c>
      <c r="O857" t="s">
        <v>319</v>
      </c>
      <c r="P857" t="s">
        <v>141</v>
      </c>
      <c r="Q857" t="s">
        <v>205</v>
      </c>
      <c r="R857" t="s">
        <v>44</v>
      </c>
      <c r="S857" t="s">
        <v>126</v>
      </c>
      <c r="T857" t="s">
        <v>481</v>
      </c>
      <c r="U857">
        <v>1181</v>
      </c>
      <c r="V857">
        <v>401</v>
      </c>
      <c r="W857">
        <v>11</v>
      </c>
      <c r="X857">
        <v>1869.3</v>
      </c>
      <c r="Y857">
        <v>411.7</v>
      </c>
      <c r="Z857">
        <v>2281</v>
      </c>
      <c r="AA857" t="s">
        <v>62</v>
      </c>
      <c r="AB857">
        <v>0</v>
      </c>
      <c r="AC857">
        <v>87.3</v>
      </c>
      <c r="AD857">
        <v>107</v>
      </c>
      <c r="AE857">
        <v>124</v>
      </c>
    </row>
    <row r="858" spans="1:31" x14ac:dyDescent="0.25">
      <c r="A858" t="s">
        <v>3788</v>
      </c>
      <c r="B858" t="s">
        <v>3789</v>
      </c>
      <c r="C858" s="1">
        <v>44194</v>
      </c>
      <c r="D858" s="1">
        <v>45653</v>
      </c>
      <c r="E858" t="s">
        <v>65</v>
      </c>
      <c r="F858" t="s">
        <v>77</v>
      </c>
      <c r="G858" t="s">
        <v>78</v>
      </c>
      <c r="H858" t="s">
        <v>147</v>
      </c>
      <c r="I858" t="s">
        <v>3790</v>
      </c>
      <c r="J858" t="s">
        <v>38</v>
      </c>
      <c r="K858" t="s">
        <v>81</v>
      </c>
      <c r="L858" t="s">
        <v>3791</v>
      </c>
      <c r="M858">
        <v>290.57</v>
      </c>
      <c r="N858">
        <v>25</v>
      </c>
      <c r="O858" t="s">
        <v>1599</v>
      </c>
      <c r="P858" t="s">
        <v>108</v>
      </c>
      <c r="Q858" t="s">
        <v>238</v>
      </c>
      <c r="R858" t="s">
        <v>152</v>
      </c>
      <c r="S858" t="s">
        <v>87</v>
      </c>
      <c r="T858" t="s">
        <v>284</v>
      </c>
      <c r="U858">
        <v>69</v>
      </c>
      <c r="V858">
        <v>246</v>
      </c>
      <c r="W858">
        <v>28</v>
      </c>
      <c r="X858">
        <v>1106.44</v>
      </c>
      <c r="Y858">
        <v>48.48</v>
      </c>
      <c r="Z858">
        <v>1154.92</v>
      </c>
      <c r="AA858" t="s">
        <v>62</v>
      </c>
      <c r="AB858">
        <v>0</v>
      </c>
      <c r="AC858">
        <v>86.13</v>
      </c>
      <c r="AD858">
        <v>452</v>
      </c>
      <c r="AE858">
        <v>432</v>
      </c>
    </row>
    <row r="859" spans="1:31" x14ac:dyDescent="0.25">
      <c r="A859" t="s">
        <v>3792</v>
      </c>
      <c r="B859" t="s">
        <v>3793</v>
      </c>
      <c r="C859" s="1">
        <v>44566</v>
      </c>
      <c r="D859" s="1">
        <v>44841</v>
      </c>
      <c r="E859" t="s">
        <v>50</v>
      </c>
      <c r="F859" t="s">
        <v>34</v>
      </c>
      <c r="G859" t="s">
        <v>78</v>
      </c>
      <c r="H859" t="s">
        <v>163</v>
      </c>
      <c r="I859" t="s">
        <v>3794</v>
      </c>
      <c r="J859" t="s">
        <v>165</v>
      </c>
      <c r="K859" t="s">
        <v>202</v>
      </c>
      <c r="L859" t="s">
        <v>3795</v>
      </c>
      <c r="M859">
        <v>474.24</v>
      </c>
      <c r="N859">
        <v>36</v>
      </c>
      <c r="O859" t="s">
        <v>1147</v>
      </c>
      <c r="P859" t="s">
        <v>42</v>
      </c>
      <c r="Q859" t="s">
        <v>1244</v>
      </c>
      <c r="R859" t="s">
        <v>60</v>
      </c>
      <c r="S859" t="s">
        <v>73</v>
      </c>
      <c r="T859" t="s">
        <v>675</v>
      </c>
      <c r="U859">
        <v>2263</v>
      </c>
      <c r="V859">
        <v>416</v>
      </c>
      <c r="W859">
        <v>16</v>
      </c>
      <c r="X859">
        <v>1672.96</v>
      </c>
      <c r="Y859">
        <v>393.79</v>
      </c>
      <c r="Z859">
        <v>2066.75</v>
      </c>
      <c r="AA859" t="s">
        <v>62</v>
      </c>
      <c r="AB859">
        <v>0</v>
      </c>
      <c r="AC859">
        <v>82.57</v>
      </c>
      <c r="AD859">
        <v>216</v>
      </c>
      <c r="AE859">
        <v>238</v>
      </c>
    </row>
    <row r="860" spans="1:31" x14ac:dyDescent="0.25">
      <c r="A860" t="s">
        <v>3796</v>
      </c>
      <c r="B860" t="s">
        <v>3797</v>
      </c>
      <c r="C860" s="1">
        <v>44504</v>
      </c>
      <c r="D860" s="1">
        <v>44572</v>
      </c>
      <c r="E860" t="s">
        <v>65</v>
      </c>
      <c r="F860" t="s">
        <v>146</v>
      </c>
      <c r="G860" t="s">
        <v>92</v>
      </c>
      <c r="H860" t="s">
        <v>79</v>
      </c>
      <c r="I860" t="s">
        <v>3798</v>
      </c>
      <c r="J860" t="s">
        <v>165</v>
      </c>
      <c r="K860" t="s">
        <v>166</v>
      </c>
      <c r="L860" t="s">
        <v>3799</v>
      </c>
      <c r="M860">
        <v>493.74</v>
      </c>
      <c r="N860">
        <v>76</v>
      </c>
      <c r="O860" t="s">
        <v>979</v>
      </c>
      <c r="P860" t="s">
        <v>58</v>
      </c>
      <c r="Q860" t="s">
        <v>151</v>
      </c>
      <c r="R860" t="s">
        <v>44</v>
      </c>
      <c r="S860" t="s">
        <v>87</v>
      </c>
      <c r="T860" t="s">
        <v>721</v>
      </c>
      <c r="U860">
        <v>529</v>
      </c>
      <c r="V860">
        <v>107</v>
      </c>
      <c r="W860">
        <v>1</v>
      </c>
      <c r="X860">
        <v>1563.58</v>
      </c>
      <c r="Y860">
        <v>289.45</v>
      </c>
      <c r="Z860">
        <v>1853.03</v>
      </c>
      <c r="AA860" t="s">
        <v>62</v>
      </c>
      <c r="AB860">
        <v>0</v>
      </c>
      <c r="AC860">
        <v>89.59</v>
      </c>
      <c r="AD860">
        <v>131</v>
      </c>
      <c r="AE860">
        <v>139</v>
      </c>
    </row>
    <row r="861" spans="1:31" x14ac:dyDescent="0.25">
      <c r="A861" t="s">
        <v>3800</v>
      </c>
      <c r="B861" t="s">
        <v>3801</v>
      </c>
      <c r="C861" s="1">
        <v>44480</v>
      </c>
      <c r="D861" s="1">
        <v>44778</v>
      </c>
      <c r="E861" t="s">
        <v>65</v>
      </c>
      <c r="F861" t="s">
        <v>91</v>
      </c>
      <c r="G861" t="s">
        <v>102</v>
      </c>
      <c r="H861" t="s">
        <v>163</v>
      </c>
      <c r="I861" t="s">
        <v>3802</v>
      </c>
      <c r="J861" t="s">
        <v>104</v>
      </c>
      <c r="K861" t="s">
        <v>105</v>
      </c>
      <c r="L861" t="s">
        <v>3803</v>
      </c>
      <c r="M861">
        <v>210.39</v>
      </c>
      <c r="N861">
        <v>42</v>
      </c>
      <c r="O861" t="s">
        <v>1910</v>
      </c>
      <c r="P861" t="s">
        <v>108</v>
      </c>
      <c r="Q861" t="s">
        <v>353</v>
      </c>
      <c r="R861" t="s">
        <v>44</v>
      </c>
      <c r="S861" t="s">
        <v>45</v>
      </c>
      <c r="T861" t="s">
        <v>563</v>
      </c>
      <c r="U861">
        <v>1718</v>
      </c>
      <c r="V861">
        <v>334</v>
      </c>
      <c r="W861">
        <v>21</v>
      </c>
      <c r="X861">
        <v>696.05</v>
      </c>
      <c r="Y861">
        <v>123.19</v>
      </c>
      <c r="Z861">
        <v>819.24</v>
      </c>
      <c r="AA861" t="s">
        <v>62</v>
      </c>
      <c r="AB861">
        <v>0</v>
      </c>
      <c r="AC861">
        <v>96.06</v>
      </c>
      <c r="AD861">
        <v>119</v>
      </c>
      <c r="AE861">
        <v>84</v>
      </c>
    </row>
    <row r="862" spans="1:31" x14ac:dyDescent="0.25">
      <c r="A862" t="s">
        <v>3804</v>
      </c>
      <c r="B862" t="s">
        <v>3805</v>
      </c>
      <c r="C862" s="1">
        <v>45138</v>
      </c>
      <c r="D862" s="1">
        <v>44995</v>
      </c>
      <c r="E862" t="s">
        <v>65</v>
      </c>
      <c r="F862" t="s">
        <v>51</v>
      </c>
      <c r="G862" t="s">
        <v>113</v>
      </c>
      <c r="H862" t="s">
        <v>53</v>
      </c>
      <c r="I862" t="s">
        <v>3806</v>
      </c>
      <c r="J862" t="s">
        <v>104</v>
      </c>
      <c r="K862" t="s">
        <v>105</v>
      </c>
      <c r="L862" t="s">
        <v>3807</v>
      </c>
      <c r="M862">
        <v>274.24</v>
      </c>
      <c r="N862">
        <v>53</v>
      </c>
      <c r="O862" t="s">
        <v>632</v>
      </c>
      <c r="P862" t="s">
        <v>58</v>
      </c>
      <c r="Q862" t="s">
        <v>266</v>
      </c>
      <c r="R862" t="s">
        <v>44</v>
      </c>
      <c r="S862" t="s">
        <v>98</v>
      </c>
      <c r="T862" t="s">
        <v>46</v>
      </c>
      <c r="U862">
        <v>1953</v>
      </c>
      <c r="V862">
        <v>243</v>
      </c>
      <c r="W862">
        <v>28</v>
      </c>
      <c r="X862">
        <v>178.35</v>
      </c>
      <c r="Y862">
        <v>305.45999999999998</v>
      </c>
      <c r="Z862">
        <v>483.80999999999989</v>
      </c>
      <c r="AA862" t="s">
        <v>62</v>
      </c>
      <c r="AB862">
        <v>0</v>
      </c>
      <c r="AC862">
        <v>72.28</v>
      </c>
      <c r="AD862">
        <v>167</v>
      </c>
      <c r="AE862">
        <v>195</v>
      </c>
    </row>
    <row r="863" spans="1:31" x14ac:dyDescent="0.25">
      <c r="A863" t="s">
        <v>3808</v>
      </c>
      <c r="B863" t="s">
        <v>3809</v>
      </c>
      <c r="C863" s="1">
        <v>43940</v>
      </c>
      <c r="D863" s="1">
        <v>45474</v>
      </c>
      <c r="E863" t="s">
        <v>65</v>
      </c>
      <c r="F863" t="s">
        <v>77</v>
      </c>
      <c r="G863" t="s">
        <v>102</v>
      </c>
      <c r="H863" t="s">
        <v>163</v>
      </c>
      <c r="I863" t="s">
        <v>3810</v>
      </c>
      <c r="J863" t="s">
        <v>104</v>
      </c>
      <c r="K863" t="s">
        <v>554</v>
      </c>
      <c r="L863" t="s">
        <v>3811</v>
      </c>
      <c r="M863">
        <v>123.09</v>
      </c>
      <c r="N863">
        <v>10</v>
      </c>
      <c r="O863" t="s">
        <v>3812</v>
      </c>
      <c r="P863" t="s">
        <v>58</v>
      </c>
      <c r="Q863" t="s">
        <v>159</v>
      </c>
      <c r="R863" t="s">
        <v>44</v>
      </c>
      <c r="S863" t="s">
        <v>126</v>
      </c>
      <c r="T863" t="s">
        <v>563</v>
      </c>
      <c r="U863">
        <v>1476</v>
      </c>
      <c r="V863">
        <v>165</v>
      </c>
      <c r="W863">
        <v>24</v>
      </c>
      <c r="X863">
        <v>187.19</v>
      </c>
      <c r="Y863">
        <v>458.45</v>
      </c>
      <c r="Z863">
        <v>645.64</v>
      </c>
      <c r="AA863" t="s">
        <v>62</v>
      </c>
      <c r="AB863">
        <v>0</v>
      </c>
      <c r="AC863">
        <v>85.68</v>
      </c>
      <c r="AD863">
        <v>235</v>
      </c>
      <c r="AE863">
        <v>276</v>
      </c>
    </row>
    <row r="864" spans="1:31" x14ac:dyDescent="0.25">
      <c r="A864" t="s">
        <v>3813</v>
      </c>
      <c r="B864" t="s">
        <v>3814</v>
      </c>
      <c r="C864" s="1">
        <v>45249</v>
      </c>
      <c r="D864" s="1">
        <v>45303</v>
      </c>
      <c r="E864" t="s">
        <v>65</v>
      </c>
      <c r="F864" t="s">
        <v>91</v>
      </c>
      <c r="G864" t="s">
        <v>78</v>
      </c>
      <c r="H864" t="s">
        <v>67</v>
      </c>
      <c r="I864" t="s">
        <v>1508</v>
      </c>
      <c r="J864" t="s">
        <v>38</v>
      </c>
      <c r="K864" t="s">
        <v>338</v>
      </c>
      <c r="L864" t="s">
        <v>1509</v>
      </c>
      <c r="M864">
        <v>445.22</v>
      </c>
      <c r="N864">
        <v>74</v>
      </c>
      <c r="O864" t="s">
        <v>1319</v>
      </c>
      <c r="P864" t="s">
        <v>141</v>
      </c>
      <c r="Q864" t="s">
        <v>613</v>
      </c>
      <c r="R864" t="s">
        <v>86</v>
      </c>
      <c r="S864" t="s">
        <v>73</v>
      </c>
      <c r="T864" t="s">
        <v>246</v>
      </c>
      <c r="U864">
        <v>2964</v>
      </c>
      <c r="V864">
        <v>396</v>
      </c>
      <c r="W864">
        <v>9</v>
      </c>
      <c r="X864">
        <v>590.41999999999996</v>
      </c>
      <c r="Y864">
        <v>452.76</v>
      </c>
      <c r="Z864">
        <v>1043.18</v>
      </c>
      <c r="AA864" t="s">
        <v>62</v>
      </c>
      <c r="AB864">
        <v>0</v>
      </c>
      <c r="AC864">
        <v>98.28</v>
      </c>
      <c r="AD864">
        <v>407</v>
      </c>
      <c r="AE864">
        <v>429</v>
      </c>
    </row>
    <row r="865" spans="1:31" x14ac:dyDescent="0.25">
      <c r="A865" t="s">
        <v>3815</v>
      </c>
      <c r="B865" t="s">
        <v>3816</v>
      </c>
      <c r="C865" s="1">
        <v>44273</v>
      </c>
      <c r="D865" s="1">
        <v>45485</v>
      </c>
      <c r="E865" t="s">
        <v>65</v>
      </c>
      <c r="F865" t="s">
        <v>34</v>
      </c>
      <c r="G865" t="s">
        <v>102</v>
      </c>
      <c r="H865" t="s">
        <v>163</v>
      </c>
      <c r="I865" t="s">
        <v>3817</v>
      </c>
      <c r="J865" t="s">
        <v>38</v>
      </c>
      <c r="K865" t="s">
        <v>94</v>
      </c>
      <c r="L865" t="s">
        <v>3818</v>
      </c>
      <c r="M865">
        <v>343.23</v>
      </c>
      <c r="N865">
        <v>84</v>
      </c>
      <c r="O865" t="s">
        <v>3819</v>
      </c>
      <c r="P865" t="s">
        <v>84</v>
      </c>
      <c r="Q865" t="s">
        <v>125</v>
      </c>
      <c r="R865" t="s">
        <v>44</v>
      </c>
      <c r="S865" t="s">
        <v>45</v>
      </c>
      <c r="T865" t="s">
        <v>143</v>
      </c>
      <c r="U865">
        <v>400</v>
      </c>
      <c r="V865">
        <v>68</v>
      </c>
      <c r="W865">
        <v>7</v>
      </c>
      <c r="X865">
        <v>1669.2</v>
      </c>
      <c r="Y865">
        <v>57.29</v>
      </c>
      <c r="Z865">
        <v>1726.49</v>
      </c>
      <c r="AA865" t="s">
        <v>62</v>
      </c>
      <c r="AB865">
        <v>0</v>
      </c>
      <c r="AC865">
        <v>83.77</v>
      </c>
      <c r="AD865">
        <v>249</v>
      </c>
      <c r="AE865">
        <v>244</v>
      </c>
    </row>
    <row r="866" spans="1:31" x14ac:dyDescent="0.25">
      <c r="A866" t="s">
        <v>3820</v>
      </c>
      <c r="B866" t="s">
        <v>3821</v>
      </c>
      <c r="C866" s="1">
        <v>44670</v>
      </c>
      <c r="D866" s="1">
        <v>44218</v>
      </c>
      <c r="E866" t="s">
        <v>65</v>
      </c>
      <c r="F866" t="s">
        <v>51</v>
      </c>
      <c r="G866" t="s">
        <v>102</v>
      </c>
      <c r="H866" t="s">
        <v>221</v>
      </c>
      <c r="I866" t="s">
        <v>3817</v>
      </c>
      <c r="J866" t="s">
        <v>38</v>
      </c>
      <c r="K866" t="s">
        <v>94</v>
      </c>
      <c r="L866" t="s">
        <v>3818</v>
      </c>
      <c r="M866">
        <v>176</v>
      </c>
      <c r="N866">
        <v>43</v>
      </c>
      <c r="O866" t="s">
        <v>1518</v>
      </c>
      <c r="P866" t="s">
        <v>141</v>
      </c>
      <c r="Q866" t="s">
        <v>708</v>
      </c>
      <c r="R866" t="s">
        <v>152</v>
      </c>
      <c r="S866" t="s">
        <v>98</v>
      </c>
      <c r="T866" t="s">
        <v>314</v>
      </c>
      <c r="U866">
        <v>997</v>
      </c>
      <c r="V866">
        <v>415</v>
      </c>
      <c r="W866">
        <v>22</v>
      </c>
      <c r="X866">
        <v>63</v>
      </c>
      <c r="Y866">
        <v>480.54</v>
      </c>
      <c r="Z866">
        <v>543.54</v>
      </c>
      <c r="AA866" t="s">
        <v>62</v>
      </c>
      <c r="AB866">
        <v>0</v>
      </c>
      <c r="AC866">
        <v>81.83</v>
      </c>
      <c r="AD866">
        <v>231</v>
      </c>
      <c r="AE866">
        <v>199</v>
      </c>
    </row>
    <row r="867" spans="1:31" x14ac:dyDescent="0.25">
      <c r="A867" t="s">
        <v>3822</v>
      </c>
      <c r="B867" t="s">
        <v>3823</v>
      </c>
      <c r="C867" s="1">
        <v>44354</v>
      </c>
      <c r="D867" s="1">
        <v>44566</v>
      </c>
      <c r="E867" t="s">
        <v>65</v>
      </c>
      <c r="F867" t="s">
        <v>51</v>
      </c>
      <c r="G867" t="s">
        <v>113</v>
      </c>
      <c r="H867" t="s">
        <v>79</v>
      </c>
      <c r="I867" t="s">
        <v>3824</v>
      </c>
      <c r="J867" t="s">
        <v>38</v>
      </c>
      <c r="K867" t="s">
        <v>94</v>
      </c>
      <c r="L867" t="s">
        <v>3825</v>
      </c>
      <c r="M867">
        <v>296.56</v>
      </c>
      <c r="N867">
        <v>2</v>
      </c>
      <c r="O867" t="s">
        <v>3826</v>
      </c>
      <c r="P867" t="s">
        <v>141</v>
      </c>
      <c r="Q867" t="s">
        <v>432</v>
      </c>
      <c r="R867" t="s">
        <v>86</v>
      </c>
      <c r="S867" t="s">
        <v>73</v>
      </c>
      <c r="T867" t="s">
        <v>447</v>
      </c>
      <c r="U867">
        <v>1937</v>
      </c>
      <c r="V867">
        <v>442</v>
      </c>
      <c r="W867">
        <v>3</v>
      </c>
      <c r="X867">
        <v>124.06</v>
      </c>
      <c r="Y867">
        <v>192.58</v>
      </c>
      <c r="Z867">
        <v>316.64</v>
      </c>
      <c r="AA867" t="s">
        <v>62</v>
      </c>
      <c r="AB867">
        <v>0</v>
      </c>
      <c r="AC867">
        <v>92.35</v>
      </c>
      <c r="AD867">
        <v>430</v>
      </c>
      <c r="AE867">
        <v>458</v>
      </c>
    </row>
    <row r="868" spans="1:31" x14ac:dyDescent="0.25">
      <c r="A868" t="s">
        <v>3827</v>
      </c>
      <c r="B868" t="s">
        <v>3828</v>
      </c>
      <c r="C868" s="1">
        <v>45142</v>
      </c>
      <c r="D868" s="1">
        <v>43901</v>
      </c>
      <c r="E868" t="s">
        <v>50</v>
      </c>
      <c r="F868" t="s">
        <v>91</v>
      </c>
      <c r="G868" t="s">
        <v>78</v>
      </c>
      <c r="H868" t="s">
        <v>114</v>
      </c>
      <c r="I868" t="s">
        <v>362</v>
      </c>
      <c r="J868" t="s">
        <v>38</v>
      </c>
      <c r="K868" t="s">
        <v>39</v>
      </c>
      <c r="L868" t="s">
        <v>3829</v>
      </c>
      <c r="M868">
        <v>61.8</v>
      </c>
      <c r="N868">
        <v>71</v>
      </c>
      <c r="O868" t="s">
        <v>1195</v>
      </c>
      <c r="P868" t="s">
        <v>84</v>
      </c>
      <c r="Q868" t="s">
        <v>85</v>
      </c>
      <c r="R868" t="s">
        <v>152</v>
      </c>
      <c r="S868" t="s">
        <v>45</v>
      </c>
      <c r="T868" t="s">
        <v>308</v>
      </c>
      <c r="U868">
        <v>4673</v>
      </c>
      <c r="V868">
        <v>262</v>
      </c>
      <c r="W868">
        <v>22</v>
      </c>
      <c r="X868">
        <v>422.04</v>
      </c>
      <c r="Y868">
        <v>398.01</v>
      </c>
      <c r="Z868">
        <v>820.05</v>
      </c>
      <c r="AA868" t="s">
        <v>62</v>
      </c>
      <c r="AB868">
        <v>0</v>
      </c>
      <c r="AC868">
        <v>85.16</v>
      </c>
      <c r="AD868">
        <v>367</v>
      </c>
      <c r="AE868">
        <v>350</v>
      </c>
    </row>
    <row r="869" spans="1:31" x14ac:dyDescent="0.25">
      <c r="A869" t="s">
        <v>3830</v>
      </c>
      <c r="B869" t="s">
        <v>3831</v>
      </c>
      <c r="C869" s="1">
        <v>45252</v>
      </c>
      <c r="D869" s="1">
        <v>44313</v>
      </c>
      <c r="E869" t="s">
        <v>50</v>
      </c>
      <c r="F869" t="s">
        <v>146</v>
      </c>
      <c r="G869" t="s">
        <v>78</v>
      </c>
      <c r="H869" t="s">
        <v>79</v>
      </c>
      <c r="I869" t="s">
        <v>3167</v>
      </c>
      <c r="J869" t="s">
        <v>38</v>
      </c>
      <c r="K869" t="s">
        <v>39</v>
      </c>
      <c r="L869" t="s">
        <v>3168</v>
      </c>
      <c r="M869">
        <v>51.16</v>
      </c>
      <c r="N869">
        <v>19</v>
      </c>
      <c r="O869" t="s">
        <v>1491</v>
      </c>
      <c r="P869" t="s">
        <v>108</v>
      </c>
      <c r="Q869" t="s">
        <v>370</v>
      </c>
      <c r="R869" t="s">
        <v>86</v>
      </c>
      <c r="S869" t="s">
        <v>87</v>
      </c>
      <c r="T869" t="s">
        <v>99</v>
      </c>
      <c r="U869">
        <v>1380</v>
      </c>
      <c r="V869">
        <v>315</v>
      </c>
      <c r="W869">
        <v>25</v>
      </c>
      <c r="X869">
        <v>718.99</v>
      </c>
      <c r="Y869">
        <v>142.13999999999999</v>
      </c>
      <c r="Z869">
        <v>861.13</v>
      </c>
      <c r="AA869" t="s">
        <v>62</v>
      </c>
      <c r="AB869">
        <v>0</v>
      </c>
      <c r="AC869">
        <v>88.18</v>
      </c>
      <c r="AD869">
        <v>197</v>
      </c>
      <c r="AE869">
        <v>223</v>
      </c>
    </row>
    <row r="870" spans="1:31" x14ac:dyDescent="0.25">
      <c r="A870" t="s">
        <v>3832</v>
      </c>
      <c r="B870" t="s">
        <v>3833</v>
      </c>
      <c r="C870" s="1">
        <v>45451</v>
      </c>
      <c r="D870" s="1">
        <v>44422</v>
      </c>
      <c r="E870" t="s">
        <v>33</v>
      </c>
      <c r="F870" t="s">
        <v>51</v>
      </c>
      <c r="G870" t="s">
        <v>102</v>
      </c>
      <c r="H870" t="s">
        <v>221</v>
      </c>
      <c r="I870" t="s">
        <v>769</v>
      </c>
      <c r="J870" t="s">
        <v>38</v>
      </c>
      <c r="K870" t="s">
        <v>81</v>
      </c>
      <c r="L870" t="s">
        <v>770</v>
      </c>
      <c r="M870">
        <v>333.33</v>
      </c>
      <c r="N870">
        <v>3</v>
      </c>
      <c r="O870" t="s">
        <v>2337</v>
      </c>
      <c r="P870" t="s">
        <v>141</v>
      </c>
      <c r="Q870" t="s">
        <v>133</v>
      </c>
      <c r="R870" t="s">
        <v>44</v>
      </c>
      <c r="S870" t="s">
        <v>73</v>
      </c>
      <c r="T870" t="s">
        <v>721</v>
      </c>
      <c r="U870">
        <v>4529</v>
      </c>
      <c r="V870">
        <v>175</v>
      </c>
      <c r="W870">
        <v>3</v>
      </c>
      <c r="X870">
        <v>1828.64</v>
      </c>
      <c r="Y870">
        <v>372.05</v>
      </c>
      <c r="Z870">
        <v>2200.69</v>
      </c>
      <c r="AA870" t="s">
        <v>62</v>
      </c>
      <c r="AB870">
        <v>0</v>
      </c>
      <c r="AC870">
        <v>96.12</v>
      </c>
      <c r="AD870">
        <v>474</v>
      </c>
      <c r="AE870">
        <v>520</v>
      </c>
    </row>
    <row r="871" spans="1:31" x14ac:dyDescent="0.25">
      <c r="A871" t="s">
        <v>3834</v>
      </c>
      <c r="B871" t="s">
        <v>3835</v>
      </c>
      <c r="C871" s="1">
        <v>44875</v>
      </c>
      <c r="D871" s="1">
        <v>44999</v>
      </c>
      <c r="E871" t="s">
        <v>50</v>
      </c>
      <c r="F871" t="s">
        <v>146</v>
      </c>
      <c r="G871" t="s">
        <v>102</v>
      </c>
      <c r="H871" t="s">
        <v>67</v>
      </c>
      <c r="I871" t="s">
        <v>3836</v>
      </c>
      <c r="J871" t="s">
        <v>165</v>
      </c>
      <c r="K871" t="s">
        <v>202</v>
      </c>
      <c r="L871" t="s">
        <v>3837</v>
      </c>
      <c r="M871">
        <v>188.72</v>
      </c>
      <c r="N871">
        <v>72</v>
      </c>
      <c r="O871" t="s">
        <v>1935</v>
      </c>
      <c r="P871" t="s">
        <v>108</v>
      </c>
      <c r="Q871" t="s">
        <v>159</v>
      </c>
      <c r="R871" t="s">
        <v>60</v>
      </c>
      <c r="S871" t="s">
        <v>73</v>
      </c>
      <c r="T871" t="s">
        <v>192</v>
      </c>
      <c r="U871">
        <v>4506</v>
      </c>
      <c r="V871">
        <v>110</v>
      </c>
      <c r="W871">
        <v>14</v>
      </c>
      <c r="X871">
        <v>866.7</v>
      </c>
      <c r="Y871">
        <v>442.82</v>
      </c>
      <c r="Z871">
        <v>1309.52</v>
      </c>
      <c r="AA871" t="s">
        <v>62</v>
      </c>
      <c r="AB871">
        <v>0</v>
      </c>
      <c r="AC871">
        <v>94.64</v>
      </c>
      <c r="AD871">
        <v>385</v>
      </c>
      <c r="AE871">
        <v>349</v>
      </c>
    </row>
    <row r="872" spans="1:31" x14ac:dyDescent="0.25">
      <c r="A872" t="s">
        <v>3838</v>
      </c>
      <c r="B872" t="s">
        <v>3839</v>
      </c>
      <c r="C872" s="1">
        <v>44729</v>
      </c>
      <c r="D872" s="1">
        <v>44420</v>
      </c>
      <c r="E872" t="s">
        <v>65</v>
      </c>
      <c r="F872" t="s">
        <v>34</v>
      </c>
      <c r="G872" t="s">
        <v>343</v>
      </c>
      <c r="H872" t="s">
        <v>36</v>
      </c>
      <c r="I872" t="s">
        <v>3840</v>
      </c>
      <c r="J872" t="s">
        <v>165</v>
      </c>
      <c r="K872" t="s">
        <v>166</v>
      </c>
      <c r="L872" t="s">
        <v>3841</v>
      </c>
      <c r="M872">
        <v>202.77</v>
      </c>
      <c r="N872">
        <v>6</v>
      </c>
      <c r="O872" t="s">
        <v>3842</v>
      </c>
      <c r="P872" t="s">
        <v>42</v>
      </c>
      <c r="Q872" t="s">
        <v>458</v>
      </c>
      <c r="R872" t="s">
        <v>86</v>
      </c>
      <c r="S872" t="s">
        <v>73</v>
      </c>
      <c r="T872" t="s">
        <v>359</v>
      </c>
      <c r="U872">
        <v>1865</v>
      </c>
      <c r="V872">
        <v>184</v>
      </c>
      <c r="W872">
        <v>10</v>
      </c>
      <c r="X872">
        <v>1438.31</v>
      </c>
      <c r="Y872">
        <v>167.3</v>
      </c>
      <c r="Z872">
        <v>1605.61</v>
      </c>
      <c r="AA872" t="s">
        <v>62</v>
      </c>
      <c r="AB872">
        <v>0</v>
      </c>
      <c r="AC872">
        <v>80.88</v>
      </c>
      <c r="AD872">
        <v>373</v>
      </c>
      <c r="AE872">
        <v>364</v>
      </c>
    </row>
    <row r="873" spans="1:31" x14ac:dyDescent="0.25">
      <c r="A873" t="s">
        <v>3843</v>
      </c>
      <c r="B873" t="s">
        <v>3844</v>
      </c>
      <c r="C873" s="1">
        <v>44006</v>
      </c>
      <c r="D873" s="1">
        <v>44640</v>
      </c>
      <c r="E873" t="s">
        <v>65</v>
      </c>
      <c r="F873" t="s">
        <v>34</v>
      </c>
      <c r="G873" t="s">
        <v>92</v>
      </c>
      <c r="H873" t="s">
        <v>79</v>
      </c>
      <c r="I873" t="s">
        <v>3515</v>
      </c>
      <c r="J873" t="s">
        <v>165</v>
      </c>
      <c r="K873" t="s">
        <v>202</v>
      </c>
      <c r="L873" t="s">
        <v>3516</v>
      </c>
      <c r="M873">
        <v>43.76</v>
      </c>
      <c r="N873">
        <v>81</v>
      </c>
      <c r="O873" t="s">
        <v>294</v>
      </c>
      <c r="P873" t="s">
        <v>42</v>
      </c>
      <c r="Q873" t="s">
        <v>491</v>
      </c>
      <c r="R873" t="s">
        <v>44</v>
      </c>
      <c r="S873" t="s">
        <v>45</v>
      </c>
      <c r="T873" t="s">
        <v>447</v>
      </c>
      <c r="U873">
        <v>282</v>
      </c>
      <c r="V873">
        <v>235</v>
      </c>
      <c r="W873">
        <v>26</v>
      </c>
      <c r="X873">
        <v>435.84</v>
      </c>
      <c r="Y873">
        <v>492.85</v>
      </c>
      <c r="Z873">
        <v>928.69</v>
      </c>
      <c r="AA873" t="s">
        <v>62</v>
      </c>
      <c r="AB873">
        <v>0</v>
      </c>
      <c r="AC873">
        <v>89.41</v>
      </c>
      <c r="AD873">
        <v>53</v>
      </c>
      <c r="AE873">
        <v>41</v>
      </c>
    </row>
    <row r="874" spans="1:31" x14ac:dyDescent="0.25">
      <c r="A874" t="s">
        <v>3845</v>
      </c>
      <c r="B874" t="s">
        <v>3846</v>
      </c>
      <c r="C874" s="1">
        <v>45318</v>
      </c>
      <c r="D874" s="1">
        <v>44581</v>
      </c>
      <c r="E874" t="s">
        <v>50</v>
      </c>
      <c r="F874" t="s">
        <v>34</v>
      </c>
      <c r="G874" t="s">
        <v>92</v>
      </c>
      <c r="H874" t="s">
        <v>147</v>
      </c>
      <c r="I874" t="s">
        <v>3847</v>
      </c>
      <c r="J874" t="s">
        <v>165</v>
      </c>
      <c r="K874" t="s">
        <v>202</v>
      </c>
      <c r="L874" t="s">
        <v>3848</v>
      </c>
      <c r="M874">
        <v>419.28</v>
      </c>
      <c r="N874">
        <v>92</v>
      </c>
      <c r="O874" t="s">
        <v>707</v>
      </c>
      <c r="P874" t="s">
        <v>42</v>
      </c>
      <c r="Q874" t="s">
        <v>517</v>
      </c>
      <c r="R874" t="s">
        <v>86</v>
      </c>
      <c r="S874" t="s">
        <v>98</v>
      </c>
      <c r="T874" t="s">
        <v>88</v>
      </c>
      <c r="U874">
        <v>4620</v>
      </c>
      <c r="V874">
        <v>389</v>
      </c>
      <c r="W874">
        <v>9</v>
      </c>
      <c r="X874">
        <v>324.97000000000003</v>
      </c>
      <c r="Y874">
        <v>24.55</v>
      </c>
      <c r="Z874">
        <v>349.52</v>
      </c>
      <c r="AA874" t="s">
        <v>62</v>
      </c>
      <c r="AB874">
        <v>0</v>
      </c>
      <c r="AC874">
        <v>75.89</v>
      </c>
      <c r="AD874">
        <v>489</v>
      </c>
      <c r="AE874">
        <v>451</v>
      </c>
    </row>
    <row r="875" spans="1:31" x14ac:dyDescent="0.25">
      <c r="A875" t="s">
        <v>3849</v>
      </c>
      <c r="B875" t="s">
        <v>3850</v>
      </c>
      <c r="C875" s="1">
        <v>44620</v>
      </c>
      <c r="D875" s="1">
        <v>45174</v>
      </c>
      <c r="E875" t="s">
        <v>50</v>
      </c>
      <c r="F875" t="s">
        <v>51</v>
      </c>
      <c r="G875" t="s">
        <v>102</v>
      </c>
      <c r="H875" t="s">
        <v>53</v>
      </c>
      <c r="I875" t="s">
        <v>3851</v>
      </c>
      <c r="J875" t="s">
        <v>104</v>
      </c>
      <c r="K875" t="s">
        <v>229</v>
      </c>
      <c r="L875" t="s">
        <v>3852</v>
      </c>
      <c r="M875">
        <v>344.53</v>
      </c>
      <c r="N875">
        <v>8</v>
      </c>
      <c r="O875" t="s">
        <v>3853</v>
      </c>
      <c r="P875" t="s">
        <v>84</v>
      </c>
      <c r="Q875" t="s">
        <v>320</v>
      </c>
      <c r="R875" t="s">
        <v>152</v>
      </c>
      <c r="S875" t="s">
        <v>87</v>
      </c>
      <c r="T875" t="s">
        <v>533</v>
      </c>
      <c r="U875">
        <v>4352</v>
      </c>
      <c r="V875">
        <v>484</v>
      </c>
      <c r="W875">
        <v>3</v>
      </c>
      <c r="X875">
        <v>403.43</v>
      </c>
      <c r="Y875">
        <v>107.55</v>
      </c>
      <c r="Z875">
        <v>510.98</v>
      </c>
      <c r="AA875" t="s">
        <v>62</v>
      </c>
      <c r="AB875">
        <v>0</v>
      </c>
      <c r="AC875">
        <v>94.09</v>
      </c>
      <c r="AD875">
        <v>183</v>
      </c>
      <c r="AE875">
        <v>134</v>
      </c>
    </row>
    <row r="876" spans="1:31" x14ac:dyDescent="0.25">
      <c r="A876" t="s">
        <v>3854</v>
      </c>
      <c r="B876" t="s">
        <v>3855</v>
      </c>
      <c r="C876" s="1">
        <v>44447</v>
      </c>
      <c r="D876" s="1">
        <v>43849</v>
      </c>
      <c r="E876" t="s">
        <v>50</v>
      </c>
      <c r="F876" t="s">
        <v>91</v>
      </c>
      <c r="G876" t="s">
        <v>102</v>
      </c>
      <c r="H876" t="s">
        <v>163</v>
      </c>
      <c r="I876" t="s">
        <v>3856</v>
      </c>
      <c r="J876" t="s">
        <v>104</v>
      </c>
      <c r="K876" t="s">
        <v>181</v>
      </c>
      <c r="L876" t="s">
        <v>3857</v>
      </c>
      <c r="M876">
        <v>90.05</v>
      </c>
      <c r="N876">
        <v>94</v>
      </c>
      <c r="O876" t="s">
        <v>2844</v>
      </c>
      <c r="P876" t="s">
        <v>84</v>
      </c>
      <c r="Q876" t="s">
        <v>432</v>
      </c>
      <c r="R876" t="s">
        <v>86</v>
      </c>
      <c r="S876" t="s">
        <v>87</v>
      </c>
      <c r="T876" t="s">
        <v>46</v>
      </c>
      <c r="U876">
        <v>3168</v>
      </c>
      <c r="V876">
        <v>303</v>
      </c>
      <c r="W876">
        <v>11</v>
      </c>
      <c r="X876">
        <v>1254.2</v>
      </c>
      <c r="Y876">
        <v>384.87</v>
      </c>
      <c r="Z876">
        <v>1639.07</v>
      </c>
      <c r="AA876" t="s">
        <v>47</v>
      </c>
      <c r="AB876">
        <v>14</v>
      </c>
      <c r="AC876">
        <v>72.47</v>
      </c>
      <c r="AD876">
        <v>63</v>
      </c>
      <c r="AE876">
        <v>31</v>
      </c>
    </row>
    <row r="877" spans="1:31" x14ac:dyDescent="0.25">
      <c r="A877" t="s">
        <v>3858</v>
      </c>
      <c r="B877" t="s">
        <v>3859</v>
      </c>
      <c r="C877" s="1">
        <v>44970</v>
      </c>
      <c r="D877" s="1">
        <v>45567</v>
      </c>
      <c r="E877" t="s">
        <v>65</v>
      </c>
      <c r="F877" t="s">
        <v>77</v>
      </c>
      <c r="G877" t="s">
        <v>343</v>
      </c>
      <c r="H877" t="s">
        <v>36</v>
      </c>
      <c r="I877" t="s">
        <v>1048</v>
      </c>
      <c r="J877" t="s">
        <v>104</v>
      </c>
      <c r="K877" t="s">
        <v>181</v>
      </c>
      <c r="L877" t="s">
        <v>1049</v>
      </c>
      <c r="M877">
        <v>289.19</v>
      </c>
      <c r="N877">
        <v>85</v>
      </c>
      <c r="O877" t="s">
        <v>3860</v>
      </c>
      <c r="P877" t="s">
        <v>141</v>
      </c>
      <c r="Q877" t="s">
        <v>252</v>
      </c>
      <c r="R877" t="s">
        <v>60</v>
      </c>
      <c r="S877" t="s">
        <v>98</v>
      </c>
      <c r="T877" t="s">
        <v>437</v>
      </c>
      <c r="U877">
        <v>3406</v>
      </c>
      <c r="V877">
        <v>107</v>
      </c>
      <c r="W877">
        <v>23</v>
      </c>
      <c r="X877">
        <v>1958.23</v>
      </c>
      <c r="Y877">
        <v>241.1</v>
      </c>
      <c r="Z877">
        <v>2199.33</v>
      </c>
      <c r="AA877" t="s">
        <v>62</v>
      </c>
      <c r="AB877">
        <v>0</v>
      </c>
      <c r="AC877">
        <v>98.34</v>
      </c>
      <c r="AD877">
        <v>407</v>
      </c>
      <c r="AE877">
        <v>363</v>
      </c>
    </row>
    <row r="878" spans="1:31" x14ac:dyDescent="0.25">
      <c r="A878" t="s">
        <v>3861</v>
      </c>
      <c r="B878" t="s">
        <v>3862</v>
      </c>
      <c r="C878" s="1">
        <v>45327</v>
      </c>
      <c r="D878" s="1">
        <v>45295</v>
      </c>
      <c r="E878" t="s">
        <v>50</v>
      </c>
      <c r="F878" t="s">
        <v>146</v>
      </c>
      <c r="G878" t="s">
        <v>92</v>
      </c>
      <c r="H878" t="s">
        <v>114</v>
      </c>
      <c r="I878" t="s">
        <v>3863</v>
      </c>
      <c r="J878" t="s">
        <v>104</v>
      </c>
      <c r="K878" t="s">
        <v>181</v>
      </c>
      <c r="L878" t="s">
        <v>3864</v>
      </c>
      <c r="M878">
        <v>387.24</v>
      </c>
      <c r="N878">
        <v>51</v>
      </c>
      <c r="O878" t="s">
        <v>1417</v>
      </c>
      <c r="P878" t="s">
        <v>42</v>
      </c>
      <c r="Q878" t="s">
        <v>142</v>
      </c>
      <c r="R878" t="s">
        <v>86</v>
      </c>
      <c r="S878" t="s">
        <v>87</v>
      </c>
      <c r="T878" t="s">
        <v>185</v>
      </c>
      <c r="U878">
        <v>848</v>
      </c>
      <c r="V878">
        <v>395</v>
      </c>
      <c r="W878">
        <v>24</v>
      </c>
      <c r="X878">
        <v>467.02</v>
      </c>
      <c r="Y878">
        <v>38.92</v>
      </c>
      <c r="Z878">
        <v>505.94</v>
      </c>
      <c r="AA878" t="s">
        <v>62</v>
      </c>
      <c r="AB878">
        <v>0</v>
      </c>
      <c r="AC878">
        <v>73.12</v>
      </c>
      <c r="AD878">
        <v>202</v>
      </c>
      <c r="AE878">
        <v>244</v>
      </c>
    </row>
    <row r="879" spans="1:31" x14ac:dyDescent="0.25">
      <c r="A879" t="s">
        <v>3865</v>
      </c>
      <c r="B879" t="s">
        <v>1221</v>
      </c>
      <c r="C879" s="1">
        <v>44214</v>
      </c>
      <c r="D879" s="1">
        <v>44313</v>
      </c>
      <c r="E879" t="s">
        <v>65</v>
      </c>
      <c r="F879" t="s">
        <v>51</v>
      </c>
      <c r="G879" t="s">
        <v>35</v>
      </c>
      <c r="H879" t="s">
        <v>114</v>
      </c>
      <c r="I879" t="s">
        <v>3866</v>
      </c>
      <c r="J879" t="s">
        <v>38</v>
      </c>
      <c r="K879" t="s">
        <v>338</v>
      </c>
      <c r="L879" t="s">
        <v>3867</v>
      </c>
      <c r="M879">
        <v>446.04</v>
      </c>
      <c r="N879">
        <v>36</v>
      </c>
      <c r="O879" t="s">
        <v>2618</v>
      </c>
      <c r="P879" t="s">
        <v>84</v>
      </c>
      <c r="Q879" t="s">
        <v>432</v>
      </c>
      <c r="R879" t="s">
        <v>152</v>
      </c>
      <c r="S879" t="s">
        <v>126</v>
      </c>
      <c r="T879" t="s">
        <v>334</v>
      </c>
      <c r="U879">
        <v>4298</v>
      </c>
      <c r="V879">
        <v>85</v>
      </c>
      <c r="W879">
        <v>2</v>
      </c>
      <c r="X879">
        <v>136.57</v>
      </c>
      <c r="Y879">
        <v>398.54</v>
      </c>
      <c r="Z879">
        <v>535.11</v>
      </c>
      <c r="AA879" t="s">
        <v>62</v>
      </c>
      <c r="AB879">
        <v>0</v>
      </c>
      <c r="AC879">
        <v>89.72</v>
      </c>
      <c r="AD879">
        <v>366</v>
      </c>
      <c r="AE879">
        <v>393</v>
      </c>
    </row>
    <row r="880" spans="1:31" x14ac:dyDescent="0.25">
      <c r="A880" t="s">
        <v>3868</v>
      </c>
      <c r="B880" t="s">
        <v>3869</v>
      </c>
      <c r="C880" s="1">
        <v>43889</v>
      </c>
      <c r="D880" s="1">
        <v>44973</v>
      </c>
      <c r="E880" t="s">
        <v>65</v>
      </c>
      <c r="F880" t="s">
        <v>77</v>
      </c>
      <c r="G880" t="s">
        <v>66</v>
      </c>
      <c r="H880" t="s">
        <v>79</v>
      </c>
      <c r="I880" t="s">
        <v>3870</v>
      </c>
      <c r="J880" t="s">
        <v>38</v>
      </c>
      <c r="K880" t="s">
        <v>338</v>
      </c>
      <c r="L880" t="s">
        <v>3871</v>
      </c>
      <c r="M880">
        <v>182.97</v>
      </c>
      <c r="N880">
        <v>82</v>
      </c>
      <c r="O880" t="s">
        <v>1685</v>
      </c>
      <c r="P880" t="s">
        <v>84</v>
      </c>
      <c r="Q880" t="s">
        <v>702</v>
      </c>
      <c r="R880" t="s">
        <v>44</v>
      </c>
      <c r="S880" t="s">
        <v>98</v>
      </c>
      <c r="T880" t="s">
        <v>185</v>
      </c>
      <c r="U880">
        <v>1719</v>
      </c>
      <c r="V880">
        <v>273</v>
      </c>
      <c r="W880">
        <v>4</v>
      </c>
      <c r="X880">
        <v>1428.4</v>
      </c>
      <c r="Y880">
        <v>362.46</v>
      </c>
      <c r="Z880">
        <v>1790.86</v>
      </c>
      <c r="AA880" t="s">
        <v>62</v>
      </c>
      <c r="AB880">
        <v>0</v>
      </c>
      <c r="AC880">
        <v>90.59</v>
      </c>
      <c r="AD880">
        <v>74</v>
      </c>
      <c r="AE880">
        <v>52</v>
      </c>
    </row>
    <row r="881" spans="1:31" x14ac:dyDescent="0.25">
      <c r="A881" t="s">
        <v>3872</v>
      </c>
      <c r="B881" t="s">
        <v>3873</v>
      </c>
      <c r="C881" s="1">
        <v>44505</v>
      </c>
      <c r="D881" s="1">
        <v>44105</v>
      </c>
      <c r="E881" t="s">
        <v>65</v>
      </c>
      <c r="F881" t="s">
        <v>146</v>
      </c>
      <c r="G881" t="s">
        <v>102</v>
      </c>
      <c r="H881" t="s">
        <v>221</v>
      </c>
      <c r="I881" t="s">
        <v>3874</v>
      </c>
      <c r="J881" t="s">
        <v>38</v>
      </c>
      <c r="K881" t="s">
        <v>263</v>
      </c>
      <c r="L881" t="s">
        <v>3875</v>
      </c>
      <c r="M881">
        <v>108.94</v>
      </c>
      <c r="N881">
        <v>72</v>
      </c>
      <c r="O881" t="s">
        <v>3876</v>
      </c>
      <c r="P881" t="s">
        <v>84</v>
      </c>
      <c r="Q881" t="s">
        <v>125</v>
      </c>
      <c r="R881" t="s">
        <v>152</v>
      </c>
      <c r="S881" t="s">
        <v>98</v>
      </c>
      <c r="T881" t="s">
        <v>46</v>
      </c>
      <c r="U881">
        <v>1923</v>
      </c>
      <c r="V881">
        <v>488</v>
      </c>
      <c r="W881">
        <v>21</v>
      </c>
      <c r="X881">
        <v>1190.4000000000001</v>
      </c>
      <c r="Y881">
        <v>372.56</v>
      </c>
      <c r="Z881">
        <v>1562.96</v>
      </c>
      <c r="AA881" t="s">
        <v>62</v>
      </c>
      <c r="AB881">
        <v>0</v>
      </c>
      <c r="AC881">
        <v>94.18</v>
      </c>
      <c r="AD881">
        <v>278</v>
      </c>
      <c r="AE881">
        <v>242</v>
      </c>
    </row>
    <row r="882" spans="1:31" x14ac:dyDescent="0.25">
      <c r="A882" t="s">
        <v>3877</v>
      </c>
      <c r="B882" t="s">
        <v>3128</v>
      </c>
      <c r="C882" s="1">
        <v>45485</v>
      </c>
      <c r="D882" s="1">
        <v>44988</v>
      </c>
      <c r="E882" t="s">
        <v>50</v>
      </c>
      <c r="F882" t="s">
        <v>34</v>
      </c>
      <c r="G882" t="s">
        <v>78</v>
      </c>
      <c r="H882" t="s">
        <v>79</v>
      </c>
      <c r="I882" t="s">
        <v>3878</v>
      </c>
      <c r="J882" t="s">
        <v>38</v>
      </c>
      <c r="K882" t="s">
        <v>81</v>
      </c>
      <c r="L882" t="s">
        <v>3879</v>
      </c>
      <c r="M882">
        <v>374.22</v>
      </c>
      <c r="N882">
        <v>76</v>
      </c>
      <c r="O882" t="s">
        <v>2706</v>
      </c>
      <c r="P882" t="s">
        <v>141</v>
      </c>
      <c r="Q882" t="s">
        <v>532</v>
      </c>
      <c r="R882" t="s">
        <v>86</v>
      </c>
      <c r="S882" t="s">
        <v>45</v>
      </c>
      <c r="T882" t="s">
        <v>738</v>
      </c>
      <c r="U882">
        <v>3223</v>
      </c>
      <c r="V882">
        <v>95</v>
      </c>
      <c r="W882">
        <v>4</v>
      </c>
      <c r="X882">
        <v>1232.02</v>
      </c>
      <c r="Y882">
        <v>174.77</v>
      </c>
      <c r="Z882">
        <v>1406.79</v>
      </c>
      <c r="AA882" t="s">
        <v>47</v>
      </c>
      <c r="AB882">
        <v>14</v>
      </c>
      <c r="AC882">
        <v>83.83</v>
      </c>
      <c r="AD882">
        <v>476</v>
      </c>
      <c r="AE882">
        <v>495</v>
      </c>
    </row>
    <row r="883" spans="1:31" x14ac:dyDescent="0.25">
      <c r="A883" t="s">
        <v>3880</v>
      </c>
      <c r="B883" t="s">
        <v>3881</v>
      </c>
      <c r="C883" s="1">
        <v>44332</v>
      </c>
      <c r="D883" s="1">
        <v>44842</v>
      </c>
      <c r="E883" t="s">
        <v>50</v>
      </c>
      <c r="F883" t="s">
        <v>91</v>
      </c>
      <c r="G883" t="s">
        <v>102</v>
      </c>
      <c r="H883" t="s">
        <v>79</v>
      </c>
      <c r="I883" t="s">
        <v>3882</v>
      </c>
      <c r="J883" t="s">
        <v>165</v>
      </c>
      <c r="K883" t="s">
        <v>202</v>
      </c>
      <c r="L883" t="s">
        <v>3883</v>
      </c>
      <c r="M883">
        <v>496.3</v>
      </c>
      <c r="N883">
        <v>23</v>
      </c>
      <c r="O883" t="s">
        <v>1538</v>
      </c>
      <c r="P883" t="s">
        <v>141</v>
      </c>
      <c r="Q883" t="s">
        <v>408</v>
      </c>
      <c r="R883" t="s">
        <v>60</v>
      </c>
      <c r="S883" t="s">
        <v>126</v>
      </c>
      <c r="T883" t="s">
        <v>170</v>
      </c>
      <c r="U883">
        <v>2190</v>
      </c>
      <c r="V883">
        <v>72</v>
      </c>
      <c r="W883">
        <v>4</v>
      </c>
      <c r="X883">
        <v>267.63</v>
      </c>
      <c r="Y883">
        <v>268.79000000000002</v>
      </c>
      <c r="Z883">
        <v>536.42000000000007</v>
      </c>
      <c r="AA883" t="s">
        <v>62</v>
      </c>
      <c r="AB883">
        <v>0</v>
      </c>
      <c r="AC883">
        <v>94.59</v>
      </c>
      <c r="AD883">
        <v>413</v>
      </c>
      <c r="AE883">
        <v>446</v>
      </c>
    </row>
    <row r="884" spans="1:31" x14ac:dyDescent="0.25">
      <c r="A884" t="s">
        <v>3884</v>
      </c>
      <c r="B884" t="s">
        <v>3885</v>
      </c>
      <c r="C884" s="1">
        <v>44019</v>
      </c>
      <c r="D884" s="1">
        <v>45530</v>
      </c>
      <c r="E884" t="s">
        <v>50</v>
      </c>
      <c r="F884" t="s">
        <v>77</v>
      </c>
      <c r="G884" t="s">
        <v>343</v>
      </c>
      <c r="H884" t="s">
        <v>53</v>
      </c>
      <c r="I884" t="s">
        <v>3886</v>
      </c>
      <c r="J884" t="s">
        <v>165</v>
      </c>
      <c r="K884" t="s">
        <v>2126</v>
      </c>
      <c r="L884" t="s">
        <v>3887</v>
      </c>
      <c r="M884">
        <v>36.24</v>
      </c>
      <c r="N884">
        <v>64</v>
      </c>
      <c r="O884" t="s">
        <v>618</v>
      </c>
      <c r="P884" t="s">
        <v>108</v>
      </c>
      <c r="Q884" t="s">
        <v>184</v>
      </c>
      <c r="R884" t="s">
        <v>86</v>
      </c>
      <c r="S884" t="s">
        <v>126</v>
      </c>
      <c r="T884" t="s">
        <v>1229</v>
      </c>
      <c r="U884">
        <v>2213</v>
      </c>
      <c r="V884">
        <v>411</v>
      </c>
      <c r="W884">
        <v>26</v>
      </c>
      <c r="X884">
        <v>109.92</v>
      </c>
      <c r="Y884">
        <v>41.8</v>
      </c>
      <c r="Z884">
        <v>151.72</v>
      </c>
      <c r="AA884" t="s">
        <v>62</v>
      </c>
      <c r="AB884">
        <v>0</v>
      </c>
      <c r="AC884">
        <v>83.89</v>
      </c>
      <c r="AD884">
        <v>481</v>
      </c>
      <c r="AE884">
        <v>528</v>
      </c>
    </row>
    <row r="885" spans="1:31" x14ac:dyDescent="0.25">
      <c r="A885" t="s">
        <v>3888</v>
      </c>
      <c r="B885" t="s">
        <v>3889</v>
      </c>
      <c r="C885" s="1">
        <v>44424</v>
      </c>
      <c r="D885" s="1">
        <v>44642</v>
      </c>
      <c r="E885" t="s">
        <v>65</v>
      </c>
      <c r="F885" t="s">
        <v>51</v>
      </c>
      <c r="G885" t="s">
        <v>343</v>
      </c>
      <c r="H885" t="s">
        <v>147</v>
      </c>
      <c r="I885" t="s">
        <v>3890</v>
      </c>
      <c r="J885" t="s">
        <v>165</v>
      </c>
      <c r="K885" t="s">
        <v>2126</v>
      </c>
      <c r="L885" t="s">
        <v>3891</v>
      </c>
      <c r="M885">
        <v>129.79</v>
      </c>
      <c r="N885">
        <v>23</v>
      </c>
      <c r="O885" t="s">
        <v>1569</v>
      </c>
      <c r="P885" t="s">
        <v>108</v>
      </c>
      <c r="Q885" t="s">
        <v>353</v>
      </c>
      <c r="R885" t="s">
        <v>152</v>
      </c>
      <c r="S885" t="s">
        <v>73</v>
      </c>
      <c r="T885" t="s">
        <v>321</v>
      </c>
      <c r="U885">
        <v>3825</v>
      </c>
      <c r="V885">
        <v>183</v>
      </c>
      <c r="W885">
        <v>1</v>
      </c>
      <c r="X885">
        <v>166.23</v>
      </c>
      <c r="Y885">
        <v>263.66000000000003</v>
      </c>
      <c r="Z885">
        <v>429.89</v>
      </c>
      <c r="AA885" t="s">
        <v>62</v>
      </c>
      <c r="AB885">
        <v>0</v>
      </c>
      <c r="AC885">
        <v>86.49</v>
      </c>
      <c r="AD885">
        <v>433</v>
      </c>
      <c r="AE885">
        <v>420</v>
      </c>
    </row>
    <row r="886" spans="1:31" x14ac:dyDescent="0.25">
      <c r="A886" t="s">
        <v>3892</v>
      </c>
      <c r="B886" t="s">
        <v>3893</v>
      </c>
      <c r="C886" s="1">
        <v>45220</v>
      </c>
      <c r="D886" s="1">
        <v>45146</v>
      </c>
      <c r="E886" t="s">
        <v>33</v>
      </c>
      <c r="F886" t="s">
        <v>34</v>
      </c>
      <c r="G886" t="s">
        <v>35</v>
      </c>
      <c r="H886" t="s">
        <v>221</v>
      </c>
      <c r="I886" t="s">
        <v>1587</v>
      </c>
      <c r="J886" t="s">
        <v>165</v>
      </c>
      <c r="K886" t="s">
        <v>166</v>
      </c>
      <c r="L886" t="s">
        <v>1588</v>
      </c>
      <c r="M886">
        <v>273.74</v>
      </c>
      <c r="N886">
        <v>66</v>
      </c>
      <c r="O886" t="s">
        <v>3853</v>
      </c>
      <c r="P886" t="s">
        <v>58</v>
      </c>
      <c r="Q886" t="s">
        <v>266</v>
      </c>
      <c r="R886" t="s">
        <v>44</v>
      </c>
      <c r="S886" t="s">
        <v>98</v>
      </c>
      <c r="T886" t="s">
        <v>74</v>
      </c>
      <c r="U886">
        <v>1188</v>
      </c>
      <c r="V886">
        <v>346</v>
      </c>
      <c r="W886">
        <v>6</v>
      </c>
      <c r="X886">
        <v>396.08</v>
      </c>
      <c r="Y886">
        <v>436.08</v>
      </c>
      <c r="Z886">
        <v>832.16</v>
      </c>
      <c r="AA886" t="s">
        <v>62</v>
      </c>
      <c r="AB886">
        <v>0</v>
      </c>
      <c r="AC886">
        <v>98.2</v>
      </c>
      <c r="AD886">
        <v>245</v>
      </c>
      <c r="AE886">
        <v>285</v>
      </c>
    </row>
    <row r="887" spans="1:31" x14ac:dyDescent="0.25">
      <c r="A887" t="s">
        <v>3894</v>
      </c>
      <c r="B887" t="s">
        <v>3895</v>
      </c>
      <c r="C887" s="1">
        <v>45185</v>
      </c>
      <c r="D887" s="1">
        <v>43953</v>
      </c>
      <c r="E887" t="s">
        <v>50</v>
      </c>
      <c r="F887" t="s">
        <v>77</v>
      </c>
      <c r="G887" t="s">
        <v>78</v>
      </c>
      <c r="H887" t="s">
        <v>147</v>
      </c>
      <c r="I887" t="s">
        <v>3896</v>
      </c>
      <c r="J887" t="s">
        <v>165</v>
      </c>
      <c r="K887" t="s">
        <v>166</v>
      </c>
      <c r="L887" t="s">
        <v>3897</v>
      </c>
      <c r="M887">
        <v>55.76</v>
      </c>
      <c r="N887">
        <v>16</v>
      </c>
      <c r="O887" t="s">
        <v>832</v>
      </c>
      <c r="P887" t="s">
        <v>84</v>
      </c>
      <c r="Q887" t="s">
        <v>327</v>
      </c>
      <c r="R887" t="s">
        <v>44</v>
      </c>
      <c r="S887" t="s">
        <v>98</v>
      </c>
      <c r="T887" t="s">
        <v>654</v>
      </c>
      <c r="U887">
        <v>1461</v>
      </c>
      <c r="V887">
        <v>62</v>
      </c>
      <c r="W887">
        <v>15</v>
      </c>
      <c r="X887">
        <v>1315.19</v>
      </c>
      <c r="Y887">
        <v>182.28</v>
      </c>
      <c r="Z887">
        <v>1497.47</v>
      </c>
      <c r="AA887" t="s">
        <v>62</v>
      </c>
      <c r="AB887">
        <v>0</v>
      </c>
      <c r="AC887">
        <v>95.99</v>
      </c>
      <c r="AD887">
        <v>298</v>
      </c>
      <c r="AE887">
        <v>323</v>
      </c>
    </row>
    <row r="888" spans="1:31" x14ac:dyDescent="0.25">
      <c r="A888" t="s">
        <v>3898</v>
      </c>
      <c r="B888" t="s">
        <v>3899</v>
      </c>
      <c r="C888" s="1">
        <v>44660</v>
      </c>
      <c r="D888" s="1">
        <v>45639</v>
      </c>
      <c r="E888" t="s">
        <v>50</v>
      </c>
      <c r="F888" t="s">
        <v>51</v>
      </c>
      <c r="G888" t="s">
        <v>66</v>
      </c>
      <c r="H888" t="s">
        <v>147</v>
      </c>
      <c r="I888" t="s">
        <v>3900</v>
      </c>
      <c r="J888" t="s">
        <v>38</v>
      </c>
      <c r="K888" t="s">
        <v>338</v>
      </c>
      <c r="L888" t="s">
        <v>3901</v>
      </c>
      <c r="M888">
        <v>167.3</v>
      </c>
      <c r="N888">
        <v>52</v>
      </c>
      <c r="O888" t="s">
        <v>1380</v>
      </c>
      <c r="P888" t="s">
        <v>42</v>
      </c>
      <c r="Q888" t="s">
        <v>370</v>
      </c>
      <c r="R888" t="s">
        <v>152</v>
      </c>
      <c r="S888" t="s">
        <v>73</v>
      </c>
      <c r="T888" t="s">
        <v>654</v>
      </c>
      <c r="U888">
        <v>1800</v>
      </c>
      <c r="V888">
        <v>143</v>
      </c>
      <c r="W888">
        <v>29</v>
      </c>
      <c r="X888">
        <v>95.4</v>
      </c>
      <c r="Y888">
        <v>196.07</v>
      </c>
      <c r="Z888">
        <v>291.47000000000003</v>
      </c>
      <c r="AA888" t="s">
        <v>62</v>
      </c>
      <c r="AB888">
        <v>0</v>
      </c>
      <c r="AC888">
        <v>96.63</v>
      </c>
      <c r="AD888">
        <v>94</v>
      </c>
      <c r="AE888">
        <v>79</v>
      </c>
    </row>
    <row r="889" spans="1:31" x14ac:dyDescent="0.25">
      <c r="A889" t="s">
        <v>3902</v>
      </c>
      <c r="B889" t="s">
        <v>3903</v>
      </c>
      <c r="C889" s="1">
        <v>45624</v>
      </c>
      <c r="D889" s="1">
        <v>45426</v>
      </c>
      <c r="E889" t="s">
        <v>65</v>
      </c>
      <c r="F889" t="s">
        <v>77</v>
      </c>
      <c r="G889" t="s">
        <v>78</v>
      </c>
      <c r="H889" t="s">
        <v>221</v>
      </c>
      <c r="I889" t="s">
        <v>3904</v>
      </c>
      <c r="J889" t="s">
        <v>38</v>
      </c>
      <c r="K889" t="s">
        <v>94</v>
      </c>
      <c r="L889" t="s">
        <v>3905</v>
      </c>
      <c r="M889">
        <v>30.4</v>
      </c>
      <c r="N889">
        <v>46</v>
      </c>
      <c r="O889" t="s">
        <v>3906</v>
      </c>
      <c r="P889" t="s">
        <v>84</v>
      </c>
      <c r="Q889" t="s">
        <v>702</v>
      </c>
      <c r="R889" t="s">
        <v>86</v>
      </c>
      <c r="S889" t="s">
        <v>87</v>
      </c>
      <c r="T889" t="s">
        <v>61</v>
      </c>
      <c r="U889">
        <v>2981</v>
      </c>
      <c r="V889">
        <v>291</v>
      </c>
      <c r="W889">
        <v>1</v>
      </c>
      <c r="X889">
        <v>1899.42</v>
      </c>
      <c r="Y889">
        <v>342.32</v>
      </c>
      <c r="Z889">
        <v>2241.7399999999998</v>
      </c>
      <c r="AA889" t="s">
        <v>62</v>
      </c>
      <c r="AB889">
        <v>0</v>
      </c>
      <c r="AC889">
        <v>86.6</v>
      </c>
      <c r="AD889">
        <v>190</v>
      </c>
      <c r="AE889">
        <v>190</v>
      </c>
    </row>
    <row r="890" spans="1:31" x14ac:dyDescent="0.25">
      <c r="A890" t="s">
        <v>3907</v>
      </c>
      <c r="B890" t="s">
        <v>3908</v>
      </c>
      <c r="C890" s="1">
        <v>44907</v>
      </c>
      <c r="D890" s="1">
        <v>44234</v>
      </c>
      <c r="E890" t="s">
        <v>65</v>
      </c>
      <c r="F890" t="s">
        <v>146</v>
      </c>
      <c r="G890" t="s">
        <v>35</v>
      </c>
      <c r="H890" t="s">
        <v>163</v>
      </c>
      <c r="I890" t="s">
        <v>3909</v>
      </c>
      <c r="J890" t="s">
        <v>38</v>
      </c>
      <c r="K890" t="s">
        <v>55</v>
      </c>
      <c r="L890" t="s">
        <v>3910</v>
      </c>
      <c r="M890">
        <v>284.3</v>
      </c>
      <c r="N890">
        <v>9</v>
      </c>
      <c r="O890" t="s">
        <v>543</v>
      </c>
      <c r="P890" t="s">
        <v>42</v>
      </c>
      <c r="Q890" t="s">
        <v>85</v>
      </c>
      <c r="R890" t="s">
        <v>44</v>
      </c>
      <c r="S890" t="s">
        <v>126</v>
      </c>
      <c r="T890" t="s">
        <v>419</v>
      </c>
      <c r="U890">
        <v>1850</v>
      </c>
      <c r="V890">
        <v>69</v>
      </c>
      <c r="W890">
        <v>23</v>
      </c>
      <c r="X890">
        <v>1299.18</v>
      </c>
      <c r="Y890">
        <v>169.7</v>
      </c>
      <c r="Z890">
        <v>1468.88</v>
      </c>
      <c r="AA890" t="s">
        <v>62</v>
      </c>
      <c r="AB890">
        <v>0</v>
      </c>
      <c r="AC890">
        <v>89.36</v>
      </c>
      <c r="AD890">
        <v>212</v>
      </c>
      <c r="AE890">
        <v>253</v>
      </c>
    </row>
    <row r="891" spans="1:31" x14ac:dyDescent="0.25">
      <c r="A891" t="s">
        <v>3911</v>
      </c>
      <c r="B891" t="s">
        <v>3912</v>
      </c>
      <c r="C891" s="1">
        <v>45140</v>
      </c>
      <c r="D891" s="1">
        <v>45119</v>
      </c>
      <c r="E891" t="s">
        <v>65</v>
      </c>
      <c r="F891" t="s">
        <v>51</v>
      </c>
      <c r="G891" t="s">
        <v>113</v>
      </c>
      <c r="H891" t="s">
        <v>221</v>
      </c>
      <c r="I891" t="s">
        <v>1516</v>
      </c>
      <c r="J891" t="s">
        <v>38</v>
      </c>
      <c r="K891" t="s">
        <v>55</v>
      </c>
      <c r="L891" t="s">
        <v>1517</v>
      </c>
      <c r="M891">
        <v>151.66999999999999</v>
      </c>
      <c r="N891">
        <v>82</v>
      </c>
      <c r="O891" t="s">
        <v>3913</v>
      </c>
      <c r="P891" t="s">
        <v>141</v>
      </c>
      <c r="Q891" t="s">
        <v>72</v>
      </c>
      <c r="R891" t="s">
        <v>86</v>
      </c>
      <c r="S891" t="s">
        <v>126</v>
      </c>
      <c r="T891" t="s">
        <v>437</v>
      </c>
      <c r="U891">
        <v>2828</v>
      </c>
      <c r="V891">
        <v>492</v>
      </c>
      <c r="W891">
        <v>8</v>
      </c>
      <c r="X891">
        <v>695.89</v>
      </c>
      <c r="Y891">
        <v>210.76</v>
      </c>
      <c r="Z891">
        <v>906.65</v>
      </c>
      <c r="AA891" t="s">
        <v>62</v>
      </c>
      <c r="AB891">
        <v>0</v>
      </c>
      <c r="AC891">
        <v>85.59</v>
      </c>
      <c r="AD891">
        <v>306</v>
      </c>
      <c r="AE891">
        <v>316</v>
      </c>
    </row>
    <row r="892" spans="1:31" x14ac:dyDescent="0.25">
      <c r="A892" t="s">
        <v>3914</v>
      </c>
      <c r="B892" t="s">
        <v>3915</v>
      </c>
      <c r="C892" s="1">
        <v>45379</v>
      </c>
      <c r="D892" s="1">
        <v>44494</v>
      </c>
      <c r="E892" t="s">
        <v>65</v>
      </c>
      <c r="F892" t="s">
        <v>34</v>
      </c>
      <c r="G892" t="s">
        <v>343</v>
      </c>
      <c r="H892" t="s">
        <v>221</v>
      </c>
      <c r="I892" t="s">
        <v>3916</v>
      </c>
      <c r="J892" t="s">
        <v>38</v>
      </c>
      <c r="K892" t="s">
        <v>55</v>
      </c>
      <c r="L892" t="s">
        <v>3917</v>
      </c>
      <c r="M892">
        <v>404.41</v>
      </c>
      <c r="N892">
        <v>91</v>
      </c>
      <c r="O892" t="s">
        <v>3918</v>
      </c>
      <c r="P892" t="s">
        <v>108</v>
      </c>
      <c r="Q892" t="s">
        <v>562</v>
      </c>
      <c r="R892" t="s">
        <v>44</v>
      </c>
      <c r="S892" t="s">
        <v>45</v>
      </c>
      <c r="T892" t="s">
        <v>259</v>
      </c>
      <c r="U892">
        <v>3621</v>
      </c>
      <c r="V892">
        <v>364</v>
      </c>
      <c r="W892">
        <v>10</v>
      </c>
      <c r="X892">
        <v>662.77</v>
      </c>
      <c r="Y892">
        <v>402.51</v>
      </c>
      <c r="Z892">
        <v>1065.28</v>
      </c>
      <c r="AA892" t="s">
        <v>62</v>
      </c>
      <c r="AB892">
        <v>0</v>
      </c>
      <c r="AC892">
        <v>98.67</v>
      </c>
      <c r="AD892">
        <v>351</v>
      </c>
      <c r="AE892">
        <v>392</v>
      </c>
    </row>
    <row r="893" spans="1:31" x14ac:dyDescent="0.25">
      <c r="A893" t="s">
        <v>3919</v>
      </c>
      <c r="B893" t="s">
        <v>3920</v>
      </c>
      <c r="C893" s="1">
        <v>45388</v>
      </c>
      <c r="D893" s="1">
        <v>45389</v>
      </c>
      <c r="E893" t="s">
        <v>50</v>
      </c>
      <c r="F893" t="s">
        <v>146</v>
      </c>
      <c r="G893" t="s">
        <v>35</v>
      </c>
      <c r="H893" t="s">
        <v>147</v>
      </c>
      <c r="I893" t="s">
        <v>3921</v>
      </c>
      <c r="J893" t="s">
        <v>38</v>
      </c>
      <c r="K893" t="s">
        <v>138</v>
      </c>
      <c r="L893" t="s">
        <v>3922</v>
      </c>
      <c r="M893">
        <v>253.08</v>
      </c>
      <c r="N893">
        <v>36</v>
      </c>
      <c r="O893" t="s">
        <v>3842</v>
      </c>
      <c r="P893" t="s">
        <v>108</v>
      </c>
      <c r="Q893" t="s">
        <v>909</v>
      </c>
      <c r="R893" t="s">
        <v>44</v>
      </c>
      <c r="S893" t="s">
        <v>73</v>
      </c>
      <c r="T893" t="s">
        <v>910</v>
      </c>
      <c r="U893">
        <v>2855</v>
      </c>
      <c r="V893">
        <v>393</v>
      </c>
      <c r="W893">
        <v>22</v>
      </c>
      <c r="X893">
        <v>200.42</v>
      </c>
      <c r="Y893">
        <v>265.24</v>
      </c>
      <c r="Z893">
        <v>465.66</v>
      </c>
      <c r="AA893" t="s">
        <v>62</v>
      </c>
      <c r="AB893">
        <v>0</v>
      </c>
      <c r="AC893">
        <v>86.96</v>
      </c>
      <c r="AD893">
        <v>432</v>
      </c>
      <c r="AE893">
        <v>467</v>
      </c>
    </row>
    <row r="894" spans="1:31" x14ac:dyDescent="0.25">
      <c r="A894" t="s">
        <v>3923</v>
      </c>
      <c r="B894" t="s">
        <v>3924</v>
      </c>
      <c r="C894" s="1">
        <v>44940</v>
      </c>
      <c r="D894" s="1">
        <v>44969</v>
      </c>
      <c r="E894" t="s">
        <v>65</v>
      </c>
      <c r="F894" t="s">
        <v>51</v>
      </c>
      <c r="G894" t="s">
        <v>52</v>
      </c>
      <c r="H894" t="s">
        <v>67</v>
      </c>
      <c r="I894" t="s">
        <v>3925</v>
      </c>
      <c r="J894" t="s">
        <v>38</v>
      </c>
      <c r="K894" t="s">
        <v>69</v>
      </c>
      <c r="L894" t="s">
        <v>3926</v>
      </c>
      <c r="M894">
        <v>413.48</v>
      </c>
      <c r="N894">
        <v>24</v>
      </c>
      <c r="O894" t="s">
        <v>2431</v>
      </c>
      <c r="P894" t="s">
        <v>141</v>
      </c>
      <c r="Q894" t="s">
        <v>169</v>
      </c>
      <c r="R894" t="s">
        <v>60</v>
      </c>
      <c r="S894" t="s">
        <v>45</v>
      </c>
      <c r="T894" t="s">
        <v>127</v>
      </c>
      <c r="U894">
        <v>756</v>
      </c>
      <c r="V894">
        <v>276</v>
      </c>
      <c r="W894">
        <v>8</v>
      </c>
      <c r="X894">
        <v>1965.51</v>
      </c>
      <c r="Y894">
        <v>285.73</v>
      </c>
      <c r="Z894">
        <v>2251.2399999999998</v>
      </c>
      <c r="AA894" t="s">
        <v>62</v>
      </c>
      <c r="AB894">
        <v>0</v>
      </c>
      <c r="AC894">
        <v>86.18</v>
      </c>
      <c r="AD894">
        <v>79</v>
      </c>
      <c r="AE894">
        <v>35</v>
      </c>
    </row>
    <row r="895" spans="1:31" x14ac:dyDescent="0.25">
      <c r="A895" t="s">
        <v>3927</v>
      </c>
      <c r="B895" t="s">
        <v>3928</v>
      </c>
      <c r="C895" s="1">
        <v>44836</v>
      </c>
      <c r="D895" s="1">
        <v>44202</v>
      </c>
      <c r="E895" t="s">
        <v>65</v>
      </c>
      <c r="F895" t="s">
        <v>51</v>
      </c>
      <c r="G895" t="s">
        <v>113</v>
      </c>
      <c r="H895" t="s">
        <v>114</v>
      </c>
      <c r="I895" t="s">
        <v>3929</v>
      </c>
      <c r="J895" t="s">
        <v>38</v>
      </c>
      <c r="K895" t="s">
        <v>39</v>
      </c>
      <c r="L895" t="s">
        <v>3930</v>
      </c>
      <c r="M895">
        <v>327.02</v>
      </c>
      <c r="N895">
        <v>39</v>
      </c>
      <c r="O895" t="s">
        <v>1243</v>
      </c>
      <c r="P895" t="s">
        <v>84</v>
      </c>
      <c r="Q895" t="s">
        <v>217</v>
      </c>
      <c r="R895" t="s">
        <v>44</v>
      </c>
      <c r="S895" t="s">
        <v>98</v>
      </c>
      <c r="T895" t="s">
        <v>170</v>
      </c>
      <c r="U895">
        <v>4974</v>
      </c>
      <c r="V895">
        <v>208</v>
      </c>
      <c r="W895">
        <v>9</v>
      </c>
      <c r="X895">
        <v>1280.0999999999999</v>
      </c>
      <c r="Y895">
        <v>18.329999999999998</v>
      </c>
      <c r="Z895">
        <v>1298.43</v>
      </c>
      <c r="AA895" t="s">
        <v>62</v>
      </c>
      <c r="AB895">
        <v>0</v>
      </c>
      <c r="AC895">
        <v>86.32</v>
      </c>
      <c r="AD895">
        <v>346</v>
      </c>
      <c r="AE895">
        <v>324</v>
      </c>
    </row>
    <row r="896" spans="1:31" x14ac:dyDescent="0.25">
      <c r="A896" t="s">
        <v>3931</v>
      </c>
      <c r="B896" t="s">
        <v>3932</v>
      </c>
      <c r="C896" s="1">
        <v>43839</v>
      </c>
      <c r="D896" s="1">
        <v>45169</v>
      </c>
      <c r="E896" t="s">
        <v>65</v>
      </c>
      <c r="F896" t="s">
        <v>77</v>
      </c>
      <c r="G896" t="s">
        <v>78</v>
      </c>
      <c r="H896" t="s">
        <v>147</v>
      </c>
      <c r="I896" t="s">
        <v>3933</v>
      </c>
      <c r="J896" t="s">
        <v>38</v>
      </c>
      <c r="K896" t="s">
        <v>39</v>
      </c>
      <c r="L896" t="s">
        <v>3934</v>
      </c>
      <c r="M896">
        <v>256.17</v>
      </c>
      <c r="N896">
        <v>22</v>
      </c>
      <c r="O896" t="s">
        <v>1697</v>
      </c>
      <c r="P896" t="s">
        <v>42</v>
      </c>
      <c r="Q896" t="s">
        <v>613</v>
      </c>
      <c r="R896" t="s">
        <v>44</v>
      </c>
      <c r="S896" t="s">
        <v>87</v>
      </c>
      <c r="T896" t="s">
        <v>185</v>
      </c>
      <c r="U896">
        <v>3012</v>
      </c>
      <c r="V896">
        <v>322</v>
      </c>
      <c r="W896">
        <v>25</v>
      </c>
      <c r="X896">
        <v>73.37</v>
      </c>
      <c r="Y896">
        <v>490.49</v>
      </c>
      <c r="Z896">
        <v>563.86</v>
      </c>
      <c r="AA896" t="s">
        <v>62</v>
      </c>
      <c r="AB896">
        <v>0</v>
      </c>
      <c r="AC896">
        <v>72.28</v>
      </c>
      <c r="AD896">
        <v>300</v>
      </c>
      <c r="AE896">
        <v>299</v>
      </c>
    </row>
    <row r="897" spans="1:31" x14ac:dyDescent="0.25">
      <c r="A897" t="s">
        <v>3935</v>
      </c>
      <c r="B897" t="s">
        <v>3936</v>
      </c>
      <c r="C897" s="1">
        <v>45504</v>
      </c>
      <c r="D897" s="1">
        <v>44644</v>
      </c>
      <c r="E897" t="s">
        <v>50</v>
      </c>
      <c r="F897" t="s">
        <v>51</v>
      </c>
      <c r="G897" t="s">
        <v>102</v>
      </c>
      <c r="H897" t="s">
        <v>79</v>
      </c>
      <c r="I897" t="s">
        <v>3937</v>
      </c>
      <c r="J897" t="s">
        <v>165</v>
      </c>
      <c r="K897" t="s">
        <v>166</v>
      </c>
      <c r="L897" t="s">
        <v>3938</v>
      </c>
      <c r="M897">
        <v>338.58</v>
      </c>
      <c r="N897">
        <v>55</v>
      </c>
      <c r="O897" t="s">
        <v>3939</v>
      </c>
      <c r="P897" t="s">
        <v>84</v>
      </c>
      <c r="Q897" t="s">
        <v>85</v>
      </c>
      <c r="R897" t="s">
        <v>86</v>
      </c>
      <c r="S897" t="s">
        <v>98</v>
      </c>
      <c r="T897" t="s">
        <v>296</v>
      </c>
      <c r="U897">
        <v>111</v>
      </c>
      <c r="V897">
        <v>295</v>
      </c>
      <c r="W897">
        <v>21</v>
      </c>
      <c r="X897">
        <v>1918.15</v>
      </c>
      <c r="Y897">
        <v>94.89</v>
      </c>
      <c r="Z897">
        <v>2013.04</v>
      </c>
      <c r="AA897" t="s">
        <v>62</v>
      </c>
      <c r="AB897">
        <v>0</v>
      </c>
      <c r="AC897">
        <v>77.430000000000007</v>
      </c>
      <c r="AD897">
        <v>338</v>
      </c>
      <c r="AE897">
        <v>298</v>
      </c>
    </row>
    <row r="898" spans="1:31" x14ac:dyDescent="0.25">
      <c r="A898" t="s">
        <v>3940</v>
      </c>
      <c r="B898" t="s">
        <v>3941</v>
      </c>
      <c r="C898" s="1">
        <v>44503</v>
      </c>
      <c r="D898" s="1">
        <v>44039</v>
      </c>
      <c r="E898" t="s">
        <v>65</v>
      </c>
      <c r="F898" t="s">
        <v>91</v>
      </c>
      <c r="G898" t="s">
        <v>66</v>
      </c>
      <c r="H898" t="s">
        <v>114</v>
      </c>
      <c r="I898" t="s">
        <v>2468</v>
      </c>
      <c r="J898" t="s">
        <v>165</v>
      </c>
      <c r="K898" t="s">
        <v>166</v>
      </c>
      <c r="L898" t="s">
        <v>3942</v>
      </c>
      <c r="M898">
        <v>432.23</v>
      </c>
      <c r="N898">
        <v>19</v>
      </c>
      <c r="O898" t="s">
        <v>3943</v>
      </c>
      <c r="P898" t="s">
        <v>84</v>
      </c>
      <c r="Q898" t="s">
        <v>702</v>
      </c>
      <c r="R898" t="s">
        <v>86</v>
      </c>
      <c r="S898" t="s">
        <v>45</v>
      </c>
      <c r="T898" t="s">
        <v>721</v>
      </c>
      <c r="U898">
        <v>3749</v>
      </c>
      <c r="V898">
        <v>430</v>
      </c>
      <c r="W898">
        <v>22</v>
      </c>
      <c r="X898">
        <v>1935.66</v>
      </c>
      <c r="Y898">
        <v>440.16</v>
      </c>
      <c r="Z898">
        <v>2375.8200000000002</v>
      </c>
      <c r="AA898" t="s">
        <v>62</v>
      </c>
      <c r="AB898">
        <v>0</v>
      </c>
      <c r="AC898">
        <v>83.13</v>
      </c>
      <c r="AD898">
        <v>201</v>
      </c>
      <c r="AE898">
        <v>194</v>
      </c>
    </row>
    <row r="899" spans="1:31" x14ac:dyDescent="0.25">
      <c r="A899" t="s">
        <v>3944</v>
      </c>
      <c r="B899" t="s">
        <v>3945</v>
      </c>
      <c r="C899" s="1">
        <v>45307</v>
      </c>
      <c r="D899" s="1">
        <v>44745</v>
      </c>
      <c r="E899" t="s">
        <v>65</v>
      </c>
      <c r="F899" t="s">
        <v>34</v>
      </c>
      <c r="G899" t="s">
        <v>78</v>
      </c>
      <c r="H899" t="s">
        <v>53</v>
      </c>
      <c r="I899" t="s">
        <v>3896</v>
      </c>
      <c r="J899" t="s">
        <v>165</v>
      </c>
      <c r="K899" t="s">
        <v>166</v>
      </c>
      <c r="L899" t="s">
        <v>3897</v>
      </c>
      <c r="M899">
        <v>119.9</v>
      </c>
      <c r="N899">
        <v>55</v>
      </c>
      <c r="O899" t="s">
        <v>1599</v>
      </c>
      <c r="P899" t="s">
        <v>141</v>
      </c>
      <c r="Q899" t="s">
        <v>370</v>
      </c>
      <c r="R899" t="s">
        <v>60</v>
      </c>
      <c r="S899" t="s">
        <v>73</v>
      </c>
      <c r="T899" t="s">
        <v>198</v>
      </c>
      <c r="U899">
        <v>1386</v>
      </c>
      <c r="V899">
        <v>263</v>
      </c>
      <c r="W899">
        <v>1</v>
      </c>
      <c r="X899">
        <v>846.75</v>
      </c>
      <c r="Y899">
        <v>480.18</v>
      </c>
      <c r="Z899">
        <v>1326.93</v>
      </c>
      <c r="AA899" t="s">
        <v>62</v>
      </c>
      <c r="AB899">
        <v>0</v>
      </c>
      <c r="AC899">
        <v>77.400000000000006</v>
      </c>
      <c r="AD899">
        <v>210</v>
      </c>
      <c r="AE899">
        <v>233</v>
      </c>
    </row>
    <row r="900" spans="1:31" x14ac:dyDescent="0.25">
      <c r="A900" t="s">
        <v>3946</v>
      </c>
      <c r="B900" t="s">
        <v>3947</v>
      </c>
      <c r="C900" s="1">
        <v>44050</v>
      </c>
      <c r="D900" s="1">
        <v>45345</v>
      </c>
      <c r="E900" t="s">
        <v>65</v>
      </c>
      <c r="F900" t="s">
        <v>51</v>
      </c>
      <c r="G900" t="s">
        <v>102</v>
      </c>
      <c r="H900" t="s">
        <v>36</v>
      </c>
      <c r="I900" t="s">
        <v>3948</v>
      </c>
      <c r="J900" t="s">
        <v>104</v>
      </c>
      <c r="K900" t="s">
        <v>181</v>
      </c>
      <c r="L900" t="s">
        <v>3949</v>
      </c>
      <c r="M900">
        <v>25.82</v>
      </c>
      <c r="N900">
        <v>17</v>
      </c>
      <c r="O900" t="s">
        <v>3950</v>
      </c>
      <c r="P900" t="s">
        <v>141</v>
      </c>
      <c r="Q900" t="s">
        <v>532</v>
      </c>
      <c r="R900" t="s">
        <v>86</v>
      </c>
      <c r="S900" t="s">
        <v>45</v>
      </c>
      <c r="T900" t="s">
        <v>206</v>
      </c>
      <c r="U900">
        <v>3811</v>
      </c>
      <c r="V900">
        <v>259</v>
      </c>
      <c r="W900">
        <v>25</v>
      </c>
      <c r="X900">
        <v>1263.24</v>
      </c>
      <c r="Y900">
        <v>325.43</v>
      </c>
      <c r="Z900">
        <v>1588.67</v>
      </c>
      <c r="AA900" t="s">
        <v>62</v>
      </c>
      <c r="AB900">
        <v>0</v>
      </c>
      <c r="AC900">
        <v>99.03</v>
      </c>
      <c r="AD900">
        <v>432</v>
      </c>
      <c r="AE900">
        <v>437</v>
      </c>
    </row>
    <row r="901" spans="1:31" x14ac:dyDescent="0.25">
      <c r="A901" t="s">
        <v>3951</v>
      </c>
      <c r="B901" t="s">
        <v>2675</v>
      </c>
      <c r="C901" s="1">
        <v>44524</v>
      </c>
      <c r="D901" s="1">
        <v>44893</v>
      </c>
      <c r="E901" t="s">
        <v>50</v>
      </c>
      <c r="F901" t="s">
        <v>51</v>
      </c>
      <c r="G901" t="s">
        <v>78</v>
      </c>
      <c r="H901" t="s">
        <v>53</v>
      </c>
      <c r="I901" t="s">
        <v>3952</v>
      </c>
      <c r="J901" t="s">
        <v>38</v>
      </c>
      <c r="K901" t="s">
        <v>94</v>
      </c>
      <c r="L901" t="s">
        <v>3953</v>
      </c>
      <c r="M901">
        <v>16.8</v>
      </c>
      <c r="N901">
        <v>56</v>
      </c>
      <c r="O901" t="s">
        <v>3954</v>
      </c>
      <c r="P901" t="s">
        <v>108</v>
      </c>
      <c r="Q901" t="s">
        <v>458</v>
      </c>
      <c r="R901" t="s">
        <v>152</v>
      </c>
      <c r="S901" t="s">
        <v>126</v>
      </c>
      <c r="T901" t="s">
        <v>253</v>
      </c>
      <c r="U901">
        <v>715</v>
      </c>
      <c r="V901">
        <v>260</v>
      </c>
      <c r="W901">
        <v>5</v>
      </c>
      <c r="X901">
        <v>58.34</v>
      </c>
      <c r="Y901">
        <v>90.53</v>
      </c>
      <c r="Z901">
        <v>148.87</v>
      </c>
      <c r="AA901" t="s">
        <v>62</v>
      </c>
      <c r="AB901">
        <v>0</v>
      </c>
      <c r="AC901">
        <v>77.44</v>
      </c>
      <c r="AD901">
        <v>165</v>
      </c>
      <c r="AE901">
        <v>160</v>
      </c>
    </row>
    <row r="902" spans="1:31" x14ac:dyDescent="0.25">
      <c r="A902" t="s">
        <v>3955</v>
      </c>
      <c r="B902" t="s">
        <v>3956</v>
      </c>
      <c r="C902" s="1">
        <v>43923</v>
      </c>
      <c r="D902" s="1">
        <v>45396</v>
      </c>
      <c r="E902" t="s">
        <v>65</v>
      </c>
      <c r="F902" t="s">
        <v>51</v>
      </c>
      <c r="G902" t="s">
        <v>66</v>
      </c>
      <c r="H902" t="s">
        <v>36</v>
      </c>
      <c r="I902" t="s">
        <v>3957</v>
      </c>
      <c r="J902" t="s">
        <v>38</v>
      </c>
      <c r="K902" t="s">
        <v>138</v>
      </c>
      <c r="L902" t="s">
        <v>3958</v>
      </c>
      <c r="M902">
        <v>218.43</v>
      </c>
      <c r="N902">
        <v>3</v>
      </c>
      <c r="O902" t="s">
        <v>3959</v>
      </c>
      <c r="P902" t="s">
        <v>84</v>
      </c>
      <c r="Q902" t="s">
        <v>125</v>
      </c>
      <c r="R902" t="s">
        <v>86</v>
      </c>
      <c r="S902" t="s">
        <v>87</v>
      </c>
      <c r="T902" t="s">
        <v>46</v>
      </c>
      <c r="U902">
        <v>2096</v>
      </c>
      <c r="V902">
        <v>245</v>
      </c>
      <c r="W902">
        <v>27</v>
      </c>
      <c r="X902">
        <v>1979.64</v>
      </c>
      <c r="Y902">
        <v>325.19</v>
      </c>
      <c r="Z902">
        <v>2304.83</v>
      </c>
      <c r="AA902" t="s">
        <v>62</v>
      </c>
      <c r="AB902">
        <v>0</v>
      </c>
      <c r="AC902">
        <v>86.09</v>
      </c>
      <c r="AD902">
        <v>227</v>
      </c>
      <c r="AE902">
        <v>233</v>
      </c>
    </row>
    <row r="903" spans="1:31" x14ac:dyDescent="0.25">
      <c r="A903" t="s">
        <v>3960</v>
      </c>
      <c r="B903" t="s">
        <v>3961</v>
      </c>
      <c r="C903" s="1">
        <v>43866</v>
      </c>
      <c r="D903" s="1">
        <v>44840</v>
      </c>
      <c r="E903" t="s">
        <v>65</v>
      </c>
      <c r="F903" t="s">
        <v>146</v>
      </c>
      <c r="G903" t="s">
        <v>113</v>
      </c>
      <c r="H903" t="s">
        <v>221</v>
      </c>
      <c r="I903" t="s">
        <v>3962</v>
      </c>
      <c r="J903" t="s">
        <v>38</v>
      </c>
      <c r="K903" t="s">
        <v>81</v>
      </c>
      <c r="L903" t="s">
        <v>3963</v>
      </c>
      <c r="M903">
        <v>322.01</v>
      </c>
      <c r="N903">
        <v>68</v>
      </c>
      <c r="O903" t="s">
        <v>2069</v>
      </c>
      <c r="P903" t="s">
        <v>84</v>
      </c>
      <c r="Q903" t="s">
        <v>686</v>
      </c>
      <c r="R903" t="s">
        <v>44</v>
      </c>
      <c r="S903" t="s">
        <v>126</v>
      </c>
      <c r="T903" t="s">
        <v>426</v>
      </c>
      <c r="U903">
        <v>4470</v>
      </c>
      <c r="V903">
        <v>296</v>
      </c>
      <c r="W903">
        <v>10</v>
      </c>
      <c r="X903">
        <v>1328.44</v>
      </c>
      <c r="Y903">
        <v>481.56</v>
      </c>
      <c r="Z903">
        <v>1810</v>
      </c>
      <c r="AA903" t="s">
        <v>62</v>
      </c>
      <c r="AB903">
        <v>0</v>
      </c>
      <c r="AC903">
        <v>70.56</v>
      </c>
      <c r="AD903">
        <v>407</v>
      </c>
      <c r="AE903">
        <v>423</v>
      </c>
    </row>
    <row r="904" spans="1:31" x14ac:dyDescent="0.25">
      <c r="A904" t="s">
        <v>3964</v>
      </c>
      <c r="B904" t="s">
        <v>764</v>
      </c>
      <c r="C904" s="1">
        <v>44122</v>
      </c>
      <c r="D904" s="1">
        <v>44466</v>
      </c>
      <c r="E904" t="s">
        <v>50</v>
      </c>
      <c r="F904" t="s">
        <v>91</v>
      </c>
      <c r="G904" t="s">
        <v>52</v>
      </c>
      <c r="H904" t="s">
        <v>36</v>
      </c>
      <c r="I904" t="s">
        <v>2737</v>
      </c>
      <c r="J904" t="s">
        <v>104</v>
      </c>
      <c r="K904" t="s">
        <v>181</v>
      </c>
      <c r="L904" t="s">
        <v>2738</v>
      </c>
      <c r="M904">
        <v>241.91</v>
      </c>
      <c r="N904">
        <v>4</v>
      </c>
      <c r="O904" t="s">
        <v>3965</v>
      </c>
      <c r="P904" t="s">
        <v>108</v>
      </c>
      <c r="Q904" t="s">
        <v>238</v>
      </c>
      <c r="R904" t="s">
        <v>60</v>
      </c>
      <c r="S904" t="s">
        <v>98</v>
      </c>
      <c r="T904" t="s">
        <v>88</v>
      </c>
      <c r="U904">
        <v>4449</v>
      </c>
      <c r="V904">
        <v>260</v>
      </c>
      <c r="W904">
        <v>20</v>
      </c>
      <c r="X904">
        <v>1017.33</v>
      </c>
      <c r="Y904">
        <v>269.29000000000002</v>
      </c>
      <c r="Z904">
        <v>1286.6199999999999</v>
      </c>
      <c r="AA904" t="s">
        <v>62</v>
      </c>
      <c r="AB904">
        <v>0</v>
      </c>
      <c r="AC904">
        <v>76.12</v>
      </c>
      <c r="AD904">
        <v>349</v>
      </c>
      <c r="AE904">
        <v>328</v>
      </c>
    </row>
    <row r="905" spans="1:31" x14ac:dyDescent="0.25">
      <c r="A905" t="s">
        <v>3966</v>
      </c>
      <c r="B905" t="s">
        <v>3967</v>
      </c>
      <c r="C905" s="1">
        <v>43856</v>
      </c>
      <c r="D905" s="1">
        <v>43859</v>
      </c>
      <c r="E905" t="s">
        <v>65</v>
      </c>
      <c r="F905" t="s">
        <v>51</v>
      </c>
      <c r="G905" t="s">
        <v>35</v>
      </c>
      <c r="H905" t="s">
        <v>147</v>
      </c>
      <c r="I905" t="s">
        <v>3968</v>
      </c>
      <c r="J905" t="s">
        <v>38</v>
      </c>
      <c r="K905" t="s">
        <v>338</v>
      </c>
      <c r="L905" t="s">
        <v>3969</v>
      </c>
      <c r="M905">
        <v>206.31</v>
      </c>
      <c r="N905">
        <v>14</v>
      </c>
      <c r="O905" t="s">
        <v>1137</v>
      </c>
      <c r="P905" t="s">
        <v>58</v>
      </c>
      <c r="Q905" t="s">
        <v>425</v>
      </c>
      <c r="R905" t="s">
        <v>86</v>
      </c>
      <c r="S905" t="s">
        <v>98</v>
      </c>
      <c r="T905" t="s">
        <v>563</v>
      </c>
      <c r="U905">
        <v>4507</v>
      </c>
      <c r="V905">
        <v>156</v>
      </c>
      <c r="W905">
        <v>3</v>
      </c>
      <c r="X905">
        <v>1805.2</v>
      </c>
      <c r="Y905">
        <v>444.96</v>
      </c>
      <c r="Z905">
        <v>2250.16</v>
      </c>
      <c r="AA905" t="s">
        <v>62</v>
      </c>
      <c r="AB905">
        <v>0</v>
      </c>
      <c r="AC905">
        <v>93.04</v>
      </c>
      <c r="AD905">
        <v>93</v>
      </c>
      <c r="AE905">
        <v>67</v>
      </c>
    </row>
    <row r="906" spans="1:31" x14ac:dyDescent="0.25">
      <c r="A906" t="s">
        <v>3970</v>
      </c>
      <c r="B906" t="s">
        <v>3971</v>
      </c>
      <c r="C906" s="1">
        <v>44046</v>
      </c>
      <c r="D906" s="1">
        <v>45535</v>
      </c>
      <c r="E906" t="s">
        <v>50</v>
      </c>
      <c r="F906" t="s">
        <v>77</v>
      </c>
      <c r="G906" t="s">
        <v>78</v>
      </c>
      <c r="H906" t="s">
        <v>114</v>
      </c>
      <c r="I906" t="s">
        <v>3972</v>
      </c>
      <c r="J906" t="s">
        <v>38</v>
      </c>
      <c r="K906" t="s">
        <v>94</v>
      </c>
      <c r="L906" t="s">
        <v>3973</v>
      </c>
      <c r="M906">
        <v>337.89</v>
      </c>
      <c r="N906">
        <v>44</v>
      </c>
      <c r="O906" t="s">
        <v>3974</v>
      </c>
      <c r="P906" t="s">
        <v>58</v>
      </c>
      <c r="Q906" t="s">
        <v>238</v>
      </c>
      <c r="R906" t="s">
        <v>44</v>
      </c>
      <c r="S906" t="s">
        <v>126</v>
      </c>
      <c r="T906" t="s">
        <v>812</v>
      </c>
      <c r="U906">
        <v>3143</v>
      </c>
      <c r="V906">
        <v>104</v>
      </c>
      <c r="W906">
        <v>16</v>
      </c>
      <c r="X906">
        <v>1807.54</v>
      </c>
      <c r="Y906">
        <v>140.4</v>
      </c>
      <c r="Z906">
        <v>1947.94</v>
      </c>
      <c r="AA906" t="s">
        <v>47</v>
      </c>
      <c r="AB906">
        <v>4</v>
      </c>
      <c r="AC906">
        <v>92.55</v>
      </c>
      <c r="AD906">
        <v>230</v>
      </c>
      <c r="AE906">
        <v>210</v>
      </c>
    </row>
    <row r="907" spans="1:31" x14ac:dyDescent="0.25">
      <c r="A907" t="s">
        <v>3975</v>
      </c>
      <c r="B907" t="s">
        <v>3976</v>
      </c>
      <c r="C907" s="1">
        <v>44988</v>
      </c>
      <c r="D907" s="1">
        <v>45201</v>
      </c>
      <c r="E907" t="s">
        <v>50</v>
      </c>
      <c r="F907" t="s">
        <v>51</v>
      </c>
      <c r="G907" t="s">
        <v>102</v>
      </c>
      <c r="H907" t="s">
        <v>79</v>
      </c>
      <c r="I907" t="s">
        <v>3977</v>
      </c>
      <c r="J907" t="s">
        <v>38</v>
      </c>
      <c r="K907" t="s">
        <v>55</v>
      </c>
      <c r="L907" t="s">
        <v>3978</v>
      </c>
      <c r="M907">
        <v>142.07</v>
      </c>
      <c r="N907">
        <v>58</v>
      </c>
      <c r="O907" t="s">
        <v>3979</v>
      </c>
      <c r="P907" t="s">
        <v>141</v>
      </c>
      <c r="Q907" t="s">
        <v>142</v>
      </c>
      <c r="R907" t="s">
        <v>86</v>
      </c>
      <c r="S907" t="s">
        <v>126</v>
      </c>
      <c r="T907" t="s">
        <v>192</v>
      </c>
      <c r="U907">
        <v>4504</v>
      </c>
      <c r="V907">
        <v>434</v>
      </c>
      <c r="W907">
        <v>3</v>
      </c>
      <c r="X907">
        <v>375.65</v>
      </c>
      <c r="Y907">
        <v>339.13</v>
      </c>
      <c r="Z907">
        <v>714.78</v>
      </c>
      <c r="AA907" t="s">
        <v>62</v>
      </c>
      <c r="AB907">
        <v>0</v>
      </c>
      <c r="AC907">
        <v>72.290000000000006</v>
      </c>
      <c r="AD907">
        <v>403</v>
      </c>
      <c r="AE907">
        <v>400</v>
      </c>
    </row>
    <row r="908" spans="1:31" x14ac:dyDescent="0.25">
      <c r="A908" t="s">
        <v>3980</v>
      </c>
      <c r="B908" t="s">
        <v>3981</v>
      </c>
      <c r="C908" s="1">
        <v>44215</v>
      </c>
      <c r="D908" s="1">
        <v>45353</v>
      </c>
      <c r="E908" t="s">
        <v>65</v>
      </c>
      <c r="F908" t="s">
        <v>51</v>
      </c>
      <c r="G908" t="s">
        <v>35</v>
      </c>
      <c r="H908" t="s">
        <v>67</v>
      </c>
      <c r="I908" t="s">
        <v>3982</v>
      </c>
      <c r="J908" t="s">
        <v>38</v>
      </c>
      <c r="K908" t="s">
        <v>55</v>
      </c>
      <c r="L908" t="s">
        <v>3983</v>
      </c>
      <c r="M908">
        <v>333.42</v>
      </c>
      <c r="N908">
        <v>37</v>
      </c>
      <c r="O908" t="s">
        <v>3336</v>
      </c>
      <c r="P908" t="s">
        <v>108</v>
      </c>
      <c r="Q908" t="s">
        <v>532</v>
      </c>
      <c r="R908" t="s">
        <v>44</v>
      </c>
      <c r="S908" t="s">
        <v>45</v>
      </c>
      <c r="T908" t="s">
        <v>308</v>
      </c>
      <c r="U908">
        <v>3139</v>
      </c>
      <c r="V908">
        <v>259</v>
      </c>
      <c r="W908">
        <v>23</v>
      </c>
      <c r="X908">
        <v>742.45</v>
      </c>
      <c r="Y908">
        <v>433.51</v>
      </c>
      <c r="Z908">
        <v>1175.96</v>
      </c>
      <c r="AA908" t="s">
        <v>62</v>
      </c>
      <c r="AB908">
        <v>0</v>
      </c>
      <c r="AC908">
        <v>94.29</v>
      </c>
      <c r="AD908">
        <v>425</v>
      </c>
      <c r="AE908">
        <v>474</v>
      </c>
    </row>
    <row r="909" spans="1:31" x14ac:dyDescent="0.25">
      <c r="A909" t="s">
        <v>3984</v>
      </c>
      <c r="B909" t="s">
        <v>3985</v>
      </c>
      <c r="C909" s="1">
        <v>45642</v>
      </c>
      <c r="D909" s="1">
        <v>44783</v>
      </c>
      <c r="E909" t="s">
        <v>65</v>
      </c>
      <c r="F909" t="s">
        <v>34</v>
      </c>
      <c r="G909" t="s">
        <v>52</v>
      </c>
      <c r="H909" t="s">
        <v>36</v>
      </c>
      <c r="I909" t="s">
        <v>1273</v>
      </c>
      <c r="J909" t="s">
        <v>38</v>
      </c>
      <c r="K909" t="s">
        <v>69</v>
      </c>
      <c r="L909" t="s">
        <v>1274</v>
      </c>
      <c r="M909">
        <v>343.32</v>
      </c>
      <c r="N909">
        <v>79</v>
      </c>
      <c r="O909" t="s">
        <v>3986</v>
      </c>
      <c r="P909" t="s">
        <v>84</v>
      </c>
      <c r="Q909" t="s">
        <v>238</v>
      </c>
      <c r="R909" t="s">
        <v>152</v>
      </c>
      <c r="S909" t="s">
        <v>73</v>
      </c>
      <c r="T909" t="s">
        <v>447</v>
      </c>
      <c r="U909">
        <v>268</v>
      </c>
      <c r="V909">
        <v>499</v>
      </c>
      <c r="W909">
        <v>14</v>
      </c>
      <c r="X909">
        <v>1946.76</v>
      </c>
      <c r="Y909">
        <v>98.01</v>
      </c>
      <c r="Z909">
        <v>2044.77</v>
      </c>
      <c r="AA909" t="s">
        <v>62</v>
      </c>
      <c r="AB909">
        <v>0</v>
      </c>
      <c r="AC909">
        <v>95.78</v>
      </c>
      <c r="AD909">
        <v>172</v>
      </c>
      <c r="AE909">
        <v>133</v>
      </c>
    </row>
    <row r="910" spans="1:31" x14ac:dyDescent="0.25">
      <c r="A910" t="s">
        <v>3987</v>
      </c>
      <c r="B910" t="s">
        <v>3988</v>
      </c>
      <c r="C910" s="1">
        <v>45385</v>
      </c>
      <c r="D910" s="1">
        <v>44324</v>
      </c>
      <c r="E910" t="s">
        <v>65</v>
      </c>
      <c r="F910" t="s">
        <v>51</v>
      </c>
      <c r="G910" t="s">
        <v>343</v>
      </c>
      <c r="H910" t="s">
        <v>79</v>
      </c>
      <c r="I910" t="s">
        <v>3989</v>
      </c>
      <c r="J910" t="s">
        <v>38</v>
      </c>
      <c r="K910" t="s">
        <v>39</v>
      </c>
      <c r="L910" t="s">
        <v>3990</v>
      </c>
      <c r="M910">
        <v>145.97999999999999</v>
      </c>
      <c r="N910">
        <v>19</v>
      </c>
      <c r="O910" t="s">
        <v>3253</v>
      </c>
      <c r="P910" t="s">
        <v>108</v>
      </c>
      <c r="Q910" t="s">
        <v>85</v>
      </c>
      <c r="R910" t="s">
        <v>152</v>
      </c>
      <c r="S910" t="s">
        <v>87</v>
      </c>
      <c r="T910" t="s">
        <v>278</v>
      </c>
      <c r="U910">
        <v>1125</v>
      </c>
      <c r="V910">
        <v>116</v>
      </c>
      <c r="W910">
        <v>14</v>
      </c>
      <c r="X910">
        <v>970.65</v>
      </c>
      <c r="Y910">
        <v>291.51</v>
      </c>
      <c r="Z910">
        <v>1262.1600000000001</v>
      </c>
      <c r="AA910" t="s">
        <v>62</v>
      </c>
      <c r="AB910">
        <v>0</v>
      </c>
      <c r="AC910">
        <v>99.25</v>
      </c>
      <c r="AD910">
        <v>486</v>
      </c>
      <c r="AE910">
        <v>511</v>
      </c>
    </row>
    <row r="911" spans="1:31" x14ac:dyDescent="0.25">
      <c r="A911" t="s">
        <v>3991</v>
      </c>
      <c r="B911" t="s">
        <v>3992</v>
      </c>
      <c r="C911" s="1">
        <v>44901</v>
      </c>
      <c r="D911" s="1">
        <v>45456</v>
      </c>
      <c r="E911" t="s">
        <v>65</v>
      </c>
      <c r="F911" t="s">
        <v>146</v>
      </c>
      <c r="G911" t="s">
        <v>113</v>
      </c>
      <c r="H911" t="s">
        <v>221</v>
      </c>
      <c r="I911" t="s">
        <v>3993</v>
      </c>
      <c r="J911" t="s">
        <v>38</v>
      </c>
      <c r="K911" t="s">
        <v>735</v>
      </c>
      <c r="L911" t="s">
        <v>3994</v>
      </c>
      <c r="M911">
        <v>376.04</v>
      </c>
      <c r="N911">
        <v>81</v>
      </c>
      <c r="O911" t="s">
        <v>3995</v>
      </c>
      <c r="P911" t="s">
        <v>42</v>
      </c>
      <c r="Q911" t="s">
        <v>408</v>
      </c>
      <c r="R911" t="s">
        <v>60</v>
      </c>
      <c r="S911" t="s">
        <v>126</v>
      </c>
      <c r="T911" t="s">
        <v>127</v>
      </c>
      <c r="U911">
        <v>1394</v>
      </c>
      <c r="V911">
        <v>175</v>
      </c>
      <c r="W911">
        <v>11</v>
      </c>
      <c r="X911">
        <v>1291.1600000000001</v>
      </c>
      <c r="Y911">
        <v>198.07</v>
      </c>
      <c r="Z911">
        <v>1489.23</v>
      </c>
      <c r="AA911" t="s">
        <v>62</v>
      </c>
      <c r="AB911">
        <v>0</v>
      </c>
      <c r="AC911">
        <v>91.48</v>
      </c>
      <c r="AD911">
        <v>248</v>
      </c>
      <c r="AE911">
        <v>268</v>
      </c>
    </row>
    <row r="912" spans="1:31" x14ac:dyDescent="0.25">
      <c r="A912" t="s">
        <v>3996</v>
      </c>
      <c r="B912" t="s">
        <v>3997</v>
      </c>
      <c r="C912" s="1">
        <v>43968</v>
      </c>
      <c r="D912" s="1">
        <v>45255</v>
      </c>
      <c r="E912" t="s">
        <v>65</v>
      </c>
      <c r="F912" t="s">
        <v>51</v>
      </c>
      <c r="G912" t="s">
        <v>102</v>
      </c>
      <c r="H912" t="s">
        <v>67</v>
      </c>
      <c r="I912" t="s">
        <v>3515</v>
      </c>
      <c r="J912" t="s">
        <v>165</v>
      </c>
      <c r="K912" t="s">
        <v>202</v>
      </c>
      <c r="L912" t="s">
        <v>3516</v>
      </c>
      <c r="M912">
        <v>488.49</v>
      </c>
      <c r="N912">
        <v>94</v>
      </c>
      <c r="O912" t="s">
        <v>3998</v>
      </c>
      <c r="P912" t="s">
        <v>84</v>
      </c>
      <c r="Q912" t="s">
        <v>238</v>
      </c>
      <c r="R912" t="s">
        <v>152</v>
      </c>
      <c r="S912" t="s">
        <v>87</v>
      </c>
      <c r="T912" t="s">
        <v>88</v>
      </c>
      <c r="U912">
        <v>4599</v>
      </c>
      <c r="V912">
        <v>299</v>
      </c>
      <c r="W912">
        <v>5</v>
      </c>
      <c r="X912">
        <v>982.85</v>
      </c>
      <c r="Y912">
        <v>388.46</v>
      </c>
      <c r="Z912">
        <v>1371.31</v>
      </c>
      <c r="AA912" t="s">
        <v>62</v>
      </c>
      <c r="AB912">
        <v>0</v>
      </c>
      <c r="AC912">
        <v>83.01</v>
      </c>
      <c r="AD912">
        <v>224</v>
      </c>
      <c r="AE912">
        <v>263</v>
      </c>
    </row>
    <row r="913" spans="1:31" x14ac:dyDescent="0.25">
      <c r="A913" t="s">
        <v>3999</v>
      </c>
      <c r="B913" t="s">
        <v>4000</v>
      </c>
      <c r="C913" s="1">
        <v>44762</v>
      </c>
      <c r="D913" s="1">
        <v>45153</v>
      </c>
      <c r="E913" t="s">
        <v>65</v>
      </c>
      <c r="F913" t="s">
        <v>34</v>
      </c>
      <c r="G913" t="s">
        <v>35</v>
      </c>
      <c r="H913" t="s">
        <v>53</v>
      </c>
      <c r="I913" t="s">
        <v>3794</v>
      </c>
      <c r="J913" t="s">
        <v>165</v>
      </c>
      <c r="K913" t="s">
        <v>202</v>
      </c>
      <c r="L913" t="s">
        <v>3795</v>
      </c>
      <c r="M913">
        <v>318.87</v>
      </c>
      <c r="N913">
        <v>25</v>
      </c>
      <c r="O913" t="s">
        <v>1824</v>
      </c>
      <c r="P913" t="s">
        <v>108</v>
      </c>
      <c r="Q913" t="s">
        <v>184</v>
      </c>
      <c r="R913" t="s">
        <v>60</v>
      </c>
      <c r="S913" t="s">
        <v>126</v>
      </c>
      <c r="T913" t="s">
        <v>1294</v>
      </c>
      <c r="U913">
        <v>4876</v>
      </c>
      <c r="V913">
        <v>484</v>
      </c>
      <c r="W913">
        <v>13</v>
      </c>
      <c r="X913">
        <v>1373.13</v>
      </c>
      <c r="Y913">
        <v>98.48</v>
      </c>
      <c r="Z913">
        <v>1471.61</v>
      </c>
      <c r="AA913" t="s">
        <v>62</v>
      </c>
      <c r="AB913">
        <v>0</v>
      </c>
      <c r="AC913">
        <v>90.15</v>
      </c>
      <c r="AD913">
        <v>110</v>
      </c>
      <c r="AE913">
        <v>84</v>
      </c>
    </row>
    <row r="914" spans="1:31" x14ac:dyDescent="0.25">
      <c r="A914" t="s">
        <v>4001</v>
      </c>
      <c r="B914" t="s">
        <v>4002</v>
      </c>
      <c r="C914" s="1">
        <v>44799</v>
      </c>
      <c r="D914" s="1">
        <v>45124</v>
      </c>
      <c r="E914" t="s">
        <v>33</v>
      </c>
      <c r="F914" t="s">
        <v>146</v>
      </c>
      <c r="G914" t="s">
        <v>78</v>
      </c>
      <c r="H914" t="s">
        <v>114</v>
      </c>
      <c r="I914" t="s">
        <v>4003</v>
      </c>
      <c r="J914" t="s">
        <v>165</v>
      </c>
      <c r="K914" t="s">
        <v>166</v>
      </c>
      <c r="L914" t="s">
        <v>4004</v>
      </c>
      <c r="M914">
        <v>300.8</v>
      </c>
      <c r="N914">
        <v>59</v>
      </c>
      <c r="O914" t="s">
        <v>1890</v>
      </c>
      <c r="P914" t="s">
        <v>58</v>
      </c>
      <c r="Q914" t="s">
        <v>613</v>
      </c>
      <c r="R914" t="s">
        <v>152</v>
      </c>
      <c r="S914" t="s">
        <v>87</v>
      </c>
      <c r="T914" t="s">
        <v>160</v>
      </c>
      <c r="U914">
        <v>1397</v>
      </c>
      <c r="V914">
        <v>324</v>
      </c>
      <c r="W914">
        <v>20</v>
      </c>
      <c r="X914">
        <v>1202.0899999999999</v>
      </c>
      <c r="Y914">
        <v>258.22000000000003</v>
      </c>
      <c r="Z914">
        <v>1460.31</v>
      </c>
      <c r="AA914" t="s">
        <v>62</v>
      </c>
      <c r="AB914">
        <v>0</v>
      </c>
      <c r="AC914">
        <v>81.739999999999995</v>
      </c>
      <c r="AD914">
        <v>369</v>
      </c>
      <c r="AE914">
        <v>386</v>
      </c>
    </row>
    <row r="915" spans="1:31" x14ac:dyDescent="0.25">
      <c r="A915" t="s">
        <v>4005</v>
      </c>
      <c r="B915" t="s">
        <v>4006</v>
      </c>
      <c r="C915" s="1">
        <v>44261</v>
      </c>
      <c r="D915" s="1">
        <v>43967</v>
      </c>
      <c r="E915" t="s">
        <v>50</v>
      </c>
      <c r="F915" t="s">
        <v>51</v>
      </c>
      <c r="G915" t="s">
        <v>78</v>
      </c>
      <c r="H915" t="s">
        <v>163</v>
      </c>
      <c r="I915" t="s">
        <v>4007</v>
      </c>
      <c r="J915" t="s">
        <v>104</v>
      </c>
      <c r="K915" t="s">
        <v>105</v>
      </c>
      <c r="L915" t="s">
        <v>4008</v>
      </c>
      <c r="M915">
        <v>232.32</v>
      </c>
      <c r="N915">
        <v>47</v>
      </c>
      <c r="O915" t="s">
        <v>4009</v>
      </c>
      <c r="P915" t="s">
        <v>84</v>
      </c>
      <c r="Q915" t="s">
        <v>252</v>
      </c>
      <c r="R915" t="s">
        <v>60</v>
      </c>
      <c r="S915" t="s">
        <v>126</v>
      </c>
      <c r="T915" t="s">
        <v>1004</v>
      </c>
      <c r="U915">
        <v>2536</v>
      </c>
      <c r="V915">
        <v>297</v>
      </c>
      <c r="W915">
        <v>12</v>
      </c>
      <c r="X915">
        <v>770.75</v>
      </c>
      <c r="Y915">
        <v>400.96</v>
      </c>
      <c r="Z915">
        <v>1171.71</v>
      </c>
      <c r="AA915" t="s">
        <v>62</v>
      </c>
      <c r="AB915">
        <v>0</v>
      </c>
      <c r="AC915">
        <v>73.16</v>
      </c>
      <c r="AD915">
        <v>168</v>
      </c>
      <c r="AE915">
        <v>200</v>
      </c>
    </row>
    <row r="916" spans="1:31" x14ac:dyDescent="0.25">
      <c r="A916" t="s">
        <v>4010</v>
      </c>
      <c r="B916" t="s">
        <v>4011</v>
      </c>
      <c r="C916" s="1">
        <v>44928</v>
      </c>
      <c r="D916" s="1">
        <v>44783</v>
      </c>
      <c r="E916" t="s">
        <v>65</v>
      </c>
      <c r="F916" t="s">
        <v>146</v>
      </c>
      <c r="G916" t="s">
        <v>343</v>
      </c>
      <c r="H916" t="s">
        <v>36</v>
      </c>
      <c r="I916" t="s">
        <v>4012</v>
      </c>
      <c r="J916" t="s">
        <v>38</v>
      </c>
      <c r="K916" t="s">
        <v>338</v>
      </c>
      <c r="L916" t="s">
        <v>4013</v>
      </c>
      <c r="M916">
        <v>233.06</v>
      </c>
      <c r="N916">
        <v>15</v>
      </c>
      <c r="O916" t="s">
        <v>4014</v>
      </c>
      <c r="P916" t="s">
        <v>42</v>
      </c>
      <c r="Q916" t="s">
        <v>517</v>
      </c>
      <c r="R916" t="s">
        <v>60</v>
      </c>
      <c r="S916" t="s">
        <v>98</v>
      </c>
      <c r="T916" t="s">
        <v>563</v>
      </c>
      <c r="U916">
        <v>612</v>
      </c>
      <c r="V916">
        <v>120</v>
      </c>
      <c r="W916">
        <v>28</v>
      </c>
      <c r="X916">
        <v>592.12</v>
      </c>
      <c r="Y916">
        <v>252.54</v>
      </c>
      <c r="Z916">
        <v>844.66</v>
      </c>
      <c r="AA916" t="s">
        <v>62</v>
      </c>
      <c r="AB916">
        <v>0</v>
      </c>
      <c r="AC916">
        <v>91.39</v>
      </c>
      <c r="AD916">
        <v>57</v>
      </c>
      <c r="AE916">
        <v>10</v>
      </c>
    </row>
    <row r="917" spans="1:31" x14ac:dyDescent="0.25">
      <c r="A917" t="s">
        <v>4015</v>
      </c>
      <c r="B917" t="s">
        <v>4016</v>
      </c>
      <c r="C917" s="1">
        <v>45034</v>
      </c>
      <c r="D917" s="1">
        <v>44594</v>
      </c>
      <c r="E917" t="s">
        <v>65</v>
      </c>
      <c r="F917" t="s">
        <v>146</v>
      </c>
      <c r="G917" t="s">
        <v>52</v>
      </c>
      <c r="H917" t="s">
        <v>114</v>
      </c>
      <c r="I917" t="s">
        <v>3870</v>
      </c>
      <c r="J917" t="s">
        <v>38</v>
      </c>
      <c r="K917" t="s">
        <v>338</v>
      </c>
      <c r="L917" t="s">
        <v>3871</v>
      </c>
      <c r="M917">
        <v>286</v>
      </c>
      <c r="N917">
        <v>49</v>
      </c>
      <c r="O917" t="s">
        <v>4017</v>
      </c>
      <c r="P917" t="s">
        <v>141</v>
      </c>
      <c r="Q917" t="s">
        <v>43</v>
      </c>
      <c r="R917" t="s">
        <v>86</v>
      </c>
      <c r="S917" t="s">
        <v>87</v>
      </c>
      <c r="T917" t="s">
        <v>134</v>
      </c>
      <c r="U917">
        <v>332</v>
      </c>
      <c r="V917">
        <v>339</v>
      </c>
      <c r="W917">
        <v>23</v>
      </c>
      <c r="X917">
        <v>1643.38</v>
      </c>
      <c r="Y917">
        <v>309.74</v>
      </c>
      <c r="Z917">
        <v>1953.12</v>
      </c>
      <c r="AA917" t="s">
        <v>62</v>
      </c>
      <c r="AB917">
        <v>0</v>
      </c>
      <c r="AC917">
        <v>97.44</v>
      </c>
      <c r="AD917">
        <v>332</v>
      </c>
      <c r="AE917">
        <v>310</v>
      </c>
    </row>
    <row r="918" spans="1:31" x14ac:dyDescent="0.25">
      <c r="A918" t="s">
        <v>4018</v>
      </c>
      <c r="B918" t="s">
        <v>4019</v>
      </c>
      <c r="C918" s="1">
        <v>44929</v>
      </c>
      <c r="D918" s="1">
        <v>45346</v>
      </c>
      <c r="E918" t="s">
        <v>65</v>
      </c>
      <c r="F918" t="s">
        <v>77</v>
      </c>
      <c r="G918" t="s">
        <v>52</v>
      </c>
      <c r="H918" t="s">
        <v>147</v>
      </c>
      <c r="I918" t="s">
        <v>4020</v>
      </c>
      <c r="J918" t="s">
        <v>38</v>
      </c>
      <c r="K918" t="s">
        <v>55</v>
      </c>
      <c r="L918" t="s">
        <v>4021</v>
      </c>
      <c r="M918">
        <v>422.12</v>
      </c>
      <c r="N918">
        <v>33</v>
      </c>
      <c r="O918" t="s">
        <v>3002</v>
      </c>
      <c r="P918" t="s">
        <v>42</v>
      </c>
      <c r="Q918" t="s">
        <v>43</v>
      </c>
      <c r="R918" t="s">
        <v>44</v>
      </c>
      <c r="S918" t="s">
        <v>45</v>
      </c>
      <c r="T918" t="s">
        <v>170</v>
      </c>
      <c r="U918">
        <v>3306</v>
      </c>
      <c r="V918">
        <v>122</v>
      </c>
      <c r="W918">
        <v>4</v>
      </c>
      <c r="X918">
        <v>323.37</v>
      </c>
      <c r="Y918">
        <v>331.23</v>
      </c>
      <c r="Z918">
        <v>654.6</v>
      </c>
      <c r="AA918" t="s">
        <v>62</v>
      </c>
      <c r="AB918">
        <v>0</v>
      </c>
      <c r="AC918">
        <v>91.09</v>
      </c>
      <c r="AD918">
        <v>429</v>
      </c>
      <c r="AE918">
        <v>430</v>
      </c>
    </row>
    <row r="919" spans="1:31" x14ac:dyDescent="0.25">
      <c r="A919" t="s">
        <v>4022</v>
      </c>
      <c r="B919" t="s">
        <v>4023</v>
      </c>
      <c r="C919" s="1">
        <v>45205</v>
      </c>
      <c r="D919" s="1">
        <v>44502</v>
      </c>
      <c r="E919" t="s">
        <v>65</v>
      </c>
      <c r="F919" t="s">
        <v>77</v>
      </c>
      <c r="G919" t="s">
        <v>35</v>
      </c>
      <c r="H919" t="s">
        <v>147</v>
      </c>
      <c r="I919" t="s">
        <v>4024</v>
      </c>
      <c r="J919" t="s">
        <v>38</v>
      </c>
      <c r="K919" t="s">
        <v>55</v>
      </c>
      <c r="L919" t="s">
        <v>4025</v>
      </c>
      <c r="M919">
        <v>401.92</v>
      </c>
      <c r="N919">
        <v>39</v>
      </c>
      <c r="O919" t="s">
        <v>1122</v>
      </c>
      <c r="P919" t="s">
        <v>58</v>
      </c>
      <c r="Q919" t="s">
        <v>532</v>
      </c>
      <c r="R919" t="s">
        <v>44</v>
      </c>
      <c r="S919" t="s">
        <v>45</v>
      </c>
      <c r="T919" t="s">
        <v>409</v>
      </c>
      <c r="U919">
        <v>4354</v>
      </c>
      <c r="V919">
        <v>169</v>
      </c>
      <c r="W919">
        <v>11</v>
      </c>
      <c r="X919">
        <v>1022.12</v>
      </c>
      <c r="Y919">
        <v>302.07</v>
      </c>
      <c r="Z919">
        <v>1324.19</v>
      </c>
      <c r="AA919" t="s">
        <v>62</v>
      </c>
      <c r="AB919">
        <v>0</v>
      </c>
      <c r="AC919">
        <v>91.59</v>
      </c>
      <c r="AD919">
        <v>406</v>
      </c>
      <c r="AE919">
        <v>417</v>
      </c>
    </row>
    <row r="920" spans="1:31" x14ac:dyDescent="0.25">
      <c r="A920" t="s">
        <v>4026</v>
      </c>
      <c r="B920" t="s">
        <v>3173</v>
      </c>
      <c r="C920" s="1">
        <v>45451</v>
      </c>
      <c r="D920" s="1">
        <v>45114</v>
      </c>
      <c r="E920" t="s">
        <v>65</v>
      </c>
      <c r="F920" t="s">
        <v>146</v>
      </c>
      <c r="G920" t="s">
        <v>66</v>
      </c>
      <c r="H920" t="s">
        <v>36</v>
      </c>
      <c r="I920" t="s">
        <v>1938</v>
      </c>
      <c r="J920" t="s">
        <v>38</v>
      </c>
      <c r="K920" t="s">
        <v>55</v>
      </c>
      <c r="L920" t="s">
        <v>1939</v>
      </c>
      <c r="M920">
        <v>196.55</v>
      </c>
      <c r="N920">
        <v>76</v>
      </c>
      <c r="O920" t="s">
        <v>4027</v>
      </c>
      <c r="P920" t="s">
        <v>141</v>
      </c>
      <c r="Q920" t="s">
        <v>327</v>
      </c>
      <c r="R920" t="s">
        <v>60</v>
      </c>
      <c r="S920" t="s">
        <v>126</v>
      </c>
      <c r="T920" t="s">
        <v>218</v>
      </c>
      <c r="U920">
        <v>752</v>
      </c>
      <c r="V920">
        <v>446</v>
      </c>
      <c r="W920">
        <v>7</v>
      </c>
      <c r="X920">
        <v>870.6</v>
      </c>
      <c r="Y920">
        <v>469.28</v>
      </c>
      <c r="Z920">
        <v>1339.88</v>
      </c>
      <c r="AA920" t="s">
        <v>62</v>
      </c>
      <c r="AB920">
        <v>0</v>
      </c>
      <c r="AC920">
        <v>89.57</v>
      </c>
      <c r="AD920">
        <v>483</v>
      </c>
      <c r="AE920">
        <v>446</v>
      </c>
    </row>
    <row r="921" spans="1:31" x14ac:dyDescent="0.25">
      <c r="A921" t="s">
        <v>4028</v>
      </c>
      <c r="B921" t="s">
        <v>4029</v>
      </c>
      <c r="C921" s="1">
        <v>44789</v>
      </c>
      <c r="D921" s="1">
        <v>44846</v>
      </c>
      <c r="E921" t="s">
        <v>65</v>
      </c>
      <c r="F921" t="s">
        <v>146</v>
      </c>
      <c r="G921" t="s">
        <v>35</v>
      </c>
      <c r="H921" t="s">
        <v>221</v>
      </c>
      <c r="I921" t="s">
        <v>1938</v>
      </c>
      <c r="J921" t="s">
        <v>38</v>
      </c>
      <c r="K921" t="s">
        <v>55</v>
      </c>
      <c r="L921" t="s">
        <v>1939</v>
      </c>
      <c r="M921">
        <v>50.02</v>
      </c>
      <c r="N921">
        <v>53</v>
      </c>
      <c r="O921" t="s">
        <v>1513</v>
      </c>
      <c r="P921" t="s">
        <v>84</v>
      </c>
      <c r="Q921" t="s">
        <v>217</v>
      </c>
      <c r="R921" t="s">
        <v>60</v>
      </c>
      <c r="S921" t="s">
        <v>87</v>
      </c>
      <c r="T921" t="s">
        <v>511</v>
      </c>
      <c r="U921">
        <v>4967</v>
      </c>
      <c r="V921">
        <v>242</v>
      </c>
      <c r="W921">
        <v>19</v>
      </c>
      <c r="X921">
        <v>1965.69</v>
      </c>
      <c r="Y921">
        <v>407.05</v>
      </c>
      <c r="Z921">
        <v>2372.7399999999998</v>
      </c>
      <c r="AA921" t="s">
        <v>62</v>
      </c>
      <c r="AB921">
        <v>0</v>
      </c>
      <c r="AC921">
        <v>72.900000000000006</v>
      </c>
      <c r="AD921">
        <v>341</v>
      </c>
      <c r="AE921">
        <v>388</v>
      </c>
    </row>
    <row r="922" spans="1:31" x14ac:dyDescent="0.25">
      <c r="A922" t="s">
        <v>4030</v>
      </c>
      <c r="B922" t="s">
        <v>4031</v>
      </c>
      <c r="C922" s="1">
        <v>44813</v>
      </c>
      <c r="D922" s="1">
        <v>45337</v>
      </c>
      <c r="E922" t="s">
        <v>65</v>
      </c>
      <c r="F922" t="s">
        <v>77</v>
      </c>
      <c r="G922" t="s">
        <v>52</v>
      </c>
      <c r="H922" t="s">
        <v>79</v>
      </c>
      <c r="I922" t="s">
        <v>2942</v>
      </c>
      <c r="J922" t="s">
        <v>38</v>
      </c>
      <c r="K922" t="s">
        <v>39</v>
      </c>
      <c r="L922" t="s">
        <v>2943</v>
      </c>
      <c r="M922">
        <v>315.48</v>
      </c>
      <c r="N922">
        <v>83</v>
      </c>
      <c r="O922" t="s">
        <v>1019</v>
      </c>
      <c r="P922" t="s">
        <v>58</v>
      </c>
      <c r="Q922" t="s">
        <v>176</v>
      </c>
      <c r="R922" t="s">
        <v>60</v>
      </c>
      <c r="S922" t="s">
        <v>73</v>
      </c>
      <c r="T922" t="s">
        <v>1168</v>
      </c>
      <c r="U922">
        <v>3507</v>
      </c>
      <c r="V922">
        <v>405</v>
      </c>
      <c r="W922">
        <v>7</v>
      </c>
      <c r="X922">
        <v>1733.66</v>
      </c>
      <c r="Y922">
        <v>452.26</v>
      </c>
      <c r="Z922">
        <v>2185.92</v>
      </c>
      <c r="AA922" t="s">
        <v>47</v>
      </c>
      <c r="AB922">
        <v>9</v>
      </c>
      <c r="AC922">
        <v>71.02</v>
      </c>
      <c r="AD922">
        <v>220</v>
      </c>
      <c r="AE922">
        <v>187</v>
      </c>
    </row>
    <row r="923" spans="1:31" x14ac:dyDescent="0.25">
      <c r="A923" t="s">
        <v>4032</v>
      </c>
      <c r="B923" t="s">
        <v>4033</v>
      </c>
      <c r="C923" s="1">
        <v>44036</v>
      </c>
      <c r="D923" s="1">
        <v>44609</v>
      </c>
      <c r="E923" t="s">
        <v>65</v>
      </c>
      <c r="F923" t="s">
        <v>77</v>
      </c>
      <c r="G923" t="s">
        <v>343</v>
      </c>
      <c r="H923" t="s">
        <v>163</v>
      </c>
      <c r="I923" t="s">
        <v>4034</v>
      </c>
      <c r="J923" t="s">
        <v>38</v>
      </c>
      <c r="K923" t="s">
        <v>39</v>
      </c>
      <c r="L923" t="s">
        <v>4035</v>
      </c>
      <c r="M923">
        <v>421.83</v>
      </c>
      <c r="N923">
        <v>97</v>
      </c>
      <c r="O923" t="s">
        <v>1761</v>
      </c>
      <c r="P923" t="s">
        <v>141</v>
      </c>
      <c r="Q923" t="s">
        <v>252</v>
      </c>
      <c r="R923" t="s">
        <v>60</v>
      </c>
      <c r="S923" t="s">
        <v>98</v>
      </c>
      <c r="T923" t="s">
        <v>302</v>
      </c>
      <c r="U923">
        <v>1076</v>
      </c>
      <c r="V923">
        <v>90</v>
      </c>
      <c r="W923">
        <v>2</v>
      </c>
      <c r="X923">
        <v>1965.56</v>
      </c>
      <c r="Y923">
        <v>30.77</v>
      </c>
      <c r="Z923">
        <v>1996.33</v>
      </c>
      <c r="AA923" t="s">
        <v>62</v>
      </c>
      <c r="AB923">
        <v>0</v>
      </c>
      <c r="AC923">
        <v>71.61</v>
      </c>
      <c r="AD923">
        <v>65</v>
      </c>
      <c r="AE923">
        <v>49</v>
      </c>
    </row>
    <row r="924" spans="1:31" x14ac:dyDescent="0.25">
      <c r="A924" t="s">
        <v>4036</v>
      </c>
      <c r="B924" t="s">
        <v>4037</v>
      </c>
      <c r="C924" s="1">
        <v>45015</v>
      </c>
      <c r="D924" s="1">
        <v>43878</v>
      </c>
      <c r="E924" t="s">
        <v>33</v>
      </c>
      <c r="F924" t="s">
        <v>34</v>
      </c>
      <c r="G924" t="s">
        <v>66</v>
      </c>
      <c r="H924" t="s">
        <v>53</v>
      </c>
      <c r="I924" t="s">
        <v>2600</v>
      </c>
      <c r="J924" t="s">
        <v>104</v>
      </c>
      <c r="K924" t="s">
        <v>554</v>
      </c>
      <c r="L924" t="s">
        <v>2601</v>
      </c>
      <c r="M924">
        <v>54.99</v>
      </c>
      <c r="N924">
        <v>38</v>
      </c>
      <c r="O924" t="s">
        <v>3819</v>
      </c>
      <c r="P924" t="s">
        <v>42</v>
      </c>
      <c r="Q924" t="s">
        <v>532</v>
      </c>
      <c r="R924" t="s">
        <v>152</v>
      </c>
      <c r="S924" t="s">
        <v>126</v>
      </c>
      <c r="T924" t="s">
        <v>246</v>
      </c>
      <c r="U924">
        <v>4451</v>
      </c>
      <c r="V924">
        <v>420</v>
      </c>
      <c r="W924">
        <v>29</v>
      </c>
      <c r="X924">
        <v>1769.2</v>
      </c>
      <c r="Y924">
        <v>474.26</v>
      </c>
      <c r="Z924">
        <v>2243.46</v>
      </c>
      <c r="AA924" t="s">
        <v>47</v>
      </c>
      <c r="AB924">
        <v>1</v>
      </c>
      <c r="AC924">
        <v>72.53</v>
      </c>
      <c r="AD924">
        <v>318</v>
      </c>
      <c r="AE924">
        <v>347</v>
      </c>
    </row>
    <row r="925" spans="1:31" x14ac:dyDescent="0.25">
      <c r="A925" t="s">
        <v>4038</v>
      </c>
      <c r="B925" t="s">
        <v>2818</v>
      </c>
      <c r="C925" s="1">
        <v>44145</v>
      </c>
      <c r="D925" s="1">
        <v>44867</v>
      </c>
      <c r="E925" t="s">
        <v>50</v>
      </c>
      <c r="F925" t="s">
        <v>91</v>
      </c>
      <c r="G925" t="s">
        <v>92</v>
      </c>
      <c r="H925" t="s">
        <v>36</v>
      </c>
      <c r="I925" t="s">
        <v>2499</v>
      </c>
      <c r="J925" t="s">
        <v>38</v>
      </c>
      <c r="K925" t="s">
        <v>55</v>
      </c>
      <c r="L925" t="s">
        <v>1612</v>
      </c>
      <c r="M925">
        <v>196.1</v>
      </c>
      <c r="N925">
        <v>62</v>
      </c>
      <c r="O925" t="s">
        <v>4039</v>
      </c>
      <c r="P925" t="s">
        <v>42</v>
      </c>
      <c r="Q925" t="s">
        <v>458</v>
      </c>
      <c r="R925" t="s">
        <v>60</v>
      </c>
      <c r="S925" t="s">
        <v>126</v>
      </c>
      <c r="T925" t="s">
        <v>239</v>
      </c>
      <c r="U925">
        <v>2620</v>
      </c>
      <c r="V925">
        <v>457</v>
      </c>
      <c r="W925">
        <v>13</v>
      </c>
      <c r="X925">
        <v>1152.77</v>
      </c>
      <c r="Y925">
        <v>176.89</v>
      </c>
      <c r="Z925">
        <v>1329.66</v>
      </c>
      <c r="AA925" t="s">
        <v>62</v>
      </c>
      <c r="AB925">
        <v>0</v>
      </c>
      <c r="AC925">
        <v>87.77</v>
      </c>
      <c r="AD925">
        <v>99</v>
      </c>
      <c r="AE925">
        <v>63</v>
      </c>
    </row>
    <row r="926" spans="1:31" x14ac:dyDescent="0.25">
      <c r="A926" t="s">
        <v>4040</v>
      </c>
      <c r="B926" t="s">
        <v>2423</v>
      </c>
      <c r="C926" s="1">
        <v>44363</v>
      </c>
      <c r="D926" s="1">
        <v>44929</v>
      </c>
      <c r="E926" t="s">
        <v>50</v>
      </c>
      <c r="F926" t="s">
        <v>34</v>
      </c>
      <c r="G926" t="s">
        <v>113</v>
      </c>
      <c r="H926" t="s">
        <v>36</v>
      </c>
      <c r="I926" t="s">
        <v>4041</v>
      </c>
      <c r="J926" t="s">
        <v>38</v>
      </c>
      <c r="K926" t="s">
        <v>138</v>
      </c>
      <c r="L926" t="s">
        <v>4042</v>
      </c>
      <c r="M926">
        <v>365.79</v>
      </c>
      <c r="N926">
        <v>88</v>
      </c>
      <c r="O926" t="s">
        <v>1195</v>
      </c>
      <c r="P926" t="s">
        <v>58</v>
      </c>
      <c r="Q926" t="s">
        <v>432</v>
      </c>
      <c r="R926" t="s">
        <v>152</v>
      </c>
      <c r="S926" t="s">
        <v>73</v>
      </c>
      <c r="T926" t="s">
        <v>153</v>
      </c>
      <c r="U926">
        <v>3726</v>
      </c>
      <c r="V926">
        <v>380</v>
      </c>
      <c r="W926">
        <v>22</v>
      </c>
      <c r="X926">
        <v>587.34</v>
      </c>
      <c r="Y926">
        <v>211.38</v>
      </c>
      <c r="Z926">
        <v>798.72</v>
      </c>
      <c r="AA926" t="s">
        <v>62</v>
      </c>
      <c r="AB926">
        <v>0</v>
      </c>
      <c r="AC926">
        <v>96.4</v>
      </c>
      <c r="AD926">
        <v>71</v>
      </c>
      <c r="AE926">
        <v>96</v>
      </c>
    </row>
    <row r="927" spans="1:31" x14ac:dyDescent="0.25">
      <c r="A927" t="s">
        <v>4043</v>
      </c>
      <c r="B927" t="s">
        <v>4044</v>
      </c>
      <c r="C927" s="1">
        <v>44395</v>
      </c>
      <c r="D927" s="1">
        <v>45620</v>
      </c>
      <c r="E927" t="s">
        <v>50</v>
      </c>
      <c r="F927" t="s">
        <v>51</v>
      </c>
      <c r="G927" t="s">
        <v>78</v>
      </c>
      <c r="H927" t="s">
        <v>53</v>
      </c>
      <c r="I927" t="s">
        <v>4045</v>
      </c>
      <c r="J927" t="s">
        <v>38</v>
      </c>
      <c r="K927" t="s">
        <v>39</v>
      </c>
      <c r="L927" t="s">
        <v>4046</v>
      </c>
      <c r="M927">
        <v>396.66</v>
      </c>
      <c r="N927">
        <v>29</v>
      </c>
      <c r="O927" t="s">
        <v>4047</v>
      </c>
      <c r="P927" t="s">
        <v>42</v>
      </c>
      <c r="Q927" t="s">
        <v>295</v>
      </c>
      <c r="R927" t="s">
        <v>60</v>
      </c>
      <c r="S927" t="s">
        <v>73</v>
      </c>
      <c r="T927" t="s">
        <v>267</v>
      </c>
      <c r="U927">
        <v>1943</v>
      </c>
      <c r="V927">
        <v>84</v>
      </c>
      <c r="W927">
        <v>20</v>
      </c>
      <c r="X927">
        <v>317.86</v>
      </c>
      <c r="Y927">
        <v>281.14</v>
      </c>
      <c r="Z927">
        <v>599</v>
      </c>
      <c r="AA927" t="s">
        <v>62</v>
      </c>
      <c r="AB927">
        <v>0</v>
      </c>
      <c r="AC927">
        <v>96.26</v>
      </c>
      <c r="AD927">
        <v>204</v>
      </c>
      <c r="AE927">
        <v>223</v>
      </c>
    </row>
    <row r="928" spans="1:31" x14ac:dyDescent="0.25">
      <c r="A928" t="s">
        <v>4048</v>
      </c>
      <c r="B928" t="s">
        <v>4049</v>
      </c>
      <c r="C928" s="1">
        <v>44073</v>
      </c>
      <c r="D928" s="1">
        <v>44980</v>
      </c>
      <c r="E928" t="s">
        <v>65</v>
      </c>
      <c r="F928" t="s">
        <v>146</v>
      </c>
      <c r="G928" t="s">
        <v>113</v>
      </c>
      <c r="H928" t="s">
        <v>53</v>
      </c>
      <c r="I928" t="s">
        <v>4050</v>
      </c>
      <c r="J928" t="s">
        <v>38</v>
      </c>
      <c r="K928" t="s">
        <v>39</v>
      </c>
      <c r="L928" t="s">
        <v>4051</v>
      </c>
      <c r="M928">
        <v>60.12</v>
      </c>
      <c r="N928">
        <v>95</v>
      </c>
      <c r="O928" t="s">
        <v>211</v>
      </c>
      <c r="P928" t="s">
        <v>84</v>
      </c>
      <c r="Q928" t="s">
        <v>159</v>
      </c>
      <c r="R928" t="s">
        <v>86</v>
      </c>
      <c r="S928" t="s">
        <v>126</v>
      </c>
      <c r="T928" t="s">
        <v>192</v>
      </c>
      <c r="U928">
        <v>206</v>
      </c>
      <c r="V928">
        <v>303</v>
      </c>
      <c r="W928">
        <v>7</v>
      </c>
      <c r="X928">
        <v>682.32</v>
      </c>
      <c r="Y928">
        <v>28.48</v>
      </c>
      <c r="Z928">
        <v>710.80000000000007</v>
      </c>
      <c r="AA928" t="s">
        <v>62</v>
      </c>
      <c r="AB928">
        <v>0</v>
      </c>
      <c r="AC928">
        <v>96.42</v>
      </c>
      <c r="AD928">
        <v>260</v>
      </c>
      <c r="AE928">
        <v>257</v>
      </c>
    </row>
    <row r="929" spans="1:31" x14ac:dyDescent="0.25">
      <c r="A929" t="s">
        <v>4052</v>
      </c>
      <c r="B929" t="s">
        <v>3110</v>
      </c>
      <c r="C929" s="1">
        <v>43896</v>
      </c>
      <c r="D929" s="1">
        <v>45502</v>
      </c>
      <c r="E929" t="s">
        <v>50</v>
      </c>
      <c r="F929" t="s">
        <v>51</v>
      </c>
      <c r="G929" t="s">
        <v>92</v>
      </c>
      <c r="H929" t="s">
        <v>36</v>
      </c>
      <c r="I929" t="s">
        <v>4053</v>
      </c>
      <c r="J929" t="s">
        <v>165</v>
      </c>
      <c r="K929" t="s">
        <v>202</v>
      </c>
      <c r="L929" t="s">
        <v>4054</v>
      </c>
      <c r="M929">
        <v>484.73</v>
      </c>
      <c r="N929">
        <v>16</v>
      </c>
      <c r="O929" t="s">
        <v>4055</v>
      </c>
      <c r="P929" t="s">
        <v>108</v>
      </c>
      <c r="Q929" t="s">
        <v>238</v>
      </c>
      <c r="R929" t="s">
        <v>152</v>
      </c>
      <c r="S929" t="s">
        <v>87</v>
      </c>
      <c r="T929" t="s">
        <v>61</v>
      </c>
      <c r="U929">
        <v>3380</v>
      </c>
      <c r="V929">
        <v>463</v>
      </c>
      <c r="W929">
        <v>15</v>
      </c>
      <c r="X929">
        <v>253.22</v>
      </c>
      <c r="Y929">
        <v>421.57</v>
      </c>
      <c r="Z929">
        <v>674.79</v>
      </c>
      <c r="AA929" t="s">
        <v>62</v>
      </c>
      <c r="AB929">
        <v>0</v>
      </c>
      <c r="AC929">
        <v>71.16</v>
      </c>
      <c r="AD929">
        <v>152</v>
      </c>
      <c r="AE929">
        <v>189</v>
      </c>
    </row>
    <row r="930" spans="1:31" x14ac:dyDescent="0.25">
      <c r="A930" t="s">
        <v>4056</v>
      </c>
      <c r="B930" t="s">
        <v>4057</v>
      </c>
      <c r="C930" s="1">
        <v>45242</v>
      </c>
      <c r="D930" s="1">
        <v>43972</v>
      </c>
      <c r="E930" t="s">
        <v>33</v>
      </c>
      <c r="F930" t="s">
        <v>91</v>
      </c>
      <c r="G930" t="s">
        <v>102</v>
      </c>
      <c r="H930" t="s">
        <v>163</v>
      </c>
      <c r="I930" t="s">
        <v>2884</v>
      </c>
      <c r="J930" t="s">
        <v>104</v>
      </c>
      <c r="K930" t="s">
        <v>229</v>
      </c>
      <c r="L930" t="s">
        <v>2885</v>
      </c>
      <c r="M930">
        <v>265.82</v>
      </c>
      <c r="N930">
        <v>69</v>
      </c>
      <c r="O930" t="s">
        <v>561</v>
      </c>
      <c r="P930" t="s">
        <v>84</v>
      </c>
      <c r="Q930" t="s">
        <v>266</v>
      </c>
      <c r="R930" t="s">
        <v>60</v>
      </c>
      <c r="S930" t="s">
        <v>126</v>
      </c>
      <c r="T930" t="s">
        <v>206</v>
      </c>
      <c r="U930">
        <v>3316</v>
      </c>
      <c r="V930">
        <v>375</v>
      </c>
      <c r="W930">
        <v>19</v>
      </c>
      <c r="X930">
        <v>1833.75</v>
      </c>
      <c r="Y930">
        <v>321.97000000000003</v>
      </c>
      <c r="Z930">
        <v>2155.7199999999998</v>
      </c>
      <c r="AA930" t="s">
        <v>62</v>
      </c>
      <c r="AB930">
        <v>0</v>
      </c>
      <c r="AC930">
        <v>87.47</v>
      </c>
      <c r="AD930">
        <v>431</v>
      </c>
      <c r="AE930">
        <v>413</v>
      </c>
    </row>
    <row r="931" spans="1:31" x14ac:dyDescent="0.25">
      <c r="A931" t="s">
        <v>4058</v>
      </c>
      <c r="B931" t="s">
        <v>4059</v>
      </c>
      <c r="C931" s="1">
        <v>44276</v>
      </c>
      <c r="D931" s="1">
        <v>45601</v>
      </c>
      <c r="E931" t="s">
        <v>65</v>
      </c>
      <c r="F931" t="s">
        <v>146</v>
      </c>
      <c r="G931" t="s">
        <v>52</v>
      </c>
      <c r="H931" t="s">
        <v>36</v>
      </c>
      <c r="I931" t="s">
        <v>2302</v>
      </c>
      <c r="J931" t="s">
        <v>104</v>
      </c>
      <c r="K931" t="s">
        <v>181</v>
      </c>
      <c r="L931" t="s">
        <v>2303</v>
      </c>
      <c r="M931">
        <v>219.79</v>
      </c>
      <c r="N931">
        <v>88</v>
      </c>
      <c r="O931" t="s">
        <v>4060</v>
      </c>
      <c r="P931" t="s">
        <v>84</v>
      </c>
      <c r="Q931" t="s">
        <v>327</v>
      </c>
      <c r="R931" t="s">
        <v>60</v>
      </c>
      <c r="S931" t="s">
        <v>98</v>
      </c>
      <c r="T931" t="s">
        <v>61</v>
      </c>
      <c r="U931">
        <v>2266</v>
      </c>
      <c r="V931">
        <v>424</v>
      </c>
      <c r="W931">
        <v>23</v>
      </c>
      <c r="X931">
        <v>252.79</v>
      </c>
      <c r="Y931">
        <v>141.58000000000001</v>
      </c>
      <c r="Z931">
        <v>394.37</v>
      </c>
      <c r="AA931" t="s">
        <v>62</v>
      </c>
      <c r="AB931">
        <v>0</v>
      </c>
      <c r="AC931">
        <v>77.709999999999994</v>
      </c>
      <c r="AD931">
        <v>119</v>
      </c>
      <c r="AE931">
        <v>69</v>
      </c>
    </row>
    <row r="932" spans="1:31" x14ac:dyDescent="0.25">
      <c r="A932" t="s">
        <v>4061</v>
      </c>
      <c r="B932" t="s">
        <v>4062</v>
      </c>
      <c r="C932" s="1">
        <v>44258</v>
      </c>
      <c r="D932" s="1">
        <v>44806</v>
      </c>
      <c r="E932" t="s">
        <v>65</v>
      </c>
      <c r="F932" t="s">
        <v>146</v>
      </c>
      <c r="G932" t="s">
        <v>343</v>
      </c>
      <c r="H932" t="s">
        <v>147</v>
      </c>
      <c r="I932" t="s">
        <v>4063</v>
      </c>
      <c r="J932" t="s">
        <v>38</v>
      </c>
      <c r="K932" t="s">
        <v>94</v>
      </c>
      <c r="L932" t="s">
        <v>4064</v>
      </c>
      <c r="M932">
        <v>311.38</v>
      </c>
      <c r="N932">
        <v>22</v>
      </c>
      <c r="O932" t="s">
        <v>2447</v>
      </c>
      <c r="P932" t="s">
        <v>58</v>
      </c>
      <c r="Q932" t="s">
        <v>377</v>
      </c>
      <c r="R932" t="s">
        <v>60</v>
      </c>
      <c r="S932" t="s">
        <v>126</v>
      </c>
      <c r="T932" t="s">
        <v>511</v>
      </c>
      <c r="U932">
        <v>107</v>
      </c>
      <c r="V932">
        <v>167</v>
      </c>
      <c r="W932">
        <v>19</v>
      </c>
      <c r="X932">
        <v>540.04999999999995</v>
      </c>
      <c r="Y932">
        <v>177.57</v>
      </c>
      <c r="Z932">
        <v>717.61999999999989</v>
      </c>
      <c r="AA932" t="s">
        <v>62</v>
      </c>
      <c r="AB932">
        <v>0</v>
      </c>
      <c r="AC932">
        <v>89.69</v>
      </c>
      <c r="AD932">
        <v>405</v>
      </c>
      <c r="AE932">
        <v>409</v>
      </c>
    </row>
    <row r="933" spans="1:31" x14ac:dyDescent="0.25">
      <c r="A933" t="s">
        <v>4065</v>
      </c>
      <c r="B933" t="s">
        <v>4066</v>
      </c>
      <c r="C933" s="1">
        <v>44922</v>
      </c>
      <c r="D933" s="1">
        <v>45279</v>
      </c>
      <c r="E933" t="s">
        <v>50</v>
      </c>
      <c r="F933" t="s">
        <v>146</v>
      </c>
      <c r="G933" t="s">
        <v>92</v>
      </c>
      <c r="H933" t="s">
        <v>67</v>
      </c>
      <c r="I933" t="s">
        <v>4067</v>
      </c>
      <c r="J933" t="s">
        <v>38</v>
      </c>
      <c r="K933" t="s">
        <v>55</v>
      </c>
      <c r="L933" t="s">
        <v>4068</v>
      </c>
      <c r="M933">
        <v>300.3</v>
      </c>
      <c r="N933">
        <v>10</v>
      </c>
      <c r="O933" t="s">
        <v>2544</v>
      </c>
      <c r="P933" t="s">
        <v>84</v>
      </c>
      <c r="Q933" t="s">
        <v>266</v>
      </c>
      <c r="R933" t="s">
        <v>152</v>
      </c>
      <c r="S933" t="s">
        <v>126</v>
      </c>
      <c r="T933" t="s">
        <v>347</v>
      </c>
      <c r="U933">
        <v>4358</v>
      </c>
      <c r="V933">
        <v>396</v>
      </c>
      <c r="W933">
        <v>20</v>
      </c>
      <c r="X933">
        <v>344.02</v>
      </c>
      <c r="Y933">
        <v>102.85</v>
      </c>
      <c r="Z933">
        <v>446.87</v>
      </c>
      <c r="AA933" t="s">
        <v>47</v>
      </c>
      <c r="AB933">
        <v>1</v>
      </c>
      <c r="AC933">
        <v>87.33</v>
      </c>
      <c r="AD933">
        <v>76</v>
      </c>
      <c r="AE933">
        <v>90</v>
      </c>
    </row>
    <row r="934" spans="1:31" x14ac:dyDescent="0.25">
      <c r="A934" t="s">
        <v>4069</v>
      </c>
      <c r="B934" t="s">
        <v>4070</v>
      </c>
      <c r="C934" s="1">
        <v>44179</v>
      </c>
      <c r="D934" s="1">
        <v>44816</v>
      </c>
      <c r="E934" t="s">
        <v>65</v>
      </c>
      <c r="F934" t="s">
        <v>77</v>
      </c>
      <c r="G934" t="s">
        <v>78</v>
      </c>
      <c r="H934" t="s">
        <v>114</v>
      </c>
      <c r="I934" t="s">
        <v>3909</v>
      </c>
      <c r="J934" t="s">
        <v>38</v>
      </c>
      <c r="K934" t="s">
        <v>55</v>
      </c>
      <c r="L934" t="s">
        <v>3910</v>
      </c>
      <c r="M934">
        <v>54.81</v>
      </c>
      <c r="N934">
        <v>21</v>
      </c>
      <c r="O934" t="s">
        <v>2613</v>
      </c>
      <c r="P934" t="s">
        <v>58</v>
      </c>
      <c r="Q934" t="s">
        <v>72</v>
      </c>
      <c r="R934" t="s">
        <v>86</v>
      </c>
      <c r="S934" t="s">
        <v>126</v>
      </c>
      <c r="T934" t="s">
        <v>916</v>
      </c>
      <c r="U934">
        <v>3913</v>
      </c>
      <c r="V934">
        <v>350</v>
      </c>
      <c r="W934">
        <v>9</v>
      </c>
      <c r="X934">
        <v>218.57</v>
      </c>
      <c r="Y934">
        <v>155.66999999999999</v>
      </c>
      <c r="Z934">
        <v>374.24</v>
      </c>
      <c r="AA934" t="s">
        <v>62</v>
      </c>
      <c r="AB934">
        <v>0</v>
      </c>
      <c r="AC934">
        <v>99.8</v>
      </c>
      <c r="AD934">
        <v>467</v>
      </c>
      <c r="AE934">
        <v>477</v>
      </c>
    </row>
    <row r="935" spans="1:31" x14ac:dyDescent="0.25">
      <c r="A935" t="s">
        <v>4071</v>
      </c>
      <c r="B935" t="s">
        <v>4072</v>
      </c>
      <c r="C935" s="1">
        <v>45609</v>
      </c>
      <c r="D935" s="1">
        <v>43879</v>
      </c>
      <c r="E935" t="s">
        <v>65</v>
      </c>
      <c r="F935" t="s">
        <v>91</v>
      </c>
      <c r="G935" t="s">
        <v>92</v>
      </c>
      <c r="H935" t="s">
        <v>221</v>
      </c>
      <c r="I935" t="s">
        <v>581</v>
      </c>
      <c r="J935" t="s">
        <v>38</v>
      </c>
      <c r="K935" t="s">
        <v>81</v>
      </c>
      <c r="L935" t="s">
        <v>582</v>
      </c>
      <c r="M935">
        <v>195.8</v>
      </c>
      <c r="N935">
        <v>57</v>
      </c>
      <c r="O935" t="s">
        <v>4073</v>
      </c>
      <c r="P935" t="s">
        <v>108</v>
      </c>
      <c r="Q935" t="s">
        <v>295</v>
      </c>
      <c r="R935" t="s">
        <v>44</v>
      </c>
      <c r="S935" t="s">
        <v>87</v>
      </c>
      <c r="T935" t="s">
        <v>533</v>
      </c>
      <c r="U935">
        <v>315</v>
      </c>
      <c r="V935">
        <v>293</v>
      </c>
      <c r="W935">
        <v>18</v>
      </c>
      <c r="X935">
        <v>1651.03</v>
      </c>
      <c r="Y935">
        <v>437.19</v>
      </c>
      <c r="Z935">
        <v>2088.2199999999998</v>
      </c>
      <c r="AA935" t="s">
        <v>62</v>
      </c>
      <c r="AB935">
        <v>0</v>
      </c>
      <c r="AC935">
        <v>81.599999999999994</v>
      </c>
      <c r="AD935">
        <v>90</v>
      </c>
      <c r="AE935">
        <v>92</v>
      </c>
    </row>
    <row r="936" spans="1:31" x14ac:dyDescent="0.25">
      <c r="A936" t="s">
        <v>4074</v>
      </c>
      <c r="B936" t="s">
        <v>791</v>
      </c>
      <c r="C936" s="1">
        <v>44624</v>
      </c>
      <c r="D936" s="1">
        <v>44134</v>
      </c>
      <c r="E936" t="s">
        <v>65</v>
      </c>
      <c r="F936" t="s">
        <v>77</v>
      </c>
      <c r="G936" t="s">
        <v>78</v>
      </c>
      <c r="H936" t="s">
        <v>221</v>
      </c>
      <c r="I936" t="s">
        <v>4075</v>
      </c>
      <c r="J936" t="s">
        <v>38</v>
      </c>
      <c r="K936" t="s">
        <v>735</v>
      </c>
      <c r="L936" t="s">
        <v>4076</v>
      </c>
      <c r="M936">
        <v>377.04</v>
      </c>
      <c r="N936">
        <v>30</v>
      </c>
      <c r="O936" t="s">
        <v>4077</v>
      </c>
      <c r="P936" t="s">
        <v>58</v>
      </c>
      <c r="Q936" t="s">
        <v>432</v>
      </c>
      <c r="R936" t="s">
        <v>60</v>
      </c>
      <c r="S936" t="s">
        <v>126</v>
      </c>
      <c r="T936" t="s">
        <v>170</v>
      </c>
      <c r="U936">
        <v>2596</v>
      </c>
      <c r="V936">
        <v>377</v>
      </c>
      <c r="W936">
        <v>2</v>
      </c>
      <c r="X936">
        <v>381.06</v>
      </c>
      <c r="Y936">
        <v>406.53</v>
      </c>
      <c r="Z936">
        <v>787.58999999999992</v>
      </c>
      <c r="AA936" t="s">
        <v>62</v>
      </c>
      <c r="AB936">
        <v>0</v>
      </c>
      <c r="AC936">
        <v>95.56</v>
      </c>
      <c r="AD936">
        <v>404</v>
      </c>
      <c r="AE936">
        <v>389</v>
      </c>
    </row>
    <row r="937" spans="1:31" x14ac:dyDescent="0.25">
      <c r="A937" t="s">
        <v>4078</v>
      </c>
      <c r="B937" t="s">
        <v>4079</v>
      </c>
      <c r="C937" s="1">
        <v>45475</v>
      </c>
      <c r="D937" s="1">
        <v>44074</v>
      </c>
      <c r="E937" t="s">
        <v>65</v>
      </c>
      <c r="F937" t="s">
        <v>51</v>
      </c>
      <c r="G937" t="s">
        <v>35</v>
      </c>
      <c r="H937" t="s">
        <v>67</v>
      </c>
      <c r="I937" t="s">
        <v>2450</v>
      </c>
      <c r="J937" t="s">
        <v>38</v>
      </c>
      <c r="K937" t="s">
        <v>55</v>
      </c>
      <c r="L937" t="s">
        <v>2451</v>
      </c>
      <c r="M937">
        <v>150.91999999999999</v>
      </c>
      <c r="N937">
        <v>55</v>
      </c>
      <c r="O937" t="s">
        <v>4080</v>
      </c>
      <c r="P937" t="s">
        <v>108</v>
      </c>
      <c r="Q937" t="s">
        <v>217</v>
      </c>
      <c r="R937" t="s">
        <v>60</v>
      </c>
      <c r="S937" t="s">
        <v>73</v>
      </c>
      <c r="T937" t="s">
        <v>110</v>
      </c>
      <c r="U937">
        <v>4607</v>
      </c>
      <c r="V937">
        <v>302</v>
      </c>
      <c r="W937">
        <v>11</v>
      </c>
      <c r="X937">
        <v>1843.07</v>
      </c>
      <c r="Y937">
        <v>413.21</v>
      </c>
      <c r="Z937">
        <v>2256.2800000000002</v>
      </c>
      <c r="AA937" t="s">
        <v>62</v>
      </c>
      <c r="AB937">
        <v>0</v>
      </c>
      <c r="AC937">
        <v>90.73</v>
      </c>
      <c r="AD937">
        <v>150</v>
      </c>
      <c r="AE937">
        <v>148</v>
      </c>
    </row>
    <row r="938" spans="1:31" x14ac:dyDescent="0.25">
      <c r="A938" t="s">
        <v>4081</v>
      </c>
      <c r="B938" t="s">
        <v>4082</v>
      </c>
      <c r="C938" s="1">
        <v>44216</v>
      </c>
      <c r="D938" s="1">
        <v>44373</v>
      </c>
      <c r="E938" t="s">
        <v>50</v>
      </c>
      <c r="F938" t="s">
        <v>51</v>
      </c>
      <c r="G938" t="s">
        <v>113</v>
      </c>
      <c r="H938" t="s">
        <v>221</v>
      </c>
      <c r="I938" t="s">
        <v>3321</v>
      </c>
      <c r="J938" t="s">
        <v>38</v>
      </c>
      <c r="K938" t="s">
        <v>39</v>
      </c>
      <c r="L938" t="s">
        <v>3322</v>
      </c>
      <c r="M938">
        <v>82.84</v>
      </c>
      <c r="N938">
        <v>64</v>
      </c>
      <c r="O938" t="s">
        <v>4083</v>
      </c>
      <c r="P938" t="s">
        <v>108</v>
      </c>
      <c r="Q938" t="s">
        <v>238</v>
      </c>
      <c r="R938" t="s">
        <v>60</v>
      </c>
      <c r="S938" t="s">
        <v>87</v>
      </c>
      <c r="T938" t="s">
        <v>278</v>
      </c>
      <c r="U938">
        <v>486</v>
      </c>
      <c r="V938">
        <v>366</v>
      </c>
      <c r="W938">
        <v>11</v>
      </c>
      <c r="X938">
        <v>307.41000000000003</v>
      </c>
      <c r="Y938">
        <v>220.38</v>
      </c>
      <c r="Z938">
        <v>527.79</v>
      </c>
      <c r="AA938" t="s">
        <v>62</v>
      </c>
      <c r="AB938">
        <v>0</v>
      </c>
      <c r="AC938">
        <v>83.45</v>
      </c>
      <c r="AD938">
        <v>57</v>
      </c>
      <c r="AE938">
        <v>82</v>
      </c>
    </row>
    <row r="939" spans="1:31" x14ac:dyDescent="0.25">
      <c r="A939" t="s">
        <v>4084</v>
      </c>
      <c r="B939" t="s">
        <v>2061</v>
      </c>
      <c r="C939" s="1">
        <v>44880</v>
      </c>
      <c r="D939" s="1">
        <v>44894</v>
      </c>
      <c r="E939" t="s">
        <v>50</v>
      </c>
      <c r="F939" t="s">
        <v>146</v>
      </c>
      <c r="G939" t="s">
        <v>35</v>
      </c>
      <c r="H939" t="s">
        <v>36</v>
      </c>
      <c r="I939" t="s">
        <v>3343</v>
      </c>
      <c r="J939" t="s">
        <v>104</v>
      </c>
      <c r="K939" t="s">
        <v>105</v>
      </c>
      <c r="L939" t="s">
        <v>3344</v>
      </c>
      <c r="M939">
        <v>494.92</v>
      </c>
      <c r="N939">
        <v>76</v>
      </c>
      <c r="O939" t="s">
        <v>1034</v>
      </c>
      <c r="P939" t="s">
        <v>84</v>
      </c>
      <c r="Q939" t="s">
        <v>491</v>
      </c>
      <c r="R939" t="s">
        <v>86</v>
      </c>
      <c r="S939" t="s">
        <v>87</v>
      </c>
      <c r="T939" t="s">
        <v>119</v>
      </c>
      <c r="U939">
        <v>3190</v>
      </c>
      <c r="V939">
        <v>340</v>
      </c>
      <c r="W939">
        <v>5</v>
      </c>
      <c r="X939">
        <v>1138.3599999999999</v>
      </c>
      <c r="Y939">
        <v>195.46</v>
      </c>
      <c r="Z939">
        <v>1333.82</v>
      </c>
      <c r="AA939" t="s">
        <v>62</v>
      </c>
      <c r="AB939">
        <v>0</v>
      </c>
      <c r="AC939">
        <v>71.08</v>
      </c>
      <c r="AD939">
        <v>289</v>
      </c>
      <c r="AE939">
        <v>267</v>
      </c>
    </row>
    <row r="940" spans="1:31" x14ac:dyDescent="0.25">
      <c r="A940" t="s">
        <v>4085</v>
      </c>
      <c r="B940" t="s">
        <v>4086</v>
      </c>
      <c r="C940" s="1">
        <v>44317</v>
      </c>
      <c r="D940" s="1">
        <v>44030</v>
      </c>
      <c r="E940" t="s">
        <v>65</v>
      </c>
      <c r="F940" t="s">
        <v>51</v>
      </c>
      <c r="G940" t="s">
        <v>78</v>
      </c>
      <c r="H940" t="s">
        <v>114</v>
      </c>
      <c r="I940" t="s">
        <v>963</v>
      </c>
      <c r="J940" t="s">
        <v>104</v>
      </c>
      <c r="K940" t="s">
        <v>105</v>
      </c>
      <c r="L940" t="s">
        <v>964</v>
      </c>
      <c r="M940">
        <v>97.65</v>
      </c>
      <c r="N940">
        <v>64</v>
      </c>
      <c r="O940" t="s">
        <v>4087</v>
      </c>
      <c r="P940" t="s">
        <v>42</v>
      </c>
      <c r="Q940" t="s">
        <v>133</v>
      </c>
      <c r="R940" t="s">
        <v>60</v>
      </c>
      <c r="S940" t="s">
        <v>126</v>
      </c>
      <c r="T940" t="s">
        <v>218</v>
      </c>
      <c r="U940">
        <v>4315</v>
      </c>
      <c r="V940">
        <v>62</v>
      </c>
      <c r="W940">
        <v>23</v>
      </c>
      <c r="X940">
        <v>553.94000000000005</v>
      </c>
      <c r="Y940">
        <v>296.39999999999998</v>
      </c>
      <c r="Z940">
        <v>850.34</v>
      </c>
      <c r="AA940" t="s">
        <v>62</v>
      </c>
      <c r="AB940">
        <v>0</v>
      </c>
      <c r="AC940">
        <v>71.760000000000005</v>
      </c>
      <c r="AD940">
        <v>413</v>
      </c>
      <c r="AE940">
        <v>434</v>
      </c>
    </row>
    <row r="941" spans="1:31" x14ac:dyDescent="0.25">
      <c r="A941" t="s">
        <v>4088</v>
      </c>
      <c r="B941" t="s">
        <v>4089</v>
      </c>
      <c r="C941" s="1">
        <v>45235</v>
      </c>
      <c r="D941" s="1">
        <v>45548</v>
      </c>
      <c r="E941" t="s">
        <v>50</v>
      </c>
      <c r="F941" t="s">
        <v>34</v>
      </c>
      <c r="G941" t="s">
        <v>102</v>
      </c>
      <c r="H941" t="s">
        <v>36</v>
      </c>
      <c r="I941" t="s">
        <v>4090</v>
      </c>
      <c r="J941" t="s">
        <v>38</v>
      </c>
      <c r="K941" t="s">
        <v>55</v>
      </c>
      <c r="L941" t="s">
        <v>4091</v>
      </c>
      <c r="M941">
        <v>383.46</v>
      </c>
      <c r="N941">
        <v>8</v>
      </c>
      <c r="O941" t="s">
        <v>1949</v>
      </c>
      <c r="P941" t="s">
        <v>42</v>
      </c>
      <c r="Q941" t="s">
        <v>432</v>
      </c>
      <c r="R941" t="s">
        <v>86</v>
      </c>
      <c r="S941" t="s">
        <v>45</v>
      </c>
      <c r="T941" t="s">
        <v>1294</v>
      </c>
      <c r="U941">
        <v>4941</v>
      </c>
      <c r="V941">
        <v>210</v>
      </c>
      <c r="W941">
        <v>22</v>
      </c>
      <c r="X941">
        <v>73.430000000000007</v>
      </c>
      <c r="Y941">
        <v>12.91</v>
      </c>
      <c r="Z941">
        <v>86.34</v>
      </c>
      <c r="AA941" t="s">
        <v>47</v>
      </c>
      <c r="AB941">
        <v>4</v>
      </c>
      <c r="AC941">
        <v>72.430000000000007</v>
      </c>
      <c r="AD941">
        <v>214</v>
      </c>
      <c r="AE941">
        <v>262</v>
      </c>
    </row>
    <row r="942" spans="1:31" x14ac:dyDescent="0.25">
      <c r="A942" t="s">
        <v>4092</v>
      </c>
      <c r="B942" t="s">
        <v>4093</v>
      </c>
      <c r="C942" s="1">
        <v>44427</v>
      </c>
      <c r="D942" s="1">
        <v>45377</v>
      </c>
      <c r="E942" t="s">
        <v>50</v>
      </c>
      <c r="F942" t="s">
        <v>77</v>
      </c>
      <c r="G942" t="s">
        <v>66</v>
      </c>
      <c r="H942" t="s">
        <v>79</v>
      </c>
      <c r="I942" t="s">
        <v>4094</v>
      </c>
      <c r="J942" t="s">
        <v>38</v>
      </c>
      <c r="K942" t="s">
        <v>39</v>
      </c>
      <c r="L942" t="s">
        <v>4095</v>
      </c>
      <c r="M942">
        <v>262.95</v>
      </c>
      <c r="N942">
        <v>16</v>
      </c>
      <c r="O942" t="s">
        <v>4096</v>
      </c>
      <c r="P942" t="s">
        <v>141</v>
      </c>
      <c r="Q942" t="s">
        <v>458</v>
      </c>
      <c r="R942" t="s">
        <v>152</v>
      </c>
      <c r="S942" t="s">
        <v>126</v>
      </c>
      <c r="T942" t="s">
        <v>198</v>
      </c>
      <c r="U942">
        <v>2013</v>
      </c>
      <c r="V942">
        <v>385</v>
      </c>
      <c r="W942">
        <v>8</v>
      </c>
      <c r="X942">
        <v>1435.07</v>
      </c>
      <c r="Y942">
        <v>227.76</v>
      </c>
      <c r="Z942">
        <v>1662.83</v>
      </c>
      <c r="AA942" t="s">
        <v>62</v>
      </c>
      <c r="AB942">
        <v>0</v>
      </c>
      <c r="AC942">
        <v>73.150000000000006</v>
      </c>
      <c r="AD942">
        <v>155</v>
      </c>
      <c r="AE942">
        <v>138</v>
      </c>
    </row>
    <row r="943" spans="1:31" x14ac:dyDescent="0.25">
      <c r="A943" t="s">
        <v>4097</v>
      </c>
      <c r="B943" t="s">
        <v>4098</v>
      </c>
      <c r="C943" s="1">
        <v>44794</v>
      </c>
      <c r="D943" s="1">
        <v>45436</v>
      </c>
      <c r="E943" t="s">
        <v>65</v>
      </c>
      <c r="F943" t="s">
        <v>146</v>
      </c>
      <c r="G943" t="s">
        <v>66</v>
      </c>
      <c r="H943" t="s">
        <v>221</v>
      </c>
      <c r="I943" t="s">
        <v>4099</v>
      </c>
      <c r="J943" t="s">
        <v>38</v>
      </c>
      <c r="K943" t="s">
        <v>94</v>
      </c>
      <c r="L943" t="s">
        <v>4100</v>
      </c>
      <c r="M943">
        <v>250.58</v>
      </c>
      <c r="N943">
        <v>47</v>
      </c>
      <c r="O943" t="s">
        <v>4101</v>
      </c>
      <c r="P943" t="s">
        <v>42</v>
      </c>
      <c r="Q943" t="s">
        <v>464</v>
      </c>
      <c r="R943" t="s">
        <v>60</v>
      </c>
      <c r="S943" t="s">
        <v>126</v>
      </c>
      <c r="T943" t="s">
        <v>1294</v>
      </c>
      <c r="U943">
        <v>900</v>
      </c>
      <c r="V943">
        <v>362</v>
      </c>
      <c r="W943">
        <v>22</v>
      </c>
      <c r="X943">
        <v>156.79</v>
      </c>
      <c r="Y943">
        <v>497.64</v>
      </c>
      <c r="Z943">
        <v>654.42999999999995</v>
      </c>
      <c r="AA943" t="s">
        <v>62</v>
      </c>
      <c r="AB943">
        <v>0</v>
      </c>
      <c r="AC943">
        <v>77.400000000000006</v>
      </c>
      <c r="AD943">
        <v>462</v>
      </c>
      <c r="AE943">
        <v>413</v>
      </c>
    </row>
    <row r="944" spans="1:31" x14ac:dyDescent="0.25">
      <c r="A944" t="s">
        <v>4102</v>
      </c>
      <c r="B944" t="s">
        <v>4103</v>
      </c>
      <c r="C944" s="1">
        <v>44152</v>
      </c>
      <c r="D944" s="1">
        <v>44598</v>
      </c>
      <c r="E944" t="s">
        <v>65</v>
      </c>
      <c r="F944" t="s">
        <v>34</v>
      </c>
      <c r="G944" t="s">
        <v>113</v>
      </c>
      <c r="H944" t="s">
        <v>79</v>
      </c>
      <c r="I944" t="s">
        <v>4104</v>
      </c>
      <c r="J944" t="s">
        <v>38</v>
      </c>
      <c r="K944" t="s">
        <v>39</v>
      </c>
      <c r="L944" t="s">
        <v>4105</v>
      </c>
      <c r="M944">
        <v>208.41</v>
      </c>
      <c r="N944">
        <v>27</v>
      </c>
      <c r="O944" t="s">
        <v>4106</v>
      </c>
      <c r="P944" t="s">
        <v>141</v>
      </c>
      <c r="Q944" t="s">
        <v>432</v>
      </c>
      <c r="R944" t="s">
        <v>152</v>
      </c>
      <c r="S944" t="s">
        <v>45</v>
      </c>
      <c r="T944" t="s">
        <v>533</v>
      </c>
      <c r="U944">
        <v>4209</v>
      </c>
      <c r="V944">
        <v>150</v>
      </c>
      <c r="W944">
        <v>13</v>
      </c>
      <c r="X944">
        <v>51.27</v>
      </c>
      <c r="Y944">
        <v>386.15</v>
      </c>
      <c r="Z944">
        <v>437.42</v>
      </c>
      <c r="AA944" t="s">
        <v>62</v>
      </c>
      <c r="AB944">
        <v>0</v>
      </c>
      <c r="AC944">
        <v>72.61</v>
      </c>
      <c r="AD944">
        <v>103</v>
      </c>
      <c r="AE944">
        <v>80</v>
      </c>
    </row>
    <row r="945" spans="1:31" x14ac:dyDescent="0.25">
      <c r="A945" t="s">
        <v>4107</v>
      </c>
      <c r="B945" t="s">
        <v>4108</v>
      </c>
      <c r="C945" s="1">
        <v>43989</v>
      </c>
      <c r="D945" s="1">
        <v>45477</v>
      </c>
      <c r="E945" t="s">
        <v>65</v>
      </c>
      <c r="F945" t="s">
        <v>34</v>
      </c>
      <c r="G945" t="s">
        <v>78</v>
      </c>
      <c r="H945" t="s">
        <v>114</v>
      </c>
      <c r="I945" t="s">
        <v>4109</v>
      </c>
      <c r="J945" t="s">
        <v>38</v>
      </c>
      <c r="K945" t="s">
        <v>735</v>
      </c>
      <c r="L945" t="s">
        <v>4110</v>
      </c>
      <c r="M945">
        <v>443.9</v>
      </c>
      <c r="N945">
        <v>15</v>
      </c>
      <c r="O945" t="s">
        <v>1394</v>
      </c>
      <c r="P945" t="s">
        <v>141</v>
      </c>
      <c r="Q945" t="s">
        <v>346</v>
      </c>
      <c r="R945" t="s">
        <v>86</v>
      </c>
      <c r="S945" t="s">
        <v>98</v>
      </c>
      <c r="T945" t="s">
        <v>563</v>
      </c>
      <c r="U945">
        <v>2453</v>
      </c>
      <c r="V945">
        <v>307</v>
      </c>
      <c r="W945">
        <v>14</v>
      </c>
      <c r="X945">
        <v>115.92</v>
      </c>
      <c r="Y945">
        <v>229.01</v>
      </c>
      <c r="Z945">
        <v>344.93</v>
      </c>
      <c r="AA945" t="s">
        <v>62</v>
      </c>
      <c r="AB945">
        <v>0</v>
      </c>
      <c r="AC945">
        <v>96.52</v>
      </c>
      <c r="AD945">
        <v>350</v>
      </c>
      <c r="AE945">
        <v>395</v>
      </c>
    </row>
    <row r="946" spans="1:31" x14ac:dyDescent="0.25">
      <c r="A946" t="s">
        <v>4111</v>
      </c>
      <c r="B946" t="s">
        <v>4112</v>
      </c>
      <c r="C946" s="1">
        <v>45641</v>
      </c>
      <c r="D946" s="1">
        <v>45626</v>
      </c>
      <c r="E946" t="s">
        <v>65</v>
      </c>
      <c r="F946" t="s">
        <v>146</v>
      </c>
      <c r="G946" t="s">
        <v>343</v>
      </c>
      <c r="H946" t="s">
        <v>147</v>
      </c>
      <c r="I946" t="s">
        <v>4113</v>
      </c>
      <c r="J946" t="s">
        <v>104</v>
      </c>
      <c r="K946" t="s">
        <v>181</v>
      </c>
      <c r="L946" t="s">
        <v>4114</v>
      </c>
      <c r="M946">
        <v>331.87</v>
      </c>
      <c r="N946">
        <v>99</v>
      </c>
      <c r="O946" t="s">
        <v>4101</v>
      </c>
      <c r="P946" t="s">
        <v>108</v>
      </c>
      <c r="Q946" t="s">
        <v>295</v>
      </c>
      <c r="R946" t="s">
        <v>60</v>
      </c>
      <c r="S946" t="s">
        <v>126</v>
      </c>
      <c r="T946" t="s">
        <v>278</v>
      </c>
      <c r="U946">
        <v>4721</v>
      </c>
      <c r="V946">
        <v>420</v>
      </c>
      <c r="W946">
        <v>16</v>
      </c>
      <c r="X946">
        <v>1586.92</v>
      </c>
      <c r="Y946">
        <v>187.47</v>
      </c>
      <c r="Z946">
        <v>1774.39</v>
      </c>
      <c r="AA946" t="s">
        <v>62</v>
      </c>
      <c r="AB946">
        <v>0</v>
      </c>
      <c r="AC946">
        <v>80.849999999999994</v>
      </c>
      <c r="AD946">
        <v>295</v>
      </c>
      <c r="AE946">
        <v>331</v>
      </c>
    </row>
    <row r="947" spans="1:31" x14ac:dyDescent="0.25">
      <c r="A947" t="s">
        <v>4115</v>
      </c>
      <c r="B947" t="s">
        <v>4116</v>
      </c>
      <c r="C947" s="1">
        <v>45375</v>
      </c>
      <c r="D947" s="1">
        <v>45336</v>
      </c>
      <c r="E947" t="s">
        <v>65</v>
      </c>
      <c r="F947" t="s">
        <v>77</v>
      </c>
      <c r="G947" t="s">
        <v>113</v>
      </c>
      <c r="H947" t="s">
        <v>221</v>
      </c>
      <c r="I947" t="s">
        <v>317</v>
      </c>
      <c r="J947" t="s">
        <v>38</v>
      </c>
      <c r="K947" t="s">
        <v>55</v>
      </c>
      <c r="L947" t="s">
        <v>318</v>
      </c>
      <c r="M947">
        <v>497.46</v>
      </c>
      <c r="N947">
        <v>55</v>
      </c>
      <c r="O947" t="s">
        <v>1901</v>
      </c>
      <c r="P947" t="s">
        <v>42</v>
      </c>
      <c r="Q947" t="s">
        <v>425</v>
      </c>
      <c r="R947" t="s">
        <v>60</v>
      </c>
      <c r="S947" t="s">
        <v>73</v>
      </c>
      <c r="T947" t="s">
        <v>218</v>
      </c>
      <c r="U947">
        <v>2139</v>
      </c>
      <c r="V947">
        <v>401</v>
      </c>
      <c r="W947">
        <v>8</v>
      </c>
      <c r="X947">
        <v>1017.78</v>
      </c>
      <c r="Y947">
        <v>372.65</v>
      </c>
      <c r="Z947">
        <v>1390.43</v>
      </c>
      <c r="AA947" t="s">
        <v>62</v>
      </c>
      <c r="AB947">
        <v>0</v>
      </c>
      <c r="AC947">
        <v>72.03</v>
      </c>
      <c r="AD947">
        <v>435</v>
      </c>
      <c r="AE947">
        <v>471</v>
      </c>
    </row>
    <row r="948" spans="1:31" x14ac:dyDescent="0.25">
      <c r="A948" t="s">
        <v>4117</v>
      </c>
      <c r="B948" t="s">
        <v>4118</v>
      </c>
      <c r="C948" s="1">
        <v>45266</v>
      </c>
      <c r="D948" s="1">
        <v>44752</v>
      </c>
      <c r="E948" t="s">
        <v>50</v>
      </c>
      <c r="F948" t="s">
        <v>77</v>
      </c>
      <c r="G948" t="s">
        <v>52</v>
      </c>
      <c r="H948" t="s">
        <v>163</v>
      </c>
      <c r="I948" t="s">
        <v>4119</v>
      </c>
      <c r="J948" t="s">
        <v>38</v>
      </c>
      <c r="K948" t="s">
        <v>39</v>
      </c>
      <c r="L948" t="s">
        <v>4120</v>
      </c>
      <c r="M948">
        <v>43.93</v>
      </c>
      <c r="N948">
        <v>95</v>
      </c>
      <c r="O948" t="s">
        <v>1420</v>
      </c>
      <c r="P948" t="s">
        <v>108</v>
      </c>
      <c r="Q948" t="s">
        <v>1244</v>
      </c>
      <c r="R948" t="s">
        <v>152</v>
      </c>
      <c r="S948" t="s">
        <v>73</v>
      </c>
      <c r="T948" t="s">
        <v>922</v>
      </c>
      <c r="U948">
        <v>3912</v>
      </c>
      <c r="V948">
        <v>360</v>
      </c>
      <c r="W948">
        <v>21</v>
      </c>
      <c r="X948">
        <v>758.72</v>
      </c>
      <c r="Y948">
        <v>55.05</v>
      </c>
      <c r="Z948">
        <v>813.77</v>
      </c>
      <c r="AA948" t="s">
        <v>62</v>
      </c>
      <c r="AB948">
        <v>0</v>
      </c>
      <c r="AC948">
        <v>95.2</v>
      </c>
      <c r="AD948">
        <v>457</v>
      </c>
      <c r="AE948">
        <v>424</v>
      </c>
    </row>
    <row r="949" spans="1:31" x14ac:dyDescent="0.25">
      <c r="A949" t="s">
        <v>4121</v>
      </c>
      <c r="B949" t="s">
        <v>4122</v>
      </c>
      <c r="C949" s="1">
        <v>44034</v>
      </c>
      <c r="D949" s="1">
        <v>45258</v>
      </c>
      <c r="E949" t="s">
        <v>65</v>
      </c>
      <c r="F949" t="s">
        <v>91</v>
      </c>
      <c r="G949" t="s">
        <v>92</v>
      </c>
      <c r="H949" t="s">
        <v>36</v>
      </c>
      <c r="I949" t="s">
        <v>4123</v>
      </c>
      <c r="J949" t="s">
        <v>38</v>
      </c>
      <c r="K949" t="s">
        <v>39</v>
      </c>
      <c r="L949" t="s">
        <v>4124</v>
      </c>
      <c r="M949">
        <v>168.55</v>
      </c>
      <c r="N949">
        <v>67</v>
      </c>
      <c r="O949" t="s">
        <v>2906</v>
      </c>
      <c r="P949" t="s">
        <v>108</v>
      </c>
      <c r="Q949" t="s">
        <v>1244</v>
      </c>
      <c r="R949" t="s">
        <v>86</v>
      </c>
      <c r="S949" t="s">
        <v>73</v>
      </c>
      <c r="T949" t="s">
        <v>246</v>
      </c>
      <c r="U949">
        <v>2884</v>
      </c>
      <c r="V949">
        <v>253</v>
      </c>
      <c r="W949">
        <v>6</v>
      </c>
      <c r="X949">
        <v>465.77</v>
      </c>
      <c r="Y949">
        <v>326.10000000000002</v>
      </c>
      <c r="Z949">
        <v>791.87</v>
      </c>
      <c r="AA949" t="s">
        <v>62</v>
      </c>
      <c r="AB949">
        <v>0</v>
      </c>
      <c r="AC949">
        <v>92.3</v>
      </c>
      <c r="AD949">
        <v>233</v>
      </c>
      <c r="AE949">
        <v>222</v>
      </c>
    </row>
    <row r="950" spans="1:31" x14ac:dyDescent="0.25">
      <c r="A950" t="s">
        <v>4125</v>
      </c>
      <c r="B950" t="s">
        <v>261</v>
      </c>
      <c r="C950" s="1">
        <v>44837</v>
      </c>
      <c r="D950" s="1">
        <v>44961</v>
      </c>
      <c r="E950" t="s">
        <v>65</v>
      </c>
      <c r="F950" t="s">
        <v>34</v>
      </c>
      <c r="G950" t="s">
        <v>92</v>
      </c>
      <c r="H950" t="s">
        <v>79</v>
      </c>
      <c r="I950" t="s">
        <v>4126</v>
      </c>
      <c r="J950" t="s">
        <v>38</v>
      </c>
      <c r="K950" t="s">
        <v>39</v>
      </c>
      <c r="L950" t="s">
        <v>4127</v>
      </c>
      <c r="M950">
        <v>416.11</v>
      </c>
      <c r="N950">
        <v>32</v>
      </c>
      <c r="O950" t="s">
        <v>4128</v>
      </c>
      <c r="P950" t="s">
        <v>84</v>
      </c>
      <c r="Q950" t="s">
        <v>191</v>
      </c>
      <c r="R950" t="s">
        <v>86</v>
      </c>
      <c r="S950" t="s">
        <v>98</v>
      </c>
      <c r="T950" t="s">
        <v>61</v>
      </c>
      <c r="U950">
        <v>3565</v>
      </c>
      <c r="V950">
        <v>115</v>
      </c>
      <c r="W950">
        <v>29</v>
      </c>
      <c r="X950">
        <v>688.84</v>
      </c>
      <c r="Y950">
        <v>450.86</v>
      </c>
      <c r="Z950">
        <v>1139.7</v>
      </c>
      <c r="AA950" t="s">
        <v>62</v>
      </c>
      <c r="AB950">
        <v>0</v>
      </c>
      <c r="AC950">
        <v>93</v>
      </c>
      <c r="AD950">
        <v>58</v>
      </c>
      <c r="AE950">
        <v>93</v>
      </c>
    </row>
    <row r="951" spans="1:31" x14ac:dyDescent="0.25">
      <c r="A951" t="s">
        <v>4129</v>
      </c>
      <c r="B951" t="s">
        <v>4130</v>
      </c>
      <c r="C951" s="1">
        <v>44653</v>
      </c>
      <c r="D951" s="1">
        <v>44911</v>
      </c>
      <c r="E951" t="s">
        <v>50</v>
      </c>
      <c r="F951" t="s">
        <v>34</v>
      </c>
      <c r="G951" t="s">
        <v>102</v>
      </c>
      <c r="H951" t="s">
        <v>221</v>
      </c>
      <c r="I951" t="s">
        <v>4131</v>
      </c>
      <c r="J951" t="s">
        <v>38</v>
      </c>
      <c r="K951" t="s">
        <v>39</v>
      </c>
      <c r="L951" t="s">
        <v>4132</v>
      </c>
      <c r="M951">
        <v>247.82</v>
      </c>
      <c r="N951">
        <v>51</v>
      </c>
      <c r="O951" t="s">
        <v>2535</v>
      </c>
      <c r="P951" t="s">
        <v>84</v>
      </c>
      <c r="Q951" t="s">
        <v>159</v>
      </c>
      <c r="R951" t="s">
        <v>152</v>
      </c>
      <c r="S951" t="s">
        <v>73</v>
      </c>
      <c r="T951" t="s">
        <v>259</v>
      </c>
      <c r="U951">
        <v>2814</v>
      </c>
      <c r="V951">
        <v>132</v>
      </c>
      <c r="W951">
        <v>21</v>
      </c>
      <c r="X951">
        <v>411.77</v>
      </c>
      <c r="Y951">
        <v>237.88</v>
      </c>
      <c r="Z951">
        <v>649.65</v>
      </c>
      <c r="AA951" t="s">
        <v>62</v>
      </c>
      <c r="AB951">
        <v>0</v>
      </c>
      <c r="AC951">
        <v>97.46</v>
      </c>
      <c r="AD951">
        <v>391</v>
      </c>
      <c r="AE951">
        <v>360</v>
      </c>
    </row>
    <row r="952" spans="1:31" x14ac:dyDescent="0.25">
      <c r="A952" t="s">
        <v>4133</v>
      </c>
      <c r="B952" t="s">
        <v>4134</v>
      </c>
      <c r="C952" s="1">
        <v>45421</v>
      </c>
      <c r="D952" s="1">
        <v>44115</v>
      </c>
      <c r="E952" t="s">
        <v>33</v>
      </c>
      <c r="F952" t="s">
        <v>91</v>
      </c>
      <c r="G952" t="s">
        <v>52</v>
      </c>
      <c r="H952" t="s">
        <v>67</v>
      </c>
      <c r="I952" t="s">
        <v>4135</v>
      </c>
      <c r="J952" t="s">
        <v>38</v>
      </c>
      <c r="K952" t="s">
        <v>39</v>
      </c>
      <c r="L952" t="s">
        <v>4136</v>
      </c>
      <c r="M952">
        <v>411.55</v>
      </c>
      <c r="N952">
        <v>29</v>
      </c>
      <c r="O952" t="s">
        <v>4137</v>
      </c>
      <c r="P952" t="s">
        <v>108</v>
      </c>
      <c r="Q952" t="s">
        <v>377</v>
      </c>
      <c r="R952" t="s">
        <v>152</v>
      </c>
      <c r="S952" t="s">
        <v>87</v>
      </c>
      <c r="T952" t="s">
        <v>563</v>
      </c>
      <c r="U952">
        <v>3264</v>
      </c>
      <c r="V952">
        <v>378</v>
      </c>
      <c r="W952">
        <v>3</v>
      </c>
      <c r="X952">
        <v>1306.67</v>
      </c>
      <c r="Y952">
        <v>370.17</v>
      </c>
      <c r="Z952">
        <v>1676.84</v>
      </c>
      <c r="AA952" t="s">
        <v>62</v>
      </c>
      <c r="AB952">
        <v>0</v>
      </c>
      <c r="AC952">
        <v>92.4</v>
      </c>
      <c r="AD952">
        <v>235</v>
      </c>
      <c r="AE952">
        <v>223</v>
      </c>
    </row>
    <row r="953" spans="1:31" x14ac:dyDescent="0.25">
      <c r="A953" t="s">
        <v>4138</v>
      </c>
      <c r="B953" t="s">
        <v>4139</v>
      </c>
      <c r="C953" s="1">
        <v>44447</v>
      </c>
      <c r="D953" s="1">
        <v>45258</v>
      </c>
      <c r="E953" t="s">
        <v>65</v>
      </c>
      <c r="F953" t="s">
        <v>51</v>
      </c>
      <c r="G953" t="s">
        <v>102</v>
      </c>
      <c r="H953" t="s">
        <v>53</v>
      </c>
      <c r="I953" t="s">
        <v>4140</v>
      </c>
      <c r="J953" t="s">
        <v>38</v>
      </c>
      <c r="K953" t="s">
        <v>39</v>
      </c>
      <c r="L953" t="s">
        <v>4141</v>
      </c>
      <c r="M953">
        <v>192.76</v>
      </c>
      <c r="N953">
        <v>34</v>
      </c>
      <c r="O953" t="s">
        <v>4083</v>
      </c>
      <c r="P953" t="s">
        <v>42</v>
      </c>
      <c r="Q953" t="s">
        <v>295</v>
      </c>
      <c r="R953" t="s">
        <v>86</v>
      </c>
      <c r="S953" t="s">
        <v>45</v>
      </c>
      <c r="T953" t="s">
        <v>110</v>
      </c>
      <c r="U953">
        <v>1298</v>
      </c>
      <c r="V953">
        <v>155</v>
      </c>
      <c r="W953">
        <v>19</v>
      </c>
      <c r="X953">
        <v>571.04999999999995</v>
      </c>
      <c r="Y953">
        <v>323.77</v>
      </c>
      <c r="Z953">
        <v>894.81999999999994</v>
      </c>
      <c r="AA953" t="s">
        <v>62</v>
      </c>
      <c r="AB953">
        <v>0</v>
      </c>
      <c r="AC953">
        <v>77.86</v>
      </c>
      <c r="AD953">
        <v>217</v>
      </c>
      <c r="AE953">
        <v>253</v>
      </c>
    </row>
    <row r="954" spans="1:31" x14ac:dyDescent="0.25">
      <c r="A954" t="s">
        <v>4142</v>
      </c>
      <c r="B954" t="s">
        <v>4143</v>
      </c>
      <c r="C954" s="1">
        <v>44831</v>
      </c>
      <c r="D954" s="1">
        <v>44091</v>
      </c>
      <c r="E954" t="s">
        <v>50</v>
      </c>
      <c r="F954" t="s">
        <v>77</v>
      </c>
      <c r="G954" t="s">
        <v>78</v>
      </c>
      <c r="H954" t="s">
        <v>79</v>
      </c>
      <c r="I954" t="s">
        <v>4144</v>
      </c>
      <c r="J954" t="s">
        <v>38</v>
      </c>
      <c r="K954" t="s">
        <v>735</v>
      </c>
      <c r="L954" t="s">
        <v>4145</v>
      </c>
      <c r="M954">
        <v>364.74</v>
      </c>
      <c r="N954">
        <v>93</v>
      </c>
      <c r="O954" t="s">
        <v>669</v>
      </c>
      <c r="P954" t="s">
        <v>141</v>
      </c>
      <c r="Q954" t="s">
        <v>370</v>
      </c>
      <c r="R954" t="s">
        <v>152</v>
      </c>
      <c r="S954" t="s">
        <v>45</v>
      </c>
      <c r="T954" t="s">
        <v>371</v>
      </c>
      <c r="U954">
        <v>232</v>
      </c>
      <c r="V954">
        <v>61</v>
      </c>
      <c r="W954">
        <v>21</v>
      </c>
      <c r="X954">
        <v>396.62</v>
      </c>
      <c r="Y954">
        <v>16.88</v>
      </c>
      <c r="Z954">
        <v>413.5</v>
      </c>
      <c r="AA954" t="s">
        <v>47</v>
      </c>
      <c r="AB954">
        <v>13</v>
      </c>
      <c r="AC954">
        <v>71.67</v>
      </c>
      <c r="AD954">
        <v>255</v>
      </c>
      <c r="AE954">
        <v>237</v>
      </c>
    </row>
    <row r="955" spans="1:31" x14ac:dyDescent="0.25">
      <c r="A955" t="s">
        <v>4146</v>
      </c>
      <c r="B955" t="s">
        <v>4147</v>
      </c>
      <c r="C955" s="1">
        <v>44603</v>
      </c>
      <c r="D955" s="1">
        <v>45023</v>
      </c>
      <c r="E955" t="s">
        <v>33</v>
      </c>
      <c r="F955" t="s">
        <v>146</v>
      </c>
      <c r="G955" t="s">
        <v>113</v>
      </c>
      <c r="H955" t="s">
        <v>67</v>
      </c>
      <c r="I955" t="s">
        <v>4148</v>
      </c>
      <c r="J955" t="s">
        <v>165</v>
      </c>
      <c r="K955" t="s">
        <v>166</v>
      </c>
      <c r="L955" t="s">
        <v>4149</v>
      </c>
      <c r="M955">
        <v>102.28</v>
      </c>
      <c r="N955">
        <v>70</v>
      </c>
      <c r="O955" t="s">
        <v>2182</v>
      </c>
      <c r="P955" t="s">
        <v>108</v>
      </c>
      <c r="Q955" t="s">
        <v>151</v>
      </c>
      <c r="R955" t="s">
        <v>86</v>
      </c>
      <c r="S955" t="s">
        <v>73</v>
      </c>
      <c r="T955" t="s">
        <v>61</v>
      </c>
      <c r="U955">
        <v>2331</v>
      </c>
      <c r="V955">
        <v>455</v>
      </c>
      <c r="W955">
        <v>29</v>
      </c>
      <c r="X955">
        <v>115.24</v>
      </c>
      <c r="Y955">
        <v>348.77</v>
      </c>
      <c r="Z955">
        <v>464.01</v>
      </c>
      <c r="AA955" t="s">
        <v>62</v>
      </c>
      <c r="AB955">
        <v>0</v>
      </c>
      <c r="AC955">
        <v>77.5</v>
      </c>
      <c r="AD955">
        <v>76</v>
      </c>
      <c r="AE955">
        <v>49</v>
      </c>
    </row>
    <row r="956" spans="1:31" x14ac:dyDescent="0.25">
      <c r="A956" t="s">
        <v>4150</v>
      </c>
      <c r="B956" t="s">
        <v>4151</v>
      </c>
      <c r="C956" s="1">
        <v>45603</v>
      </c>
      <c r="D956" s="1">
        <v>45401</v>
      </c>
      <c r="E956" t="s">
        <v>33</v>
      </c>
      <c r="F956" t="s">
        <v>146</v>
      </c>
      <c r="G956" t="s">
        <v>35</v>
      </c>
      <c r="H956" t="s">
        <v>36</v>
      </c>
      <c r="I956" t="s">
        <v>4152</v>
      </c>
      <c r="J956" t="s">
        <v>104</v>
      </c>
      <c r="K956" t="s">
        <v>181</v>
      </c>
      <c r="L956" t="s">
        <v>4153</v>
      </c>
      <c r="M956">
        <v>122.9</v>
      </c>
      <c r="N956">
        <v>49</v>
      </c>
      <c r="O956" t="s">
        <v>4154</v>
      </c>
      <c r="P956" t="s">
        <v>84</v>
      </c>
      <c r="Q956" t="s">
        <v>464</v>
      </c>
      <c r="R956" t="s">
        <v>60</v>
      </c>
      <c r="S956" t="s">
        <v>87</v>
      </c>
      <c r="T956" t="s">
        <v>143</v>
      </c>
      <c r="U956">
        <v>4826</v>
      </c>
      <c r="V956">
        <v>445</v>
      </c>
      <c r="W956">
        <v>2</v>
      </c>
      <c r="X956">
        <v>1506.22</v>
      </c>
      <c r="Y956">
        <v>415.71</v>
      </c>
      <c r="Z956">
        <v>1921.93</v>
      </c>
      <c r="AA956" t="s">
        <v>62</v>
      </c>
      <c r="AB956">
        <v>0</v>
      </c>
      <c r="AC956">
        <v>93.71</v>
      </c>
      <c r="AD956">
        <v>385</v>
      </c>
      <c r="AE956">
        <v>359</v>
      </c>
    </row>
    <row r="957" spans="1:31" x14ac:dyDescent="0.25">
      <c r="A957" t="s">
        <v>4155</v>
      </c>
      <c r="B957" t="s">
        <v>4156</v>
      </c>
      <c r="C957" s="1">
        <v>44141</v>
      </c>
      <c r="D957" s="1">
        <v>45079</v>
      </c>
      <c r="E957" t="s">
        <v>65</v>
      </c>
      <c r="F957" t="s">
        <v>34</v>
      </c>
      <c r="G957" t="s">
        <v>35</v>
      </c>
      <c r="H957" t="s">
        <v>53</v>
      </c>
      <c r="I957" t="s">
        <v>3009</v>
      </c>
      <c r="J957" t="s">
        <v>38</v>
      </c>
      <c r="K957" t="s">
        <v>55</v>
      </c>
      <c r="L957" t="s">
        <v>3010</v>
      </c>
      <c r="M957">
        <v>280.18</v>
      </c>
      <c r="N957">
        <v>73</v>
      </c>
      <c r="O957" t="s">
        <v>1608</v>
      </c>
      <c r="P957" t="s">
        <v>84</v>
      </c>
      <c r="Q957" t="s">
        <v>544</v>
      </c>
      <c r="R957" t="s">
        <v>60</v>
      </c>
      <c r="S957" t="s">
        <v>87</v>
      </c>
      <c r="T957" t="s">
        <v>654</v>
      </c>
      <c r="U957">
        <v>1084</v>
      </c>
      <c r="V957">
        <v>341</v>
      </c>
      <c r="W957">
        <v>3</v>
      </c>
      <c r="X957">
        <v>361.63</v>
      </c>
      <c r="Y957">
        <v>96.46</v>
      </c>
      <c r="Z957">
        <v>458.09</v>
      </c>
      <c r="AA957" t="s">
        <v>62</v>
      </c>
      <c r="AB957">
        <v>0</v>
      </c>
      <c r="AC957">
        <v>73.05</v>
      </c>
      <c r="AD957">
        <v>85</v>
      </c>
      <c r="AE957">
        <v>99</v>
      </c>
    </row>
    <row r="958" spans="1:31" x14ac:dyDescent="0.25">
      <c r="A958" t="s">
        <v>4157</v>
      </c>
      <c r="B958" t="s">
        <v>1887</v>
      </c>
      <c r="C958" s="1">
        <v>44206</v>
      </c>
      <c r="D958" s="1">
        <v>44567</v>
      </c>
      <c r="E958" t="s">
        <v>65</v>
      </c>
      <c r="F958" t="s">
        <v>77</v>
      </c>
      <c r="G958" t="s">
        <v>92</v>
      </c>
      <c r="H958" t="s">
        <v>79</v>
      </c>
      <c r="I958" t="s">
        <v>4158</v>
      </c>
      <c r="J958" t="s">
        <v>38</v>
      </c>
      <c r="K958" t="s">
        <v>55</v>
      </c>
      <c r="L958" t="s">
        <v>4159</v>
      </c>
      <c r="M958">
        <v>298.05</v>
      </c>
      <c r="N958">
        <v>86</v>
      </c>
      <c r="O958" t="s">
        <v>1940</v>
      </c>
      <c r="P958" t="s">
        <v>141</v>
      </c>
      <c r="Q958" t="s">
        <v>133</v>
      </c>
      <c r="R958" t="s">
        <v>86</v>
      </c>
      <c r="S958" t="s">
        <v>98</v>
      </c>
      <c r="T958" t="s">
        <v>198</v>
      </c>
      <c r="U958">
        <v>1027</v>
      </c>
      <c r="V958">
        <v>335</v>
      </c>
      <c r="W958">
        <v>14</v>
      </c>
      <c r="X958">
        <v>1569.81</v>
      </c>
      <c r="Y958">
        <v>176.54</v>
      </c>
      <c r="Z958">
        <v>1746.35</v>
      </c>
      <c r="AA958" t="s">
        <v>62</v>
      </c>
      <c r="AB958">
        <v>0</v>
      </c>
      <c r="AC958">
        <v>85.02</v>
      </c>
      <c r="AD958">
        <v>69</v>
      </c>
      <c r="AE958">
        <v>80</v>
      </c>
    </row>
    <row r="959" spans="1:31" x14ac:dyDescent="0.25">
      <c r="A959" t="s">
        <v>4160</v>
      </c>
      <c r="B959" t="s">
        <v>4161</v>
      </c>
      <c r="C959" s="1">
        <v>45201</v>
      </c>
      <c r="D959" s="1">
        <v>44470</v>
      </c>
      <c r="E959" t="s">
        <v>65</v>
      </c>
      <c r="F959" t="s">
        <v>77</v>
      </c>
      <c r="G959" t="s">
        <v>113</v>
      </c>
      <c r="H959" t="s">
        <v>79</v>
      </c>
      <c r="I959" t="s">
        <v>4144</v>
      </c>
      <c r="J959" t="s">
        <v>38</v>
      </c>
      <c r="K959" t="s">
        <v>735</v>
      </c>
      <c r="L959" t="s">
        <v>4145</v>
      </c>
      <c r="M959">
        <v>269.68</v>
      </c>
      <c r="N959">
        <v>11</v>
      </c>
      <c r="O959" t="s">
        <v>2477</v>
      </c>
      <c r="P959" t="s">
        <v>141</v>
      </c>
      <c r="Q959" t="s">
        <v>176</v>
      </c>
      <c r="R959" t="s">
        <v>60</v>
      </c>
      <c r="S959" t="s">
        <v>87</v>
      </c>
      <c r="T959" t="s">
        <v>127</v>
      </c>
      <c r="U959">
        <v>1498</v>
      </c>
      <c r="V959">
        <v>499</v>
      </c>
      <c r="W959">
        <v>14</v>
      </c>
      <c r="X959">
        <v>618.92999999999995</v>
      </c>
      <c r="Y959">
        <v>453.35</v>
      </c>
      <c r="Z959">
        <v>1072.28</v>
      </c>
      <c r="AA959" t="s">
        <v>62</v>
      </c>
      <c r="AB959">
        <v>0</v>
      </c>
      <c r="AC959">
        <v>83.21</v>
      </c>
      <c r="AD959">
        <v>212</v>
      </c>
      <c r="AE959">
        <v>186</v>
      </c>
    </row>
    <row r="960" spans="1:31" x14ac:dyDescent="0.25">
      <c r="A960" t="s">
        <v>4162</v>
      </c>
      <c r="B960" t="s">
        <v>3351</v>
      </c>
      <c r="C960" s="1">
        <v>44154</v>
      </c>
      <c r="D960" s="1">
        <v>44783</v>
      </c>
      <c r="E960" t="s">
        <v>50</v>
      </c>
      <c r="F960" t="s">
        <v>51</v>
      </c>
      <c r="G960" t="s">
        <v>66</v>
      </c>
      <c r="H960" t="s">
        <v>114</v>
      </c>
      <c r="I960" t="s">
        <v>4163</v>
      </c>
      <c r="J960" t="s">
        <v>104</v>
      </c>
      <c r="K960" t="s">
        <v>181</v>
      </c>
      <c r="L960" t="s">
        <v>4164</v>
      </c>
      <c r="M960">
        <v>224.88</v>
      </c>
      <c r="N960">
        <v>59</v>
      </c>
      <c r="O960" t="s">
        <v>4165</v>
      </c>
      <c r="P960" t="s">
        <v>58</v>
      </c>
      <c r="Q960" t="s">
        <v>238</v>
      </c>
      <c r="R960" t="s">
        <v>60</v>
      </c>
      <c r="S960" t="s">
        <v>87</v>
      </c>
      <c r="T960" t="s">
        <v>259</v>
      </c>
      <c r="U960">
        <v>2977</v>
      </c>
      <c r="V960">
        <v>68</v>
      </c>
      <c r="W960">
        <v>2</v>
      </c>
      <c r="X960">
        <v>608.41</v>
      </c>
      <c r="Y960">
        <v>253.24</v>
      </c>
      <c r="Z960">
        <v>861.65</v>
      </c>
      <c r="AA960" t="s">
        <v>62</v>
      </c>
      <c r="AB960">
        <v>0</v>
      </c>
      <c r="AC960">
        <v>79.45</v>
      </c>
      <c r="AD960">
        <v>266</v>
      </c>
      <c r="AE960">
        <v>290</v>
      </c>
    </row>
    <row r="961" spans="1:31" x14ac:dyDescent="0.25">
      <c r="A961" t="s">
        <v>4166</v>
      </c>
      <c r="B961" t="s">
        <v>1726</v>
      </c>
      <c r="C961" s="1">
        <v>44866</v>
      </c>
      <c r="D961" s="1">
        <v>44264</v>
      </c>
      <c r="E961" t="s">
        <v>65</v>
      </c>
      <c r="F961" t="s">
        <v>146</v>
      </c>
      <c r="G961" t="s">
        <v>78</v>
      </c>
      <c r="H961" t="s">
        <v>221</v>
      </c>
      <c r="I961" t="s">
        <v>3479</v>
      </c>
      <c r="J961" t="s">
        <v>38</v>
      </c>
      <c r="K961" t="s">
        <v>55</v>
      </c>
      <c r="L961" t="s">
        <v>3480</v>
      </c>
      <c r="M961">
        <v>408.95</v>
      </c>
      <c r="N961">
        <v>11</v>
      </c>
      <c r="O961" t="s">
        <v>1652</v>
      </c>
      <c r="P961" t="s">
        <v>141</v>
      </c>
      <c r="Q961" t="s">
        <v>85</v>
      </c>
      <c r="R961" t="s">
        <v>86</v>
      </c>
      <c r="S961" t="s">
        <v>45</v>
      </c>
      <c r="T961" t="s">
        <v>170</v>
      </c>
      <c r="U961">
        <v>429</v>
      </c>
      <c r="V961">
        <v>445</v>
      </c>
      <c r="W961">
        <v>1</v>
      </c>
      <c r="X961">
        <v>1888.19</v>
      </c>
      <c r="Y961">
        <v>383.28</v>
      </c>
      <c r="Z961">
        <v>2271.4699999999998</v>
      </c>
      <c r="AA961" t="s">
        <v>62</v>
      </c>
      <c r="AB961">
        <v>0</v>
      </c>
      <c r="AC961">
        <v>74.989999999999995</v>
      </c>
      <c r="AD961">
        <v>122</v>
      </c>
      <c r="AE961">
        <v>113</v>
      </c>
    </row>
    <row r="962" spans="1:31" x14ac:dyDescent="0.25">
      <c r="A962" t="s">
        <v>4167</v>
      </c>
      <c r="B962" t="s">
        <v>4168</v>
      </c>
      <c r="C962" s="1">
        <v>44986</v>
      </c>
      <c r="D962" s="1">
        <v>44481</v>
      </c>
      <c r="E962" t="s">
        <v>50</v>
      </c>
      <c r="F962" t="s">
        <v>77</v>
      </c>
      <c r="G962" t="s">
        <v>66</v>
      </c>
      <c r="H962" t="s">
        <v>36</v>
      </c>
      <c r="I962" t="s">
        <v>3436</v>
      </c>
      <c r="J962" t="s">
        <v>38</v>
      </c>
      <c r="K962" t="s">
        <v>55</v>
      </c>
      <c r="L962" t="s">
        <v>3437</v>
      </c>
      <c r="M962">
        <v>374.12</v>
      </c>
      <c r="N962">
        <v>60</v>
      </c>
      <c r="O962" t="s">
        <v>4060</v>
      </c>
      <c r="P962" t="s">
        <v>42</v>
      </c>
      <c r="Q962" t="s">
        <v>532</v>
      </c>
      <c r="R962" t="s">
        <v>44</v>
      </c>
      <c r="S962" t="s">
        <v>45</v>
      </c>
      <c r="T962" t="s">
        <v>481</v>
      </c>
      <c r="U962">
        <v>4303</v>
      </c>
      <c r="V962">
        <v>116</v>
      </c>
      <c r="W962">
        <v>3</v>
      </c>
      <c r="X962">
        <v>500.63</v>
      </c>
      <c r="Y962">
        <v>342.67</v>
      </c>
      <c r="Z962">
        <v>843.3</v>
      </c>
      <c r="AA962" t="s">
        <v>62</v>
      </c>
      <c r="AB962">
        <v>0</v>
      </c>
      <c r="AC962">
        <v>99.2</v>
      </c>
      <c r="AD962">
        <v>271</v>
      </c>
      <c r="AE962">
        <v>316</v>
      </c>
    </row>
    <row r="963" spans="1:31" x14ac:dyDescent="0.25">
      <c r="A963" t="s">
        <v>4169</v>
      </c>
      <c r="B963" t="s">
        <v>4170</v>
      </c>
      <c r="C963" s="1">
        <v>45105</v>
      </c>
      <c r="D963" s="1">
        <v>45365</v>
      </c>
      <c r="E963" t="s">
        <v>65</v>
      </c>
      <c r="F963" t="s">
        <v>146</v>
      </c>
      <c r="G963" t="s">
        <v>78</v>
      </c>
      <c r="H963" t="s">
        <v>114</v>
      </c>
      <c r="I963" t="s">
        <v>4171</v>
      </c>
      <c r="J963" t="s">
        <v>38</v>
      </c>
      <c r="K963" t="s">
        <v>55</v>
      </c>
      <c r="L963" t="s">
        <v>4172</v>
      </c>
      <c r="M963">
        <v>486.45</v>
      </c>
      <c r="N963">
        <v>45</v>
      </c>
      <c r="O963" t="s">
        <v>3608</v>
      </c>
      <c r="P963" t="s">
        <v>58</v>
      </c>
      <c r="Q963" t="s">
        <v>562</v>
      </c>
      <c r="R963" t="s">
        <v>86</v>
      </c>
      <c r="S963" t="s">
        <v>126</v>
      </c>
      <c r="T963" t="s">
        <v>627</v>
      </c>
      <c r="U963">
        <v>3028</v>
      </c>
      <c r="V963">
        <v>66</v>
      </c>
      <c r="W963">
        <v>8</v>
      </c>
      <c r="X963">
        <v>619.6</v>
      </c>
      <c r="Y963">
        <v>378.57</v>
      </c>
      <c r="Z963">
        <v>998.17000000000007</v>
      </c>
      <c r="AA963" t="s">
        <v>62</v>
      </c>
      <c r="AB963">
        <v>0</v>
      </c>
      <c r="AC963">
        <v>93.07</v>
      </c>
      <c r="AD963">
        <v>274</v>
      </c>
      <c r="AE963">
        <v>313</v>
      </c>
    </row>
    <row r="964" spans="1:31" x14ac:dyDescent="0.25">
      <c r="A964" t="s">
        <v>4173</v>
      </c>
      <c r="B964" t="s">
        <v>4174</v>
      </c>
      <c r="C964" s="1">
        <v>45029</v>
      </c>
      <c r="D964" s="1">
        <v>44575</v>
      </c>
      <c r="E964" t="s">
        <v>65</v>
      </c>
      <c r="F964" t="s">
        <v>51</v>
      </c>
      <c r="G964" t="s">
        <v>52</v>
      </c>
      <c r="H964" t="s">
        <v>221</v>
      </c>
      <c r="I964" t="s">
        <v>4175</v>
      </c>
      <c r="J964" t="s">
        <v>38</v>
      </c>
      <c r="K964" t="s">
        <v>55</v>
      </c>
      <c r="L964" t="s">
        <v>4176</v>
      </c>
      <c r="M964">
        <v>315.58</v>
      </c>
      <c r="N964">
        <v>16</v>
      </c>
      <c r="O964" t="s">
        <v>3959</v>
      </c>
      <c r="P964" t="s">
        <v>84</v>
      </c>
      <c r="Q964" t="s">
        <v>708</v>
      </c>
      <c r="R964" t="s">
        <v>86</v>
      </c>
      <c r="S964" t="s">
        <v>98</v>
      </c>
      <c r="T964" t="s">
        <v>302</v>
      </c>
      <c r="U964">
        <v>3568</v>
      </c>
      <c r="V964">
        <v>391</v>
      </c>
      <c r="W964">
        <v>29</v>
      </c>
      <c r="X964">
        <v>1081.3399999999999</v>
      </c>
      <c r="Y964">
        <v>288.02999999999997</v>
      </c>
      <c r="Z964">
        <v>1369.37</v>
      </c>
      <c r="AA964" t="s">
        <v>62</v>
      </c>
      <c r="AB964">
        <v>0</v>
      </c>
      <c r="AC964">
        <v>98.73</v>
      </c>
      <c r="AD964">
        <v>362</v>
      </c>
      <c r="AE964">
        <v>369</v>
      </c>
    </row>
    <row r="965" spans="1:31" x14ac:dyDescent="0.25">
      <c r="A965" t="s">
        <v>4177</v>
      </c>
      <c r="B965" t="s">
        <v>4178</v>
      </c>
      <c r="C965" s="1">
        <v>45419</v>
      </c>
      <c r="D965" s="1">
        <v>44621</v>
      </c>
      <c r="E965" t="s">
        <v>50</v>
      </c>
      <c r="F965" t="s">
        <v>77</v>
      </c>
      <c r="G965" t="s">
        <v>343</v>
      </c>
      <c r="H965" t="s">
        <v>79</v>
      </c>
      <c r="I965" t="s">
        <v>4179</v>
      </c>
      <c r="J965" t="s">
        <v>38</v>
      </c>
      <c r="K965" t="s">
        <v>55</v>
      </c>
      <c r="L965" t="s">
        <v>4180</v>
      </c>
      <c r="M965">
        <v>424.23</v>
      </c>
      <c r="N965">
        <v>17</v>
      </c>
      <c r="O965" t="s">
        <v>637</v>
      </c>
      <c r="P965" t="s">
        <v>84</v>
      </c>
      <c r="Q965" t="s">
        <v>142</v>
      </c>
      <c r="R965" t="s">
        <v>152</v>
      </c>
      <c r="S965" t="s">
        <v>87</v>
      </c>
      <c r="T965" t="s">
        <v>627</v>
      </c>
      <c r="U965">
        <v>3716</v>
      </c>
      <c r="V965">
        <v>435</v>
      </c>
      <c r="W965">
        <v>8</v>
      </c>
      <c r="X965">
        <v>1809.97</v>
      </c>
      <c r="Y965">
        <v>388.51</v>
      </c>
      <c r="Z965">
        <v>2198.48</v>
      </c>
      <c r="AA965" t="s">
        <v>62</v>
      </c>
      <c r="AB965">
        <v>0</v>
      </c>
      <c r="AC965">
        <v>88.2</v>
      </c>
      <c r="AD965">
        <v>244</v>
      </c>
      <c r="AE965">
        <v>252</v>
      </c>
    </row>
    <row r="966" spans="1:31" x14ac:dyDescent="0.25">
      <c r="A966" t="s">
        <v>4181</v>
      </c>
      <c r="B966" t="s">
        <v>4182</v>
      </c>
      <c r="C966" s="1">
        <v>44057</v>
      </c>
      <c r="D966" s="1">
        <v>44398</v>
      </c>
      <c r="E966" t="s">
        <v>65</v>
      </c>
      <c r="F966" t="s">
        <v>77</v>
      </c>
      <c r="G966" t="s">
        <v>102</v>
      </c>
      <c r="H966" t="s">
        <v>114</v>
      </c>
      <c r="I966" t="s">
        <v>356</v>
      </c>
      <c r="J966" t="s">
        <v>38</v>
      </c>
      <c r="K966" t="s">
        <v>263</v>
      </c>
      <c r="L966" t="s">
        <v>357</v>
      </c>
      <c r="M966">
        <v>453.46</v>
      </c>
      <c r="N966">
        <v>95</v>
      </c>
      <c r="O966" t="s">
        <v>1652</v>
      </c>
      <c r="P966" t="s">
        <v>42</v>
      </c>
      <c r="Q966" t="s">
        <v>532</v>
      </c>
      <c r="R966" t="s">
        <v>60</v>
      </c>
      <c r="S966" t="s">
        <v>98</v>
      </c>
      <c r="T966" t="s">
        <v>533</v>
      </c>
      <c r="U966">
        <v>1391</v>
      </c>
      <c r="V966">
        <v>319</v>
      </c>
      <c r="W966">
        <v>22</v>
      </c>
      <c r="X966">
        <v>991.92</v>
      </c>
      <c r="Y966">
        <v>489.05</v>
      </c>
      <c r="Z966">
        <v>1480.97</v>
      </c>
      <c r="AA966" t="s">
        <v>62</v>
      </c>
      <c r="AB966">
        <v>0</v>
      </c>
      <c r="AC966">
        <v>76.77</v>
      </c>
      <c r="AD966">
        <v>237</v>
      </c>
      <c r="AE966">
        <v>260</v>
      </c>
    </row>
    <row r="967" spans="1:31" x14ac:dyDescent="0.25">
      <c r="A967" t="s">
        <v>4183</v>
      </c>
      <c r="B967" t="s">
        <v>4184</v>
      </c>
      <c r="C967" s="1">
        <v>44063</v>
      </c>
      <c r="D967" s="1">
        <v>45215</v>
      </c>
      <c r="E967" t="s">
        <v>65</v>
      </c>
      <c r="F967" t="s">
        <v>91</v>
      </c>
      <c r="G967" t="s">
        <v>113</v>
      </c>
      <c r="H967" t="s">
        <v>221</v>
      </c>
      <c r="I967" t="s">
        <v>4185</v>
      </c>
      <c r="J967" t="s">
        <v>38</v>
      </c>
      <c r="K967" t="s">
        <v>263</v>
      </c>
      <c r="L967" t="s">
        <v>4186</v>
      </c>
      <c r="M967">
        <v>323.27</v>
      </c>
      <c r="N967">
        <v>40</v>
      </c>
      <c r="O967" t="s">
        <v>1751</v>
      </c>
      <c r="P967" t="s">
        <v>42</v>
      </c>
      <c r="Q967" t="s">
        <v>1244</v>
      </c>
      <c r="R967" t="s">
        <v>152</v>
      </c>
      <c r="S967" t="s">
        <v>98</v>
      </c>
      <c r="T967" t="s">
        <v>1294</v>
      </c>
      <c r="U967">
        <v>39</v>
      </c>
      <c r="V967">
        <v>96</v>
      </c>
      <c r="W967">
        <v>6</v>
      </c>
      <c r="X967">
        <v>1411.31</v>
      </c>
      <c r="Y967">
        <v>196.01</v>
      </c>
      <c r="Z967">
        <v>1607.32</v>
      </c>
      <c r="AA967" t="s">
        <v>62</v>
      </c>
      <c r="AB967">
        <v>0</v>
      </c>
      <c r="AC967">
        <v>94.09</v>
      </c>
      <c r="AD967">
        <v>359</v>
      </c>
      <c r="AE967">
        <v>367</v>
      </c>
    </row>
    <row r="968" spans="1:31" x14ac:dyDescent="0.25">
      <c r="A968" t="s">
        <v>4187</v>
      </c>
      <c r="B968" t="s">
        <v>4188</v>
      </c>
      <c r="C968" s="1">
        <v>44911</v>
      </c>
      <c r="D968" s="1">
        <v>44681</v>
      </c>
      <c r="E968" t="s">
        <v>65</v>
      </c>
      <c r="F968" t="s">
        <v>51</v>
      </c>
      <c r="G968" t="s">
        <v>92</v>
      </c>
      <c r="H968" t="s">
        <v>114</v>
      </c>
      <c r="I968" t="s">
        <v>3701</v>
      </c>
      <c r="J968" t="s">
        <v>38</v>
      </c>
      <c r="K968" t="s">
        <v>138</v>
      </c>
      <c r="L968" t="s">
        <v>3702</v>
      </c>
      <c r="M968">
        <v>458.37</v>
      </c>
      <c r="N968">
        <v>92</v>
      </c>
      <c r="O968" t="s">
        <v>1062</v>
      </c>
      <c r="P968" t="s">
        <v>84</v>
      </c>
      <c r="Q968" t="s">
        <v>159</v>
      </c>
      <c r="R968" t="s">
        <v>152</v>
      </c>
      <c r="S968" t="s">
        <v>73</v>
      </c>
      <c r="T968" t="s">
        <v>267</v>
      </c>
      <c r="U968">
        <v>4666</v>
      </c>
      <c r="V968">
        <v>139</v>
      </c>
      <c r="W968">
        <v>18</v>
      </c>
      <c r="X968">
        <v>614.35</v>
      </c>
      <c r="Y968">
        <v>150.32</v>
      </c>
      <c r="Z968">
        <v>764.67000000000007</v>
      </c>
      <c r="AA968" t="s">
        <v>62</v>
      </c>
      <c r="AB968">
        <v>0</v>
      </c>
      <c r="AC968">
        <v>93.31</v>
      </c>
      <c r="AD968">
        <v>434</v>
      </c>
      <c r="AE968">
        <v>476</v>
      </c>
    </row>
    <row r="969" spans="1:31" x14ac:dyDescent="0.25">
      <c r="A969" t="s">
        <v>4189</v>
      </c>
      <c r="B969" t="s">
        <v>4190</v>
      </c>
      <c r="C969" s="1">
        <v>44025</v>
      </c>
      <c r="D969" s="1">
        <v>45239</v>
      </c>
      <c r="E969" t="s">
        <v>50</v>
      </c>
      <c r="F969" t="s">
        <v>77</v>
      </c>
      <c r="G969" t="s">
        <v>343</v>
      </c>
      <c r="H969" t="s">
        <v>147</v>
      </c>
      <c r="I969" t="s">
        <v>4191</v>
      </c>
      <c r="J969" t="s">
        <v>38</v>
      </c>
      <c r="K969" t="s">
        <v>39</v>
      </c>
      <c r="L969" t="s">
        <v>4192</v>
      </c>
      <c r="M969">
        <v>26.12</v>
      </c>
      <c r="N969">
        <v>18</v>
      </c>
      <c r="O969" t="s">
        <v>1444</v>
      </c>
      <c r="P969" t="s">
        <v>58</v>
      </c>
      <c r="Q969" t="s">
        <v>613</v>
      </c>
      <c r="R969" t="s">
        <v>60</v>
      </c>
      <c r="S969" t="s">
        <v>87</v>
      </c>
      <c r="T969" t="s">
        <v>278</v>
      </c>
      <c r="U969">
        <v>3538</v>
      </c>
      <c r="V969">
        <v>286</v>
      </c>
      <c r="W969">
        <v>26</v>
      </c>
      <c r="X969">
        <v>1578.39</v>
      </c>
      <c r="Y969">
        <v>224.91</v>
      </c>
      <c r="Z969">
        <v>1803.3</v>
      </c>
      <c r="AA969" t="s">
        <v>62</v>
      </c>
      <c r="AB969">
        <v>0</v>
      </c>
      <c r="AC969">
        <v>77.09</v>
      </c>
      <c r="AD969">
        <v>143</v>
      </c>
      <c r="AE969">
        <v>184</v>
      </c>
    </row>
    <row r="970" spans="1:31" x14ac:dyDescent="0.25">
      <c r="A970" t="s">
        <v>4193</v>
      </c>
      <c r="B970" t="s">
        <v>4194</v>
      </c>
      <c r="C970" s="1">
        <v>44166</v>
      </c>
      <c r="D970" s="1">
        <v>45432</v>
      </c>
      <c r="E970" t="s">
        <v>50</v>
      </c>
      <c r="F970" t="s">
        <v>91</v>
      </c>
      <c r="G970" t="s">
        <v>113</v>
      </c>
      <c r="H970" t="s">
        <v>67</v>
      </c>
      <c r="I970" t="s">
        <v>4195</v>
      </c>
      <c r="J970" t="s">
        <v>38</v>
      </c>
      <c r="K970" t="s">
        <v>39</v>
      </c>
      <c r="L970" t="s">
        <v>4196</v>
      </c>
      <c r="M970">
        <v>440.62</v>
      </c>
      <c r="N970">
        <v>80</v>
      </c>
      <c r="O970" t="s">
        <v>4197</v>
      </c>
      <c r="P970" t="s">
        <v>108</v>
      </c>
      <c r="Q970" t="s">
        <v>980</v>
      </c>
      <c r="R970" t="s">
        <v>44</v>
      </c>
      <c r="S970" t="s">
        <v>87</v>
      </c>
      <c r="T970" t="s">
        <v>177</v>
      </c>
      <c r="U970">
        <v>2424</v>
      </c>
      <c r="V970">
        <v>447</v>
      </c>
      <c r="W970">
        <v>13</v>
      </c>
      <c r="X970">
        <v>557.80999999999995</v>
      </c>
      <c r="Y970">
        <v>270.37</v>
      </c>
      <c r="Z970">
        <v>828.18</v>
      </c>
      <c r="AA970" t="s">
        <v>62</v>
      </c>
      <c r="AB970">
        <v>0</v>
      </c>
      <c r="AC970">
        <v>95.36</v>
      </c>
      <c r="AD970">
        <v>336</v>
      </c>
      <c r="AE970">
        <v>355</v>
      </c>
    </row>
    <row r="971" spans="1:31" x14ac:dyDescent="0.25">
      <c r="A971" t="s">
        <v>4198</v>
      </c>
      <c r="B971" t="s">
        <v>4199</v>
      </c>
      <c r="C971" s="1">
        <v>45531</v>
      </c>
      <c r="D971" s="1">
        <v>44153</v>
      </c>
      <c r="E971" t="s">
        <v>65</v>
      </c>
      <c r="F971" t="s">
        <v>77</v>
      </c>
      <c r="G971" t="s">
        <v>113</v>
      </c>
      <c r="H971" t="s">
        <v>36</v>
      </c>
      <c r="I971" t="s">
        <v>4200</v>
      </c>
      <c r="J971" t="s">
        <v>38</v>
      </c>
      <c r="K971" t="s">
        <v>81</v>
      </c>
      <c r="L971" t="s">
        <v>4201</v>
      </c>
      <c r="M971">
        <v>327.51</v>
      </c>
      <c r="N971">
        <v>28</v>
      </c>
      <c r="O971" t="s">
        <v>4202</v>
      </c>
      <c r="P971" t="s">
        <v>141</v>
      </c>
      <c r="Q971" t="s">
        <v>245</v>
      </c>
      <c r="R971" t="s">
        <v>86</v>
      </c>
      <c r="S971" t="s">
        <v>87</v>
      </c>
      <c r="T971" t="s">
        <v>239</v>
      </c>
      <c r="U971">
        <v>1838</v>
      </c>
      <c r="V971">
        <v>168</v>
      </c>
      <c r="W971">
        <v>23</v>
      </c>
      <c r="X971">
        <v>1441.82</v>
      </c>
      <c r="Y971">
        <v>497.29</v>
      </c>
      <c r="Z971">
        <v>1939.11</v>
      </c>
      <c r="AA971" t="s">
        <v>62</v>
      </c>
      <c r="AB971">
        <v>0</v>
      </c>
      <c r="AC971">
        <v>73.22</v>
      </c>
      <c r="AD971">
        <v>157</v>
      </c>
      <c r="AE971">
        <v>121</v>
      </c>
    </row>
    <row r="972" spans="1:31" x14ac:dyDescent="0.25">
      <c r="A972" t="s">
        <v>4203</v>
      </c>
      <c r="B972" t="s">
        <v>1788</v>
      </c>
      <c r="C972" s="1">
        <v>43921</v>
      </c>
      <c r="D972" s="1">
        <v>44675</v>
      </c>
      <c r="E972" t="s">
        <v>65</v>
      </c>
      <c r="F972" t="s">
        <v>51</v>
      </c>
      <c r="G972" t="s">
        <v>343</v>
      </c>
      <c r="H972" t="s">
        <v>221</v>
      </c>
      <c r="I972" t="s">
        <v>4204</v>
      </c>
      <c r="J972" t="s">
        <v>165</v>
      </c>
      <c r="K972" t="s">
        <v>202</v>
      </c>
      <c r="L972" t="s">
        <v>4205</v>
      </c>
      <c r="M972">
        <v>229.11</v>
      </c>
      <c r="N972">
        <v>71</v>
      </c>
      <c r="O972" t="s">
        <v>1733</v>
      </c>
      <c r="P972" t="s">
        <v>58</v>
      </c>
      <c r="Q972" t="s">
        <v>353</v>
      </c>
      <c r="R972" t="s">
        <v>60</v>
      </c>
      <c r="S972" t="s">
        <v>87</v>
      </c>
      <c r="T972" t="s">
        <v>302</v>
      </c>
      <c r="U972">
        <v>1724</v>
      </c>
      <c r="V972">
        <v>127</v>
      </c>
      <c r="W972">
        <v>12</v>
      </c>
      <c r="X972">
        <v>475.86</v>
      </c>
      <c r="Y972">
        <v>394.94</v>
      </c>
      <c r="Z972">
        <v>870.8</v>
      </c>
      <c r="AA972" t="s">
        <v>62</v>
      </c>
      <c r="AB972">
        <v>0</v>
      </c>
      <c r="AC972">
        <v>92.79</v>
      </c>
      <c r="AD972">
        <v>470</v>
      </c>
      <c r="AE972">
        <v>470</v>
      </c>
    </row>
    <row r="973" spans="1:31" x14ac:dyDescent="0.25">
      <c r="A973" t="s">
        <v>4206</v>
      </c>
      <c r="B973" t="s">
        <v>4207</v>
      </c>
      <c r="C973" s="1">
        <v>45232</v>
      </c>
      <c r="D973" s="1">
        <v>45666</v>
      </c>
      <c r="E973" t="s">
        <v>65</v>
      </c>
      <c r="F973" t="s">
        <v>51</v>
      </c>
      <c r="G973" t="s">
        <v>66</v>
      </c>
      <c r="H973" t="s">
        <v>79</v>
      </c>
      <c r="I973" t="s">
        <v>3330</v>
      </c>
      <c r="J973" t="s">
        <v>165</v>
      </c>
      <c r="K973" t="s">
        <v>166</v>
      </c>
      <c r="L973" t="s">
        <v>3331</v>
      </c>
      <c r="M973">
        <v>11.67</v>
      </c>
      <c r="N973">
        <v>28</v>
      </c>
      <c r="O973" t="s">
        <v>1380</v>
      </c>
      <c r="P973" t="s">
        <v>58</v>
      </c>
      <c r="Q973" t="s">
        <v>377</v>
      </c>
      <c r="R973" t="s">
        <v>60</v>
      </c>
      <c r="S973" t="s">
        <v>45</v>
      </c>
      <c r="T973" t="s">
        <v>644</v>
      </c>
      <c r="U973">
        <v>2044</v>
      </c>
      <c r="V973">
        <v>263</v>
      </c>
      <c r="W973">
        <v>5</v>
      </c>
      <c r="X973">
        <v>1458.73</v>
      </c>
      <c r="Y973">
        <v>80.63</v>
      </c>
      <c r="Z973">
        <v>1539.36</v>
      </c>
      <c r="AA973" t="s">
        <v>62</v>
      </c>
      <c r="AB973">
        <v>0</v>
      </c>
      <c r="AC973">
        <v>98.89</v>
      </c>
      <c r="AD973">
        <v>299</v>
      </c>
      <c r="AE973">
        <v>338</v>
      </c>
    </row>
    <row r="974" spans="1:31" x14ac:dyDescent="0.25">
      <c r="A974" t="s">
        <v>4208</v>
      </c>
      <c r="B974" t="s">
        <v>4209</v>
      </c>
      <c r="C974" s="1">
        <v>45339</v>
      </c>
      <c r="D974" s="1">
        <v>43874</v>
      </c>
      <c r="E974" t="s">
        <v>65</v>
      </c>
      <c r="F974" t="s">
        <v>146</v>
      </c>
      <c r="G974" t="s">
        <v>78</v>
      </c>
      <c r="H974" t="s">
        <v>36</v>
      </c>
      <c r="I974" t="s">
        <v>3088</v>
      </c>
      <c r="J974" t="s">
        <v>104</v>
      </c>
      <c r="K974" t="s">
        <v>181</v>
      </c>
      <c r="L974" t="s">
        <v>3089</v>
      </c>
      <c r="M974">
        <v>230.77</v>
      </c>
      <c r="N974">
        <v>45</v>
      </c>
      <c r="O974" t="s">
        <v>1839</v>
      </c>
      <c r="P974" t="s">
        <v>108</v>
      </c>
      <c r="Q974" t="s">
        <v>191</v>
      </c>
      <c r="R974" t="s">
        <v>44</v>
      </c>
      <c r="S974" t="s">
        <v>87</v>
      </c>
      <c r="T974" t="s">
        <v>160</v>
      </c>
      <c r="U974">
        <v>347</v>
      </c>
      <c r="V974">
        <v>340</v>
      </c>
      <c r="W974">
        <v>20</v>
      </c>
      <c r="X974">
        <v>1143.96</v>
      </c>
      <c r="Y974">
        <v>214.44</v>
      </c>
      <c r="Z974">
        <v>1358.4</v>
      </c>
      <c r="AA974" t="s">
        <v>62</v>
      </c>
      <c r="AB974">
        <v>0</v>
      </c>
      <c r="AC974">
        <v>82.32</v>
      </c>
      <c r="AD974">
        <v>351</v>
      </c>
      <c r="AE974">
        <v>352</v>
      </c>
    </row>
    <row r="975" spans="1:31" x14ac:dyDescent="0.25">
      <c r="A975" t="s">
        <v>4210</v>
      </c>
      <c r="B975" t="s">
        <v>4211</v>
      </c>
      <c r="C975" s="1">
        <v>44687</v>
      </c>
      <c r="D975" s="1">
        <v>45026</v>
      </c>
      <c r="E975" t="s">
        <v>50</v>
      </c>
      <c r="F975" t="s">
        <v>91</v>
      </c>
      <c r="G975" t="s">
        <v>78</v>
      </c>
      <c r="H975" t="s">
        <v>79</v>
      </c>
      <c r="I975" t="s">
        <v>4212</v>
      </c>
      <c r="J975" t="s">
        <v>38</v>
      </c>
      <c r="K975" t="s">
        <v>94</v>
      </c>
      <c r="L975" t="s">
        <v>4213</v>
      </c>
      <c r="M975">
        <v>312.83999999999997</v>
      </c>
      <c r="N975">
        <v>40</v>
      </c>
      <c r="O975" t="s">
        <v>1618</v>
      </c>
      <c r="P975" t="s">
        <v>141</v>
      </c>
      <c r="Q975" t="s">
        <v>708</v>
      </c>
      <c r="R975" t="s">
        <v>44</v>
      </c>
      <c r="S975" t="s">
        <v>73</v>
      </c>
      <c r="T975" t="s">
        <v>127</v>
      </c>
      <c r="U975">
        <v>3307</v>
      </c>
      <c r="V975">
        <v>55</v>
      </c>
      <c r="W975">
        <v>10</v>
      </c>
      <c r="X975">
        <v>666</v>
      </c>
      <c r="Y975">
        <v>331.79</v>
      </c>
      <c r="Z975">
        <v>997.79</v>
      </c>
      <c r="AA975" t="s">
        <v>47</v>
      </c>
      <c r="AB975">
        <v>7</v>
      </c>
      <c r="AC975">
        <v>74.849999999999994</v>
      </c>
      <c r="AD975">
        <v>457</v>
      </c>
      <c r="AE975">
        <v>482</v>
      </c>
    </row>
    <row r="976" spans="1:31" x14ac:dyDescent="0.25">
      <c r="A976" t="s">
        <v>4214</v>
      </c>
      <c r="B976" t="s">
        <v>4215</v>
      </c>
      <c r="C976" s="1">
        <v>45110</v>
      </c>
      <c r="D976" s="1">
        <v>44753</v>
      </c>
      <c r="E976" t="s">
        <v>65</v>
      </c>
      <c r="F976" t="s">
        <v>77</v>
      </c>
      <c r="G976" t="s">
        <v>343</v>
      </c>
      <c r="H976" t="s">
        <v>147</v>
      </c>
      <c r="I976" t="s">
        <v>4216</v>
      </c>
      <c r="J976" t="s">
        <v>38</v>
      </c>
      <c r="K976" t="s">
        <v>39</v>
      </c>
      <c r="L976" t="s">
        <v>4217</v>
      </c>
      <c r="M976">
        <v>471.47</v>
      </c>
      <c r="N976">
        <v>86</v>
      </c>
      <c r="O976" t="s">
        <v>307</v>
      </c>
      <c r="P976" t="s">
        <v>108</v>
      </c>
      <c r="Q976" t="s">
        <v>702</v>
      </c>
      <c r="R976" t="s">
        <v>86</v>
      </c>
      <c r="S976" t="s">
        <v>126</v>
      </c>
      <c r="T976" t="s">
        <v>198</v>
      </c>
      <c r="U976">
        <v>320</v>
      </c>
      <c r="V976">
        <v>270</v>
      </c>
      <c r="W976">
        <v>6</v>
      </c>
      <c r="X976">
        <v>673.62</v>
      </c>
      <c r="Y976">
        <v>14.76</v>
      </c>
      <c r="Z976">
        <v>688.38</v>
      </c>
      <c r="AA976" t="s">
        <v>62</v>
      </c>
      <c r="AB976">
        <v>0</v>
      </c>
      <c r="AC976">
        <v>91.75</v>
      </c>
      <c r="AD976">
        <v>387</v>
      </c>
      <c r="AE976">
        <v>340</v>
      </c>
    </row>
    <row r="977" spans="1:31" x14ac:dyDescent="0.25">
      <c r="A977" t="s">
        <v>4218</v>
      </c>
      <c r="B977" t="s">
        <v>4219</v>
      </c>
      <c r="C977" s="1">
        <v>45244</v>
      </c>
      <c r="D977" s="1">
        <v>43981</v>
      </c>
      <c r="E977" t="s">
        <v>50</v>
      </c>
      <c r="F977" t="s">
        <v>91</v>
      </c>
      <c r="G977" t="s">
        <v>66</v>
      </c>
      <c r="H977" t="s">
        <v>36</v>
      </c>
      <c r="I977" t="s">
        <v>4220</v>
      </c>
      <c r="J977" t="s">
        <v>38</v>
      </c>
      <c r="K977" t="s">
        <v>39</v>
      </c>
      <c r="L977" t="s">
        <v>4221</v>
      </c>
      <c r="M977">
        <v>284.10000000000002</v>
      </c>
      <c r="N977">
        <v>24</v>
      </c>
      <c r="O977" t="s">
        <v>388</v>
      </c>
      <c r="P977" t="s">
        <v>42</v>
      </c>
      <c r="Q977" t="s">
        <v>191</v>
      </c>
      <c r="R977" t="s">
        <v>152</v>
      </c>
      <c r="S977" t="s">
        <v>73</v>
      </c>
      <c r="T977" t="s">
        <v>239</v>
      </c>
      <c r="U977">
        <v>4478</v>
      </c>
      <c r="V977">
        <v>103</v>
      </c>
      <c r="W977">
        <v>20</v>
      </c>
      <c r="X977">
        <v>1798.88</v>
      </c>
      <c r="Y977">
        <v>56.79</v>
      </c>
      <c r="Z977">
        <v>1855.67</v>
      </c>
      <c r="AA977" t="s">
        <v>62</v>
      </c>
      <c r="AB977">
        <v>0</v>
      </c>
      <c r="AC977">
        <v>73.41</v>
      </c>
      <c r="AD977">
        <v>421</v>
      </c>
      <c r="AE977">
        <v>386</v>
      </c>
    </row>
    <row r="978" spans="1:31" x14ac:dyDescent="0.25">
      <c r="A978" t="s">
        <v>4222</v>
      </c>
      <c r="B978" t="s">
        <v>4223</v>
      </c>
      <c r="C978" s="1">
        <v>44091</v>
      </c>
      <c r="D978" s="1">
        <v>44347</v>
      </c>
      <c r="E978" t="s">
        <v>65</v>
      </c>
      <c r="F978" t="s">
        <v>146</v>
      </c>
      <c r="G978" t="s">
        <v>102</v>
      </c>
      <c r="H978" t="s">
        <v>221</v>
      </c>
      <c r="I978" t="s">
        <v>1428</v>
      </c>
      <c r="J978" t="s">
        <v>165</v>
      </c>
      <c r="K978" t="s">
        <v>202</v>
      </c>
      <c r="L978" t="s">
        <v>1429</v>
      </c>
      <c r="M978">
        <v>6.71</v>
      </c>
      <c r="N978">
        <v>97</v>
      </c>
      <c r="O978" t="s">
        <v>2926</v>
      </c>
      <c r="P978" t="s">
        <v>58</v>
      </c>
      <c r="Q978" t="s">
        <v>320</v>
      </c>
      <c r="R978" t="s">
        <v>86</v>
      </c>
      <c r="S978" t="s">
        <v>73</v>
      </c>
      <c r="T978" t="s">
        <v>545</v>
      </c>
      <c r="U978">
        <v>1903</v>
      </c>
      <c r="V978">
        <v>415</v>
      </c>
      <c r="W978">
        <v>15</v>
      </c>
      <c r="X978">
        <v>350.1</v>
      </c>
      <c r="Y978">
        <v>53.31</v>
      </c>
      <c r="Z978">
        <v>403.41</v>
      </c>
      <c r="AA978" t="s">
        <v>62</v>
      </c>
      <c r="AB978">
        <v>0</v>
      </c>
      <c r="AC978">
        <v>83.77</v>
      </c>
      <c r="AD978">
        <v>223</v>
      </c>
      <c r="AE978">
        <v>182</v>
      </c>
    </row>
    <row r="979" spans="1:31" x14ac:dyDescent="0.25">
      <c r="A979" t="s">
        <v>4224</v>
      </c>
      <c r="B979" t="s">
        <v>4225</v>
      </c>
      <c r="C979" s="1">
        <v>45470</v>
      </c>
      <c r="D979" s="1">
        <v>45209</v>
      </c>
      <c r="E979" t="s">
        <v>65</v>
      </c>
      <c r="F979" t="s">
        <v>91</v>
      </c>
      <c r="G979" t="s">
        <v>343</v>
      </c>
      <c r="H979" t="s">
        <v>221</v>
      </c>
      <c r="I979" t="s">
        <v>2351</v>
      </c>
      <c r="J979" t="s">
        <v>165</v>
      </c>
      <c r="K979" t="s">
        <v>202</v>
      </c>
      <c r="L979" t="s">
        <v>2352</v>
      </c>
      <c r="M979">
        <v>186.95</v>
      </c>
      <c r="N979">
        <v>70</v>
      </c>
      <c r="O979" t="s">
        <v>4226</v>
      </c>
      <c r="P979" t="s">
        <v>58</v>
      </c>
      <c r="Q979" t="s">
        <v>425</v>
      </c>
      <c r="R979" t="s">
        <v>86</v>
      </c>
      <c r="S979" t="s">
        <v>98</v>
      </c>
      <c r="T979" t="s">
        <v>916</v>
      </c>
      <c r="U979">
        <v>3244</v>
      </c>
      <c r="V979">
        <v>308</v>
      </c>
      <c r="W979">
        <v>18</v>
      </c>
      <c r="X979">
        <v>1536.57</v>
      </c>
      <c r="Y979">
        <v>369.75</v>
      </c>
      <c r="Z979">
        <v>1906.32</v>
      </c>
      <c r="AA979" t="s">
        <v>62</v>
      </c>
      <c r="AB979">
        <v>0</v>
      </c>
      <c r="AC979">
        <v>70.959999999999994</v>
      </c>
      <c r="AD979">
        <v>119</v>
      </c>
      <c r="AE979">
        <v>74</v>
      </c>
    </row>
    <row r="980" spans="1:31" x14ac:dyDescent="0.25">
      <c r="A980" t="s">
        <v>4227</v>
      </c>
      <c r="B980" t="s">
        <v>4228</v>
      </c>
      <c r="C980" s="1">
        <v>45206</v>
      </c>
      <c r="D980" s="1">
        <v>44785</v>
      </c>
      <c r="E980" t="s">
        <v>50</v>
      </c>
      <c r="F980" t="s">
        <v>91</v>
      </c>
      <c r="G980" t="s">
        <v>343</v>
      </c>
      <c r="H980" t="s">
        <v>114</v>
      </c>
      <c r="I980" t="s">
        <v>4229</v>
      </c>
      <c r="J980" t="s">
        <v>104</v>
      </c>
      <c r="K980" t="s">
        <v>181</v>
      </c>
      <c r="L980" t="s">
        <v>4230</v>
      </c>
      <c r="M980">
        <v>283.79000000000002</v>
      </c>
      <c r="N980">
        <v>26</v>
      </c>
      <c r="O980" t="s">
        <v>3219</v>
      </c>
      <c r="P980" t="s">
        <v>58</v>
      </c>
      <c r="Q980" t="s">
        <v>191</v>
      </c>
      <c r="R980" t="s">
        <v>44</v>
      </c>
      <c r="S980" t="s">
        <v>98</v>
      </c>
      <c r="T980" t="s">
        <v>198</v>
      </c>
      <c r="U980">
        <v>38</v>
      </c>
      <c r="V980">
        <v>312</v>
      </c>
      <c r="W980">
        <v>16</v>
      </c>
      <c r="X980">
        <v>691.22</v>
      </c>
      <c r="Y980">
        <v>126.48</v>
      </c>
      <c r="Z980">
        <v>817.7</v>
      </c>
      <c r="AA980" t="s">
        <v>62</v>
      </c>
      <c r="AB980">
        <v>0</v>
      </c>
      <c r="AC980">
        <v>92.3</v>
      </c>
      <c r="AD980">
        <v>278</v>
      </c>
      <c r="AE980">
        <v>313</v>
      </c>
    </row>
    <row r="981" spans="1:31" x14ac:dyDescent="0.25">
      <c r="A981" t="s">
        <v>4231</v>
      </c>
      <c r="B981" t="s">
        <v>4232</v>
      </c>
      <c r="C981" s="1">
        <v>43899</v>
      </c>
      <c r="D981" s="1">
        <v>45184</v>
      </c>
      <c r="E981" t="s">
        <v>65</v>
      </c>
      <c r="F981" t="s">
        <v>34</v>
      </c>
      <c r="G981" t="s">
        <v>52</v>
      </c>
      <c r="H981" t="s">
        <v>53</v>
      </c>
      <c r="I981" t="s">
        <v>4233</v>
      </c>
      <c r="J981" t="s">
        <v>104</v>
      </c>
      <c r="K981" t="s">
        <v>554</v>
      </c>
      <c r="L981" t="s">
        <v>4234</v>
      </c>
      <c r="M981">
        <v>43.46</v>
      </c>
      <c r="N981">
        <v>34</v>
      </c>
      <c r="O981" t="s">
        <v>4235</v>
      </c>
      <c r="P981" t="s">
        <v>141</v>
      </c>
      <c r="Q981" t="s">
        <v>72</v>
      </c>
      <c r="R981" t="s">
        <v>44</v>
      </c>
      <c r="S981" t="s">
        <v>73</v>
      </c>
      <c r="T981" t="s">
        <v>1004</v>
      </c>
      <c r="U981">
        <v>2810</v>
      </c>
      <c r="V981">
        <v>129</v>
      </c>
      <c r="W981">
        <v>12</v>
      </c>
      <c r="X981">
        <v>1123.33</v>
      </c>
      <c r="Y981">
        <v>466.03</v>
      </c>
      <c r="Z981">
        <v>1589.36</v>
      </c>
      <c r="AA981" t="s">
        <v>62</v>
      </c>
      <c r="AB981">
        <v>0</v>
      </c>
      <c r="AC981">
        <v>92.98</v>
      </c>
      <c r="AD981">
        <v>137</v>
      </c>
      <c r="AE981">
        <v>142</v>
      </c>
    </row>
    <row r="982" spans="1:31" x14ac:dyDescent="0.25">
      <c r="A982" t="s">
        <v>4236</v>
      </c>
      <c r="B982" t="s">
        <v>4237</v>
      </c>
      <c r="C982" s="1">
        <v>44647</v>
      </c>
      <c r="D982" s="1">
        <v>43887</v>
      </c>
      <c r="E982" t="s">
        <v>65</v>
      </c>
      <c r="F982" t="s">
        <v>146</v>
      </c>
      <c r="G982" t="s">
        <v>92</v>
      </c>
      <c r="H982" t="s">
        <v>53</v>
      </c>
      <c r="I982" t="s">
        <v>3000</v>
      </c>
      <c r="J982" t="s">
        <v>38</v>
      </c>
      <c r="K982" t="s">
        <v>94</v>
      </c>
      <c r="L982" t="s">
        <v>3001</v>
      </c>
      <c r="M982">
        <v>460.2</v>
      </c>
      <c r="N982">
        <v>91</v>
      </c>
      <c r="O982" t="s">
        <v>1209</v>
      </c>
      <c r="P982" t="s">
        <v>42</v>
      </c>
      <c r="Q982" t="s">
        <v>125</v>
      </c>
      <c r="R982" t="s">
        <v>60</v>
      </c>
      <c r="S982" t="s">
        <v>45</v>
      </c>
      <c r="T982" t="s">
        <v>359</v>
      </c>
      <c r="U982">
        <v>1698</v>
      </c>
      <c r="V982">
        <v>263</v>
      </c>
      <c r="W982">
        <v>18</v>
      </c>
      <c r="X982">
        <v>974.3</v>
      </c>
      <c r="Y982">
        <v>264.85000000000002</v>
      </c>
      <c r="Z982">
        <v>1239.1500000000001</v>
      </c>
      <c r="AA982" t="s">
        <v>62</v>
      </c>
      <c r="AB982">
        <v>0</v>
      </c>
      <c r="AC982">
        <v>81.31</v>
      </c>
      <c r="AD982">
        <v>429</v>
      </c>
      <c r="AE982">
        <v>472</v>
      </c>
    </row>
    <row r="983" spans="1:31" x14ac:dyDescent="0.25">
      <c r="A983" t="s">
        <v>4238</v>
      </c>
      <c r="B983" t="s">
        <v>4239</v>
      </c>
      <c r="C983" s="1">
        <v>44555</v>
      </c>
      <c r="D983" s="1">
        <v>45158</v>
      </c>
      <c r="E983" t="s">
        <v>65</v>
      </c>
      <c r="F983" t="s">
        <v>91</v>
      </c>
      <c r="G983" t="s">
        <v>52</v>
      </c>
      <c r="H983" t="s">
        <v>53</v>
      </c>
      <c r="I983" t="s">
        <v>4240</v>
      </c>
      <c r="J983" t="s">
        <v>38</v>
      </c>
      <c r="K983" t="s">
        <v>55</v>
      </c>
      <c r="L983" t="s">
        <v>4241</v>
      </c>
      <c r="M983">
        <v>462.28</v>
      </c>
      <c r="N983">
        <v>4</v>
      </c>
      <c r="O983" t="s">
        <v>3187</v>
      </c>
      <c r="P983" t="s">
        <v>141</v>
      </c>
      <c r="Q983" t="s">
        <v>377</v>
      </c>
      <c r="R983" t="s">
        <v>44</v>
      </c>
      <c r="S983" t="s">
        <v>87</v>
      </c>
      <c r="T983" t="s">
        <v>206</v>
      </c>
      <c r="U983">
        <v>729</v>
      </c>
      <c r="V983">
        <v>428</v>
      </c>
      <c r="W983">
        <v>11</v>
      </c>
      <c r="X983">
        <v>1965.03</v>
      </c>
      <c r="Y983">
        <v>45.74</v>
      </c>
      <c r="Z983">
        <v>2010.77</v>
      </c>
      <c r="AA983" t="s">
        <v>62</v>
      </c>
      <c r="AB983">
        <v>0</v>
      </c>
      <c r="AC983">
        <v>84.66</v>
      </c>
      <c r="AD983">
        <v>319</v>
      </c>
      <c r="AE983">
        <v>314</v>
      </c>
    </row>
    <row r="984" spans="1:31" x14ac:dyDescent="0.25">
      <c r="A984" t="s">
        <v>4242</v>
      </c>
      <c r="B984" t="s">
        <v>4243</v>
      </c>
      <c r="C984" s="1">
        <v>45239</v>
      </c>
      <c r="D984" s="1">
        <v>44098</v>
      </c>
      <c r="E984" t="s">
        <v>33</v>
      </c>
      <c r="F984" t="s">
        <v>91</v>
      </c>
      <c r="G984" t="s">
        <v>35</v>
      </c>
      <c r="H984" t="s">
        <v>67</v>
      </c>
      <c r="I984" t="s">
        <v>1577</v>
      </c>
      <c r="J984" t="s">
        <v>38</v>
      </c>
      <c r="K984" t="s">
        <v>39</v>
      </c>
      <c r="L984" t="s">
        <v>1578</v>
      </c>
      <c r="M984">
        <v>491.16</v>
      </c>
      <c r="N984">
        <v>67</v>
      </c>
      <c r="O984" t="s">
        <v>716</v>
      </c>
      <c r="P984" t="s">
        <v>58</v>
      </c>
      <c r="Q984" t="s">
        <v>205</v>
      </c>
      <c r="R984" t="s">
        <v>86</v>
      </c>
      <c r="S984" t="s">
        <v>45</v>
      </c>
      <c r="T984" t="s">
        <v>437</v>
      </c>
      <c r="U984">
        <v>1105</v>
      </c>
      <c r="V984">
        <v>106</v>
      </c>
      <c r="W984">
        <v>4</v>
      </c>
      <c r="X984">
        <v>903.24</v>
      </c>
      <c r="Y984">
        <v>412.66</v>
      </c>
      <c r="Z984">
        <v>1315.9</v>
      </c>
      <c r="AA984" t="s">
        <v>62</v>
      </c>
      <c r="AB984">
        <v>0</v>
      </c>
      <c r="AC984">
        <v>85.12</v>
      </c>
      <c r="AD984">
        <v>96</v>
      </c>
      <c r="AE984">
        <v>141</v>
      </c>
    </row>
    <row r="985" spans="1:31" x14ac:dyDescent="0.25">
      <c r="A985" t="s">
        <v>4244</v>
      </c>
      <c r="B985" t="s">
        <v>4245</v>
      </c>
      <c r="C985" s="1">
        <v>45254</v>
      </c>
      <c r="D985" s="1">
        <v>45027</v>
      </c>
      <c r="E985" t="s">
        <v>65</v>
      </c>
      <c r="F985" t="s">
        <v>34</v>
      </c>
      <c r="G985" t="s">
        <v>52</v>
      </c>
      <c r="H985" t="s">
        <v>221</v>
      </c>
      <c r="I985" t="s">
        <v>4246</v>
      </c>
      <c r="J985" t="s">
        <v>165</v>
      </c>
      <c r="K985" t="s">
        <v>166</v>
      </c>
      <c r="L985" t="s">
        <v>4247</v>
      </c>
      <c r="M985">
        <v>319.63</v>
      </c>
      <c r="N985">
        <v>13</v>
      </c>
      <c r="O985" t="s">
        <v>4248</v>
      </c>
      <c r="P985" t="s">
        <v>58</v>
      </c>
      <c r="Q985" t="s">
        <v>425</v>
      </c>
      <c r="R985" t="s">
        <v>60</v>
      </c>
      <c r="S985" t="s">
        <v>73</v>
      </c>
      <c r="T985" t="s">
        <v>143</v>
      </c>
      <c r="U985">
        <v>4994</v>
      </c>
      <c r="V985">
        <v>128</v>
      </c>
      <c r="W985">
        <v>13</v>
      </c>
      <c r="X985">
        <v>289.17</v>
      </c>
      <c r="Y985">
        <v>276.14</v>
      </c>
      <c r="Z985">
        <v>565.30999999999995</v>
      </c>
      <c r="AA985" t="s">
        <v>62</v>
      </c>
      <c r="AB985">
        <v>0</v>
      </c>
      <c r="AC985">
        <v>92.89</v>
      </c>
      <c r="AD985">
        <v>168</v>
      </c>
      <c r="AE985">
        <v>126</v>
      </c>
    </row>
    <row r="986" spans="1:31" x14ac:dyDescent="0.25">
      <c r="A986" t="s">
        <v>4249</v>
      </c>
      <c r="B986" t="s">
        <v>4250</v>
      </c>
      <c r="C986" s="1">
        <v>44394</v>
      </c>
      <c r="D986" s="1">
        <v>45641</v>
      </c>
      <c r="E986" t="s">
        <v>65</v>
      </c>
      <c r="F986" t="s">
        <v>91</v>
      </c>
      <c r="G986" t="s">
        <v>35</v>
      </c>
      <c r="H986" t="s">
        <v>79</v>
      </c>
      <c r="I986" t="s">
        <v>4251</v>
      </c>
      <c r="J986" t="s">
        <v>165</v>
      </c>
      <c r="K986" t="s">
        <v>166</v>
      </c>
      <c r="L986" t="s">
        <v>4252</v>
      </c>
      <c r="M986">
        <v>427.29</v>
      </c>
      <c r="N986">
        <v>2</v>
      </c>
      <c r="O986" t="s">
        <v>3939</v>
      </c>
      <c r="P986" t="s">
        <v>108</v>
      </c>
      <c r="Q986" t="s">
        <v>118</v>
      </c>
      <c r="R986" t="s">
        <v>44</v>
      </c>
      <c r="S986" t="s">
        <v>87</v>
      </c>
      <c r="T986" t="s">
        <v>910</v>
      </c>
      <c r="U986">
        <v>2470</v>
      </c>
      <c r="V986">
        <v>345</v>
      </c>
      <c r="W986">
        <v>1</v>
      </c>
      <c r="X986">
        <v>794.16</v>
      </c>
      <c r="Y986">
        <v>320.08999999999997</v>
      </c>
      <c r="Z986">
        <v>1114.25</v>
      </c>
      <c r="AA986" t="s">
        <v>62</v>
      </c>
      <c r="AB986">
        <v>0</v>
      </c>
      <c r="AC986">
        <v>72.27</v>
      </c>
      <c r="AD986">
        <v>275</v>
      </c>
      <c r="AE986">
        <v>317</v>
      </c>
    </row>
    <row r="987" spans="1:31" x14ac:dyDescent="0.25">
      <c r="A987" t="s">
        <v>4253</v>
      </c>
      <c r="B987" t="s">
        <v>4254</v>
      </c>
      <c r="C987" s="1">
        <v>45620</v>
      </c>
      <c r="D987" s="1">
        <v>44170</v>
      </c>
      <c r="E987" t="s">
        <v>65</v>
      </c>
      <c r="F987" t="s">
        <v>146</v>
      </c>
      <c r="G987" t="s">
        <v>78</v>
      </c>
      <c r="H987" t="s">
        <v>114</v>
      </c>
      <c r="I987" t="s">
        <v>4255</v>
      </c>
      <c r="J987" t="s">
        <v>104</v>
      </c>
      <c r="K987" t="s">
        <v>554</v>
      </c>
      <c r="L987" t="s">
        <v>4256</v>
      </c>
      <c r="M987">
        <v>52.18</v>
      </c>
      <c r="N987">
        <v>54</v>
      </c>
      <c r="O987" t="s">
        <v>3262</v>
      </c>
      <c r="P987" t="s">
        <v>84</v>
      </c>
      <c r="Q987" t="s">
        <v>142</v>
      </c>
      <c r="R987" t="s">
        <v>60</v>
      </c>
      <c r="S987" t="s">
        <v>73</v>
      </c>
      <c r="T987" t="s">
        <v>638</v>
      </c>
      <c r="U987">
        <v>3674</v>
      </c>
      <c r="V987">
        <v>299</v>
      </c>
      <c r="W987">
        <v>22</v>
      </c>
      <c r="X987">
        <v>912.5</v>
      </c>
      <c r="Y987">
        <v>428.29</v>
      </c>
      <c r="Z987">
        <v>1340.79</v>
      </c>
      <c r="AA987" t="s">
        <v>62</v>
      </c>
      <c r="AB987">
        <v>0</v>
      </c>
      <c r="AC987">
        <v>84.55</v>
      </c>
      <c r="AD987">
        <v>218</v>
      </c>
      <c r="AE987">
        <v>249</v>
      </c>
    </row>
    <row r="988" spans="1:31" x14ac:dyDescent="0.25">
      <c r="A988" t="s">
        <v>4257</v>
      </c>
      <c r="B988" t="s">
        <v>4258</v>
      </c>
      <c r="C988" s="1">
        <v>45202</v>
      </c>
      <c r="D988" s="1">
        <v>43997</v>
      </c>
      <c r="E988" t="s">
        <v>65</v>
      </c>
      <c r="F988" t="s">
        <v>91</v>
      </c>
      <c r="G988" t="s">
        <v>52</v>
      </c>
      <c r="H988" t="s">
        <v>36</v>
      </c>
      <c r="I988" t="s">
        <v>1536</v>
      </c>
      <c r="J988" t="s">
        <v>38</v>
      </c>
      <c r="K988" t="s">
        <v>55</v>
      </c>
      <c r="L988" t="s">
        <v>1537</v>
      </c>
      <c r="M988">
        <v>12.89</v>
      </c>
      <c r="N988">
        <v>8</v>
      </c>
      <c r="O988" t="s">
        <v>1625</v>
      </c>
      <c r="P988" t="s">
        <v>108</v>
      </c>
      <c r="Q988" t="s">
        <v>377</v>
      </c>
      <c r="R988" t="s">
        <v>60</v>
      </c>
      <c r="S988" t="s">
        <v>98</v>
      </c>
      <c r="T988" t="s">
        <v>812</v>
      </c>
      <c r="U988">
        <v>4420</v>
      </c>
      <c r="V988">
        <v>337</v>
      </c>
      <c r="W988">
        <v>7</v>
      </c>
      <c r="X988">
        <v>1442.34</v>
      </c>
      <c r="Y988">
        <v>68.849999999999994</v>
      </c>
      <c r="Z988">
        <v>1511.19</v>
      </c>
      <c r="AA988" t="s">
        <v>47</v>
      </c>
      <c r="AB988">
        <v>9</v>
      </c>
      <c r="AC988">
        <v>78.930000000000007</v>
      </c>
      <c r="AD988">
        <v>487</v>
      </c>
      <c r="AE988">
        <v>495</v>
      </c>
    </row>
    <row r="989" spans="1:31" x14ac:dyDescent="0.25">
      <c r="A989" t="s">
        <v>4259</v>
      </c>
      <c r="B989" t="s">
        <v>4260</v>
      </c>
      <c r="C989" s="1">
        <v>44142</v>
      </c>
      <c r="D989" s="1">
        <v>45256</v>
      </c>
      <c r="E989" t="s">
        <v>65</v>
      </c>
      <c r="F989" t="s">
        <v>91</v>
      </c>
      <c r="G989" t="s">
        <v>92</v>
      </c>
      <c r="H989" t="s">
        <v>147</v>
      </c>
      <c r="I989" t="s">
        <v>4261</v>
      </c>
      <c r="J989" t="s">
        <v>38</v>
      </c>
      <c r="K989" t="s">
        <v>263</v>
      </c>
      <c r="L989" t="s">
        <v>4262</v>
      </c>
      <c r="M989">
        <v>267.32</v>
      </c>
      <c r="N989">
        <v>13</v>
      </c>
      <c r="O989" t="s">
        <v>587</v>
      </c>
      <c r="P989" t="s">
        <v>84</v>
      </c>
      <c r="Q989" t="s">
        <v>142</v>
      </c>
      <c r="R989" t="s">
        <v>152</v>
      </c>
      <c r="S989" t="s">
        <v>126</v>
      </c>
      <c r="T989" t="s">
        <v>627</v>
      </c>
      <c r="U989">
        <v>2993</v>
      </c>
      <c r="V989">
        <v>314</v>
      </c>
      <c r="W989">
        <v>1</v>
      </c>
      <c r="X989">
        <v>471.39</v>
      </c>
      <c r="Y989">
        <v>225.36</v>
      </c>
      <c r="Z989">
        <v>696.75</v>
      </c>
      <c r="AA989" t="s">
        <v>62</v>
      </c>
      <c r="AB989">
        <v>0</v>
      </c>
      <c r="AC989">
        <v>90.79</v>
      </c>
      <c r="AD989">
        <v>422</v>
      </c>
      <c r="AE989">
        <v>403</v>
      </c>
    </row>
    <row r="990" spans="1:31" x14ac:dyDescent="0.25">
      <c r="A990" t="s">
        <v>4263</v>
      </c>
      <c r="B990" t="s">
        <v>4264</v>
      </c>
      <c r="C990" s="1">
        <v>45025</v>
      </c>
      <c r="D990" s="1">
        <v>44032</v>
      </c>
      <c r="E990" t="s">
        <v>65</v>
      </c>
      <c r="F990" t="s">
        <v>91</v>
      </c>
      <c r="G990" t="s">
        <v>52</v>
      </c>
      <c r="H990" t="s">
        <v>79</v>
      </c>
      <c r="I990" t="s">
        <v>4265</v>
      </c>
      <c r="J990" t="s">
        <v>38</v>
      </c>
      <c r="K990" t="s">
        <v>39</v>
      </c>
      <c r="L990" t="s">
        <v>4266</v>
      </c>
      <c r="M990">
        <v>484.11</v>
      </c>
      <c r="N990">
        <v>70</v>
      </c>
      <c r="O990" t="s">
        <v>903</v>
      </c>
      <c r="P990" t="s">
        <v>141</v>
      </c>
      <c r="Q990" t="s">
        <v>176</v>
      </c>
      <c r="R990" t="s">
        <v>86</v>
      </c>
      <c r="S990" t="s">
        <v>73</v>
      </c>
      <c r="T990" t="s">
        <v>259</v>
      </c>
      <c r="U990">
        <v>3675</v>
      </c>
      <c r="V990">
        <v>157</v>
      </c>
      <c r="W990">
        <v>5</v>
      </c>
      <c r="X990">
        <v>1939.97</v>
      </c>
      <c r="Y990">
        <v>325.76</v>
      </c>
      <c r="Z990">
        <v>2265.73</v>
      </c>
      <c r="AA990" t="s">
        <v>62</v>
      </c>
      <c r="AB990">
        <v>0</v>
      </c>
      <c r="AC990">
        <v>81.680000000000007</v>
      </c>
      <c r="AD990">
        <v>275</v>
      </c>
      <c r="AE990">
        <v>293</v>
      </c>
    </row>
    <row r="991" spans="1:31" x14ac:dyDescent="0.25">
      <c r="A991" t="s">
        <v>4267</v>
      </c>
      <c r="B991" t="s">
        <v>4268</v>
      </c>
      <c r="C991" s="1">
        <v>44163</v>
      </c>
      <c r="D991" s="1">
        <v>45189</v>
      </c>
      <c r="E991" t="s">
        <v>50</v>
      </c>
      <c r="F991" t="s">
        <v>146</v>
      </c>
      <c r="G991" t="s">
        <v>343</v>
      </c>
      <c r="H991" t="s">
        <v>114</v>
      </c>
      <c r="I991" t="s">
        <v>4269</v>
      </c>
      <c r="J991" t="s">
        <v>38</v>
      </c>
      <c r="K991" t="s">
        <v>39</v>
      </c>
      <c r="L991" t="s">
        <v>4270</v>
      </c>
      <c r="M991">
        <v>112.98</v>
      </c>
      <c r="N991">
        <v>40</v>
      </c>
      <c r="O991" t="s">
        <v>3248</v>
      </c>
      <c r="P991" t="s">
        <v>84</v>
      </c>
      <c r="Q991" t="s">
        <v>266</v>
      </c>
      <c r="R991" t="s">
        <v>152</v>
      </c>
      <c r="S991" t="s">
        <v>45</v>
      </c>
      <c r="T991" t="s">
        <v>259</v>
      </c>
      <c r="U991">
        <v>2510</v>
      </c>
      <c r="V991">
        <v>230</v>
      </c>
      <c r="W991">
        <v>26</v>
      </c>
      <c r="X991">
        <v>1159.1300000000001</v>
      </c>
      <c r="Y991">
        <v>424.29</v>
      </c>
      <c r="Z991">
        <v>1583.42</v>
      </c>
      <c r="AA991" t="s">
        <v>62</v>
      </c>
      <c r="AB991">
        <v>0</v>
      </c>
      <c r="AC991">
        <v>87.78</v>
      </c>
      <c r="AD991">
        <v>142</v>
      </c>
      <c r="AE991">
        <v>154</v>
      </c>
    </row>
    <row r="992" spans="1:31" x14ac:dyDescent="0.25">
      <c r="A992" t="s">
        <v>4271</v>
      </c>
      <c r="B992" t="s">
        <v>4272</v>
      </c>
      <c r="C992" s="1">
        <v>44011</v>
      </c>
      <c r="D992" s="1">
        <v>45286</v>
      </c>
      <c r="E992" t="s">
        <v>65</v>
      </c>
      <c r="F992" t="s">
        <v>34</v>
      </c>
      <c r="G992" t="s">
        <v>66</v>
      </c>
      <c r="H992" t="s">
        <v>36</v>
      </c>
      <c r="I992" t="s">
        <v>4273</v>
      </c>
      <c r="J992" t="s">
        <v>38</v>
      </c>
      <c r="K992" t="s">
        <v>55</v>
      </c>
      <c r="L992" t="s">
        <v>4274</v>
      </c>
      <c r="M992">
        <v>99.07</v>
      </c>
      <c r="N992">
        <v>46</v>
      </c>
      <c r="O992" t="s">
        <v>4275</v>
      </c>
      <c r="P992" t="s">
        <v>84</v>
      </c>
      <c r="Q992" t="s">
        <v>176</v>
      </c>
      <c r="R992" t="s">
        <v>44</v>
      </c>
      <c r="S992" t="s">
        <v>87</v>
      </c>
      <c r="T992" t="s">
        <v>314</v>
      </c>
      <c r="U992">
        <v>652</v>
      </c>
      <c r="V992">
        <v>444</v>
      </c>
      <c r="W992">
        <v>9</v>
      </c>
      <c r="X992">
        <v>1166.02</v>
      </c>
      <c r="Y992">
        <v>277.63</v>
      </c>
      <c r="Z992">
        <v>1443.65</v>
      </c>
      <c r="AA992" t="s">
        <v>62</v>
      </c>
      <c r="AB992">
        <v>0</v>
      </c>
      <c r="AC992">
        <v>79.72</v>
      </c>
      <c r="AD992">
        <v>55</v>
      </c>
      <c r="AE992">
        <v>31</v>
      </c>
    </row>
    <row r="993" spans="1:31" x14ac:dyDescent="0.25">
      <c r="A993" t="s">
        <v>4276</v>
      </c>
      <c r="B993" t="s">
        <v>4277</v>
      </c>
      <c r="C993" s="1">
        <v>45423</v>
      </c>
      <c r="D993" s="1">
        <v>45178</v>
      </c>
      <c r="E993" t="s">
        <v>33</v>
      </c>
      <c r="F993" t="s">
        <v>146</v>
      </c>
      <c r="G993" t="s">
        <v>66</v>
      </c>
      <c r="H993" t="s">
        <v>79</v>
      </c>
      <c r="I993" t="s">
        <v>3233</v>
      </c>
      <c r="J993" t="s">
        <v>38</v>
      </c>
      <c r="K993" t="s">
        <v>81</v>
      </c>
      <c r="L993" t="s">
        <v>3234</v>
      </c>
      <c r="M993">
        <v>406.56</v>
      </c>
      <c r="N993">
        <v>13</v>
      </c>
      <c r="O993" t="s">
        <v>3210</v>
      </c>
      <c r="P993" t="s">
        <v>108</v>
      </c>
      <c r="Q993" t="s">
        <v>133</v>
      </c>
      <c r="R993" t="s">
        <v>86</v>
      </c>
      <c r="S993" t="s">
        <v>73</v>
      </c>
      <c r="T993" t="s">
        <v>812</v>
      </c>
      <c r="U993">
        <v>1227</v>
      </c>
      <c r="V993">
        <v>295</v>
      </c>
      <c r="W993">
        <v>22</v>
      </c>
      <c r="X993">
        <v>839.71</v>
      </c>
      <c r="Y993">
        <v>217.04</v>
      </c>
      <c r="Z993">
        <v>1056.75</v>
      </c>
      <c r="AA993" t="s">
        <v>62</v>
      </c>
      <c r="AB993">
        <v>0</v>
      </c>
      <c r="AC993">
        <v>90.04</v>
      </c>
      <c r="AD993">
        <v>224</v>
      </c>
      <c r="AE993">
        <v>230</v>
      </c>
    </row>
    <row r="994" spans="1:31" x14ac:dyDescent="0.25">
      <c r="A994" t="s">
        <v>4278</v>
      </c>
      <c r="B994" t="s">
        <v>4279</v>
      </c>
      <c r="C994" s="1">
        <v>44763</v>
      </c>
      <c r="D994" s="1">
        <v>45606</v>
      </c>
      <c r="E994" t="s">
        <v>65</v>
      </c>
      <c r="F994" t="s">
        <v>91</v>
      </c>
      <c r="G994" t="s">
        <v>113</v>
      </c>
      <c r="H994" t="s">
        <v>114</v>
      </c>
      <c r="I994" t="s">
        <v>4280</v>
      </c>
      <c r="J994" t="s">
        <v>165</v>
      </c>
      <c r="K994" t="s">
        <v>202</v>
      </c>
      <c r="L994" t="s">
        <v>4281</v>
      </c>
      <c r="M994">
        <v>310.92</v>
      </c>
      <c r="N994">
        <v>63</v>
      </c>
      <c r="O994" t="s">
        <v>3187</v>
      </c>
      <c r="P994" t="s">
        <v>141</v>
      </c>
      <c r="Q994" t="s">
        <v>544</v>
      </c>
      <c r="R994" t="s">
        <v>60</v>
      </c>
      <c r="S994" t="s">
        <v>73</v>
      </c>
      <c r="T994" t="s">
        <v>88</v>
      </c>
      <c r="U994">
        <v>530</v>
      </c>
      <c r="V994">
        <v>170</v>
      </c>
      <c r="W994">
        <v>26</v>
      </c>
      <c r="X994">
        <v>78.260000000000005</v>
      </c>
      <c r="Y994">
        <v>281.64</v>
      </c>
      <c r="Z994">
        <v>359.9</v>
      </c>
      <c r="AA994" t="s">
        <v>62</v>
      </c>
      <c r="AB994">
        <v>0</v>
      </c>
      <c r="AC994">
        <v>87.02</v>
      </c>
      <c r="AD994">
        <v>110</v>
      </c>
      <c r="AE994">
        <v>108</v>
      </c>
    </row>
    <row r="995" spans="1:31" x14ac:dyDescent="0.25">
      <c r="A995" t="s">
        <v>4282</v>
      </c>
      <c r="B995" t="s">
        <v>3213</v>
      </c>
      <c r="C995" s="1">
        <v>44897</v>
      </c>
      <c r="D995" s="1">
        <v>45388</v>
      </c>
      <c r="E995" t="s">
        <v>65</v>
      </c>
      <c r="F995" t="s">
        <v>91</v>
      </c>
      <c r="G995" t="s">
        <v>113</v>
      </c>
      <c r="H995" t="s">
        <v>163</v>
      </c>
      <c r="I995" t="s">
        <v>4283</v>
      </c>
      <c r="J995" t="s">
        <v>38</v>
      </c>
      <c r="K995" t="s">
        <v>94</v>
      </c>
      <c r="L995" t="s">
        <v>4284</v>
      </c>
      <c r="M995">
        <v>387.21</v>
      </c>
      <c r="N995">
        <v>5</v>
      </c>
      <c r="O995" t="s">
        <v>1772</v>
      </c>
      <c r="P995" t="s">
        <v>84</v>
      </c>
      <c r="Q995" t="s">
        <v>464</v>
      </c>
      <c r="R995" t="s">
        <v>60</v>
      </c>
      <c r="S995" t="s">
        <v>87</v>
      </c>
      <c r="T995" t="s">
        <v>192</v>
      </c>
      <c r="U995">
        <v>2536</v>
      </c>
      <c r="V995">
        <v>343</v>
      </c>
      <c r="W995">
        <v>27</v>
      </c>
      <c r="X995">
        <v>158.55000000000001</v>
      </c>
      <c r="Y995">
        <v>237.69</v>
      </c>
      <c r="Z995">
        <v>396.24</v>
      </c>
      <c r="AA995" t="s">
        <v>62</v>
      </c>
      <c r="AB995">
        <v>0</v>
      </c>
      <c r="AC995">
        <v>94.98</v>
      </c>
      <c r="AD995">
        <v>406</v>
      </c>
      <c r="AE995">
        <v>369</v>
      </c>
    </row>
    <row r="996" spans="1:31" x14ac:dyDescent="0.25">
      <c r="A996" t="s">
        <v>4285</v>
      </c>
      <c r="B996" t="s">
        <v>987</v>
      </c>
      <c r="C996" s="1">
        <v>44148</v>
      </c>
      <c r="D996" s="1">
        <v>45652</v>
      </c>
      <c r="E996" t="s">
        <v>33</v>
      </c>
      <c r="F996" t="s">
        <v>91</v>
      </c>
      <c r="G996" t="s">
        <v>66</v>
      </c>
      <c r="H996" t="s">
        <v>163</v>
      </c>
      <c r="I996" t="s">
        <v>4286</v>
      </c>
      <c r="J996" t="s">
        <v>38</v>
      </c>
      <c r="K996" t="s">
        <v>55</v>
      </c>
      <c r="L996" t="s">
        <v>4287</v>
      </c>
      <c r="M996">
        <v>358.21</v>
      </c>
      <c r="N996">
        <v>13</v>
      </c>
      <c r="O996" t="s">
        <v>3386</v>
      </c>
      <c r="P996" t="s">
        <v>84</v>
      </c>
      <c r="Q996" t="s">
        <v>613</v>
      </c>
      <c r="R996" t="s">
        <v>152</v>
      </c>
      <c r="S996" t="s">
        <v>87</v>
      </c>
      <c r="T996" t="s">
        <v>225</v>
      </c>
      <c r="U996">
        <v>2889</v>
      </c>
      <c r="V996">
        <v>55</v>
      </c>
      <c r="W996">
        <v>2</v>
      </c>
      <c r="X996">
        <v>259.3</v>
      </c>
      <c r="Y996">
        <v>48.31</v>
      </c>
      <c r="Z996">
        <v>307.61</v>
      </c>
      <c r="AA996" t="s">
        <v>62</v>
      </c>
      <c r="AB996">
        <v>0</v>
      </c>
      <c r="AC996">
        <v>78.52</v>
      </c>
      <c r="AD996">
        <v>183</v>
      </c>
      <c r="AE996">
        <v>173</v>
      </c>
    </row>
    <row r="997" spans="1:31" x14ac:dyDescent="0.25">
      <c r="A997" t="s">
        <v>4288</v>
      </c>
      <c r="B997" t="s">
        <v>4289</v>
      </c>
      <c r="C997" s="1">
        <v>45053</v>
      </c>
      <c r="D997" s="1">
        <v>45540</v>
      </c>
      <c r="E997" t="s">
        <v>65</v>
      </c>
      <c r="F997" t="s">
        <v>146</v>
      </c>
      <c r="G997" t="s">
        <v>35</v>
      </c>
      <c r="H997" t="s">
        <v>36</v>
      </c>
      <c r="I997" t="s">
        <v>4290</v>
      </c>
      <c r="J997" t="s">
        <v>38</v>
      </c>
      <c r="K997" t="s">
        <v>55</v>
      </c>
      <c r="L997" t="s">
        <v>4291</v>
      </c>
      <c r="M997">
        <v>276.98</v>
      </c>
      <c r="N997">
        <v>29</v>
      </c>
      <c r="O997" t="s">
        <v>1399</v>
      </c>
      <c r="P997" t="s">
        <v>58</v>
      </c>
      <c r="Q997" t="s">
        <v>266</v>
      </c>
      <c r="R997" t="s">
        <v>152</v>
      </c>
      <c r="S997" t="s">
        <v>98</v>
      </c>
      <c r="T997" t="s">
        <v>1229</v>
      </c>
      <c r="U997">
        <v>1776</v>
      </c>
      <c r="V997">
        <v>169</v>
      </c>
      <c r="W997">
        <v>28</v>
      </c>
      <c r="X997">
        <v>1419.96</v>
      </c>
      <c r="Y997">
        <v>158.05000000000001</v>
      </c>
      <c r="Z997">
        <v>1578.01</v>
      </c>
      <c r="AA997" t="s">
        <v>62</v>
      </c>
      <c r="AB997">
        <v>0</v>
      </c>
      <c r="AC997">
        <v>97.52</v>
      </c>
      <c r="AD997">
        <v>437</v>
      </c>
      <c r="AE997">
        <v>387</v>
      </c>
    </row>
    <row r="998" spans="1:31" x14ac:dyDescent="0.25">
      <c r="A998" t="s">
        <v>4292</v>
      </c>
      <c r="B998" t="s">
        <v>4293</v>
      </c>
      <c r="C998" s="1">
        <v>45328</v>
      </c>
      <c r="D998" s="1">
        <v>44946</v>
      </c>
      <c r="E998" t="s">
        <v>50</v>
      </c>
      <c r="F998" t="s">
        <v>91</v>
      </c>
      <c r="G998" t="s">
        <v>78</v>
      </c>
      <c r="H998" t="s">
        <v>67</v>
      </c>
      <c r="I998" t="s">
        <v>4294</v>
      </c>
      <c r="J998" t="s">
        <v>38</v>
      </c>
      <c r="K998" t="s">
        <v>39</v>
      </c>
      <c r="L998" t="s">
        <v>4295</v>
      </c>
      <c r="M998">
        <v>264.86</v>
      </c>
      <c r="N998">
        <v>41</v>
      </c>
      <c r="O998" t="s">
        <v>2981</v>
      </c>
      <c r="P998" t="s">
        <v>42</v>
      </c>
      <c r="Q998" t="s">
        <v>333</v>
      </c>
      <c r="R998" t="s">
        <v>44</v>
      </c>
      <c r="S998" t="s">
        <v>73</v>
      </c>
      <c r="T998" t="s">
        <v>153</v>
      </c>
      <c r="U998">
        <v>1791</v>
      </c>
      <c r="V998">
        <v>293</v>
      </c>
      <c r="W998">
        <v>26</v>
      </c>
      <c r="X998">
        <v>1007.51</v>
      </c>
      <c r="Y998">
        <v>312.86</v>
      </c>
      <c r="Z998">
        <v>1320.37</v>
      </c>
      <c r="AA998" t="s">
        <v>62</v>
      </c>
      <c r="AB998">
        <v>0</v>
      </c>
      <c r="AC998">
        <v>70.510000000000005</v>
      </c>
      <c r="AD998">
        <v>467</v>
      </c>
      <c r="AE998">
        <v>426</v>
      </c>
    </row>
    <row r="999" spans="1:31" x14ac:dyDescent="0.25">
      <c r="A999" t="s">
        <v>4296</v>
      </c>
      <c r="B999" t="s">
        <v>4297</v>
      </c>
      <c r="C999" s="1">
        <v>44198</v>
      </c>
      <c r="D999" s="1">
        <v>45033</v>
      </c>
      <c r="E999" t="s">
        <v>50</v>
      </c>
      <c r="F999" t="s">
        <v>146</v>
      </c>
      <c r="G999" t="s">
        <v>35</v>
      </c>
      <c r="H999" t="s">
        <v>79</v>
      </c>
      <c r="I999" t="s">
        <v>3689</v>
      </c>
      <c r="J999" t="s">
        <v>165</v>
      </c>
      <c r="K999" t="s">
        <v>202</v>
      </c>
      <c r="L999" t="s">
        <v>3690</v>
      </c>
      <c r="M999">
        <v>225.91</v>
      </c>
      <c r="N999">
        <v>26</v>
      </c>
      <c r="O999" t="s">
        <v>1876</v>
      </c>
      <c r="P999" t="s">
        <v>141</v>
      </c>
      <c r="Q999" t="s">
        <v>169</v>
      </c>
      <c r="R999" t="s">
        <v>152</v>
      </c>
      <c r="S999" t="s">
        <v>45</v>
      </c>
      <c r="T999" t="s">
        <v>302</v>
      </c>
      <c r="U999">
        <v>2198</v>
      </c>
      <c r="V999">
        <v>361</v>
      </c>
      <c r="W999">
        <v>5</v>
      </c>
      <c r="X999">
        <v>1168.73</v>
      </c>
      <c r="Y999">
        <v>21.93</v>
      </c>
      <c r="Z999">
        <v>1190.6600000000001</v>
      </c>
      <c r="AA999" t="s">
        <v>62</v>
      </c>
      <c r="AB999">
        <v>0</v>
      </c>
      <c r="AC999">
        <v>71.510000000000005</v>
      </c>
      <c r="AD999">
        <v>483</v>
      </c>
      <c r="AE999">
        <v>460</v>
      </c>
    </row>
    <row r="1000" spans="1:31" x14ac:dyDescent="0.25">
      <c r="A1000" t="s">
        <v>4298</v>
      </c>
      <c r="B1000" t="s">
        <v>4299</v>
      </c>
      <c r="C1000" s="1">
        <v>45561</v>
      </c>
      <c r="D1000" s="1">
        <v>45435</v>
      </c>
      <c r="E1000" t="s">
        <v>65</v>
      </c>
      <c r="F1000" t="s">
        <v>51</v>
      </c>
      <c r="G1000" t="s">
        <v>35</v>
      </c>
      <c r="H1000" t="s">
        <v>147</v>
      </c>
      <c r="I1000" t="s">
        <v>4300</v>
      </c>
      <c r="J1000" t="s">
        <v>104</v>
      </c>
      <c r="K1000" t="s">
        <v>181</v>
      </c>
      <c r="L1000" t="s">
        <v>4301</v>
      </c>
      <c r="M1000">
        <v>476.71</v>
      </c>
      <c r="N1000">
        <v>12</v>
      </c>
      <c r="O1000" t="s">
        <v>4302</v>
      </c>
      <c r="P1000" t="s">
        <v>58</v>
      </c>
      <c r="Q1000" t="s">
        <v>159</v>
      </c>
      <c r="R1000" t="s">
        <v>86</v>
      </c>
      <c r="S1000" t="s">
        <v>98</v>
      </c>
      <c r="T1000" t="s">
        <v>409</v>
      </c>
      <c r="U1000">
        <v>2566</v>
      </c>
      <c r="V1000">
        <v>108</v>
      </c>
      <c r="W1000">
        <v>1</v>
      </c>
      <c r="X1000">
        <v>754.56</v>
      </c>
      <c r="Y1000">
        <v>485.8</v>
      </c>
      <c r="Z1000">
        <v>1240.3599999999999</v>
      </c>
      <c r="AA1000" t="s">
        <v>62</v>
      </c>
      <c r="AB1000">
        <v>0</v>
      </c>
      <c r="AC1000">
        <v>96.7</v>
      </c>
      <c r="AD1000">
        <v>176</v>
      </c>
      <c r="AE1000">
        <v>220</v>
      </c>
    </row>
    <row r="1001" spans="1:31" x14ac:dyDescent="0.25">
      <c r="A1001" t="s">
        <v>4303</v>
      </c>
      <c r="B1001" t="s">
        <v>4304</v>
      </c>
      <c r="C1001" s="1">
        <v>45252</v>
      </c>
      <c r="D1001" s="1">
        <v>44488</v>
      </c>
      <c r="E1001" t="s">
        <v>65</v>
      </c>
      <c r="F1001" t="s">
        <v>51</v>
      </c>
      <c r="G1001" t="s">
        <v>66</v>
      </c>
      <c r="H1001" t="s">
        <v>36</v>
      </c>
      <c r="I1001" t="s">
        <v>751</v>
      </c>
      <c r="J1001" t="s">
        <v>38</v>
      </c>
      <c r="K1001" t="s">
        <v>338</v>
      </c>
      <c r="L1001" t="s">
        <v>752</v>
      </c>
      <c r="M1001">
        <v>462.35</v>
      </c>
      <c r="N1001">
        <v>4</v>
      </c>
      <c r="O1001" t="s">
        <v>4305</v>
      </c>
      <c r="P1001" t="s">
        <v>42</v>
      </c>
      <c r="Q1001" t="s">
        <v>295</v>
      </c>
      <c r="R1001" t="s">
        <v>152</v>
      </c>
      <c r="S1001" t="s">
        <v>73</v>
      </c>
      <c r="T1001" t="s">
        <v>253</v>
      </c>
      <c r="U1001">
        <v>4955</v>
      </c>
      <c r="V1001">
        <v>246</v>
      </c>
      <c r="W1001">
        <v>23</v>
      </c>
      <c r="X1001">
        <v>1167.01</v>
      </c>
      <c r="Y1001">
        <v>117.86</v>
      </c>
      <c r="Z1001">
        <v>1284.8699999999999</v>
      </c>
      <c r="AA1001" t="s">
        <v>62</v>
      </c>
      <c r="AB1001">
        <v>0</v>
      </c>
      <c r="AC1001">
        <v>71.28</v>
      </c>
      <c r="AD1001">
        <v>122</v>
      </c>
      <c r="AE1001">
        <v>91</v>
      </c>
    </row>
    <row r="1002" spans="1:31" x14ac:dyDescent="0.25">
      <c r="C1002" s="1"/>
      <c r="D1002" s="1"/>
    </row>
    <row r="1003" spans="1:31" x14ac:dyDescent="0.25">
      <c r="C1003" s="1"/>
      <c r="D1003" s="1"/>
    </row>
    <row r="1004" spans="1:31" x14ac:dyDescent="0.25">
      <c r="C1004" s="1"/>
      <c r="D1004" s="1"/>
    </row>
    <row r="1005" spans="1:31" x14ac:dyDescent="0.25">
      <c r="C1005" s="1"/>
      <c r="D1005" s="1"/>
    </row>
    <row r="1006" spans="1:31" x14ac:dyDescent="0.25">
      <c r="C1006" s="1"/>
      <c r="D1006" s="1"/>
    </row>
    <row r="1007" spans="1:31" x14ac:dyDescent="0.25">
      <c r="C1007" s="1"/>
      <c r="D1007" s="1"/>
    </row>
    <row r="1008" spans="1:31" x14ac:dyDescent="0.25">
      <c r="C1008" s="1"/>
      <c r="D1008" s="1"/>
    </row>
    <row r="1009" spans="3:4" x14ac:dyDescent="0.25">
      <c r="C1009" s="1"/>
      <c r="D1009" s="1"/>
    </row>
    <row r="1010" spans="3:4" x14ac:dyDescent="0.25">
      <c r="C1010" s="1"/>
      <c r="D1010" s="1"/>
    </row>
    <row r="1011" spans="3:4" x14ac:dyDescent="0.25">
      <c r="C1011" s="1"/>
      <c r="D1011" s="1"/>
    </row>
    <row r="1012" spans="3:4" x14ac:dyDescent="0.25">
      <c r="C1012" s="1"/>
      <c r="D1012" s="1"/>
    </row>
    <row r="1013" spans="3:4" x14ac:dyDescent="0.25">
      <c r="C1013" s="1"/>
      <c r="D1013" s="1"/>
    </row>
    <row r="1014" spans="3:4" x14ac:dyDescent="0.25">
      <c r="C1014" s="1"/>
      <c r="D1014" s="1"/>
    </row>
    <row r="1015" spans="3:4" x14ac:dyDescent="0.25">
      <c r="C1015" s="1"/>
      <c r="D1015" s="1"/>
    </row>
    <row r="1016" spans="3:4" x14ac:dyDescent="0.25">
      <c r="C1016" s="1"/>
      <c r="D1016" s="1"/>
    </row>
    <row r="1017" spans="3:4" x14ac:dyDescent="0.25">
      <c r="C1017" s="1"/>
      <c r="D1017" s="1"/>
    </row>
    <row r="1018" spans="3:4" x14ac:dyDescent="0.25">
      <c r="C1018" s="1"/>
      <c r="D1018" s="1"/>
    </row>
    <row r="1019" spans="3:4" x14ac:dyDescent="0.25">
      <c r="C1019" s="1"/>
      <c r="D1019" s="1"/>
    </row>
    <row r="1020" spans="3:4" x14ac:dyDescent="0.25">
      <c r="C1020" s="1"/>
      <c r="D1020" s="1"/>
    </row>
    <row r="1021" spans="3:4" x14ac:dyDescent="0.25">
      <c r="C1021" s="1"/>
      <c r="D1021" s="1"/>
    </row>
    <row r="1022" spans="3:4" x14ac:dyDescent="0.25">
      <c r="C1022" s="1"/>
      <c r="D1022" s="1"/>
    </row>
    <row r="1023" spans="3:4" x14ac:dyDescent="0.25">
      <c r="C1023" s="1"/>
      <c r="D1023" s="1"/>
    </row>
    <row r="1024" spans="3:4" x14ac:dyDescent="0.25">
      <c r="C1024" s="1"/>
      <c r="D1024" s="1"/>
    </row>
    <row r="1025" spans="3:4" x14ac:dyDescent="0.25">
      <c r="C1025" s="1"/>
      <c r="D1025" s="1"/>
    </row>
    <row r="1026" spans="3:4" x14ac:dyDescent="0.25">
      <c r="C1026" s="1"/>
      <c r="D1026" s="1"/>
    </row>
    <row r="1027" spans="3:4" x14ac:dyDescent="0.25">
      <c r="C1027" s="1"/>
      <c r="D1027" s="1"/>
    </row>
    <row r="1028" spans="3:4" x14ac:dyDescent="0.25">
      <c r="C1028" s="1"/>
      <c r="D1028" s="1"/>
    </row>
    <row r="1029" spans="3:4" x14ac:dyDescent="0.25">
      <c r="C1029" s="1"/>
      <c r="D1029" s="1"/>
    </row>
    <row r="1030" spans="3:4" x14ac:dyDescent="0.25">
      <c r="C1030" s="1"/>
      <c r="D1030" s="1"/>
    </row>
    <row r="1031" spans="3:4" x14ac:dyDescent="0.25">
      <c r="C1031" s="1"/>
      <c r="D1031" s="1"/>
    </row>
    <row r="1032" spans="3:4" x14ac:dyDescent="0.25">
      <c r="C1032" s="1"/>
      <c r="D1032" s="1"/>
    </row>
    <row r="1033" spans="3:4" x14ac:dyDescent="0.25">
      <c r="C1033" s="1"/>
      <c r="D1033" s="1"/>
    </row>
    <row r="1034" spans="3:4" x14ac:dyDescent="0.25">
      <c r="C1034" s="1"/>
      <c r="D1034" s="1"/>
    </row>
    <row r="1035" spans="3:4" x14ac:dyDescent="0.25">
      <c r="C1035" s="1"/>
      <c r="D1035" s="1"/>
    </row>
    <row r="1036" spans="3:4" x14ac:dyDescent="0.25">
      <c r="C1036" s="1"/>
      <c r="D1036" s="1"/>
    </row>
    <row r="1037" spans="3:4" x14ac:dyDescent="0.25">
      <c r="C1037" s="1"/>
      <c r="D1037" s="1"/>
    </row>
    <row r="1038" spans="3:4" x14ac:dyDescent="0.25">
      <c r="C1038" s="1"/>
      <c r="D1038" s="1"/>
    </row>
    <row r="1039" spans="3:4" x14ac:dyDescent="0.25">
      <c r="C1039" s="1"/>
      <c r="D1039" s="1"/>
    </row>
    <row r="1040" spans="3:4" x14ac:dyDescent="0.25">
      <c r="C1040" s="1"/>
      <c r="D1040" s="1"/>
    </row>
    <row r="1041" spans="3:4" x14ac:dyDescent="0.25">
      <c r="C1041" s="1"/>
      <c r="D1041" s="1"/>
    </row>
    <row r="1042" spans="3:4" x14ac:dyDescent="0.25">
      <c r="C1042" s="1"/>
      <c r="D1042" s="1"/>
    </row>
    <row r="1043" spans="3:4" x14ac:dyDescent="0.25">
      <c r="C1043" s="1"/>
      <c r="D1043" s="1"/>
    </row>
    <row r="1044" spans="3:4" x14ac:dyDescent="0.25">
      <c r="C1044" s="1"/>
      <c r="D1044" s="1"/>
    </row>
    <row r="1045" spans="3:4" x14ac:dyDescent="0.25">
      <c r="C1045" s="1"/>
      <c r="D1045" s="1"/>
    </row>
    <row r="1046" spans="3:4" x14ac:dyDescent="0.25">
      <c r="C1046" s="1"/>
      <c r="D1046" s="1"/>
    </row>
    <row r="1047" spans="3:4" x14ac:dyDescent="0.25">
      <c r="C1047" s="1"/>
      <c r="D1047" s="1"/>
    </row>
    <row r="1048" spans="3:4" x14ac:dyDescent="0.25">
      <c r="C1048" s="1"/>
      <c r="D1048" s="1"/>
    </row>
    <row r="1049" spans="3:4" x14ac:dyDescent="0.25">
      <c r="C1049" s="1"/>
      <c r="D1049" s="1"/>
    </row>
    <row r="1050" spans="3:4" x14ac:dyDescent="0.25">
      <c r="C1050" s="1"/>
      <c r="D1050" s="1"/>
    </row>
    <row r="1051" spans="3:4" x14ac:dyDescent="0.25">
      <c r="C1051" s="1"/>
      <c r="D1051" s="1"/>
    </row>
    <row r="1052" spans="3:4" x14ac:dyDescent="0.25">
      <c r="C1052" s="1"/>
      <c r="D1052" s="1"/>
    </row>
    <row r="1053" spans="3:4" x14ac:dyDescent="0.25">
      <c r="C1053" s="1"/>
      <c r="D1053" s="1"/>
    </row>
    <row r="1054" spans="3:4" x14ac:dyDescent="0.25">
      <c r="C1054" s="1"/>
      <c r="D1054" s="1"/>
    </row>
    <row r="1055" spans="3:4" x14ac:dyDescent="0.25">
      <c r="C1055" s="1"/>
      <c r="D1055" s="1"/>
    </row>
    <row r="1056" spans="3:4" x14ac:dyDescent="0.25">
      <c r="C1056" s="1"/>
      <c r="D1056" s="1"/>
    </row>
    <row r="1057" spans="3:4" x14ac:dyDescent="0.25">
      <c r="C1057" s="1"/>
      <c r="D1057" s="1"/>
    </row>
    <row r="1058" spans="3:4" x14ac:dyDescent="0.25">
      <c r="C1058" s="1"/>
      <c r="D1058" s="1"/>
    </row>
    <row r="1059" spans="3:4" x14ac:dyDescent="0.25">
      <c r="C1059" s="1"/>
      <c r="D1059" s="1"/>
    </row>
    <row r="1060" spans="3:4" x14ac:dyDescent="0.25">
      <c r="C1060" s="1"/>
      <c r="D1060" s="1"/>
    </row>
    <row r="1061" spans="3:4" x14ac:dyDescent="0.25">
      <c r="C1061" s="1"/>
      <c r="D1061" s="1"/>
    </row>
    <row r="1062" spans="3:4" x14ac:dyDescent="0.25">
      <c r="C1062" s="1"/>
      <c r="D1062" s="1"/>
    </row>
    <row r="1063" spans="3:4" x14ac:dyDescent="0.25">
      <c r="C1063" s="1"/>
      <c r="D1063" s="1"/>
    </row>
    <row r="1064" spans="3:4" x14ac:dyDescent="0.25">
      <c r="C1064" s="1"/>
      <c r="D1064" s="1"/>
    </row>
    <row r="1065" spans="3:4" x14ac:dyDescent="0.25">
      <c r="C1065" s="1"/>
      <c r="D1065" s="1"/>
    </row>
    <row r="1066" spans="3:4" x14ac:dyDescent="0.25">
      <c r="C1066" s="1"/>
      <c r="D1066" s="1"/>
    </row>
    <row r="1067" spans="3:4" x14ac:dyDescent="0.25">
      <c r="C1067" s="1"/>
      <c r="D1067" s="1"/>
    </row>
    <row r="1068" spans="3:4" x14ac:dyDescent="0.25">
      <c r="C1068" s="1"/>
      <c r="D1068" s="1"/>
    </row>
    <row r="1069" spans="3:4" x14ac:dyDescent="0.25">
      <c r="C1069" s="1"/>
      <c r="D1069" s="1"/>
    </row>
    <row r="1070" spans="3:4" x14ac:dyDescent="0.25">
      <c r="C1070" s="1"/>
      <c r="D1070" s="1"/>
    </row>
    <row r="1071" spans="3:4" x14ac:dyDescent="0.25">
      <c r="C1071" s="1"/>
      <c r="D1071" s="1"/>
    </row>
    <row r="1072" spans="3:4" x14ac:dyDescent="0.25">
      <c r="C1072" s="1"/>
      <c r="D1072" s="1"/>
    </row>
    <row r="1073" spans="3:4" x14ac:dyDescent="0.25">
      <c r="C1073" s="1"/>
      <c r="D1073" s="1"/>
    </row>
    <row r="1074" spans="3:4" x14ac:dyDescent="0.25">
      <c r="C1074" s="1"/>
      <c r="D1074" s="1"/>
    </row>
    <row r="1075" spans="3:4" x14ac:dyDescent="0.25">
      <c r="C1075" s="1"/>
      <c r="D1075" s="1"/>
    </row>
    <row r="1076" spans="3:4" x14ac:dyDescent="0.25">
      <c r="C1076" s="1"/>
      <c r="D1076" s="1"/>
    </row>
    <row r="1077" spans="3:4" x14ac:dyDescent="0.25">
      <c r="C1077" s="1"/>
      <c r="D1077" s="1"/>
    </row>
    <row r="1078" spans="3:4" x14ac:dyDescent="0.25">
      <c r="C1078" s="1"/>
      <c r="D1078" s="1"/>
    </row>
    <row r="1079" spans="3:4" x14ac:dyDescent="0.25">
      <c r="C1079" s="1"/>
      <c r="D1079" s="1"/>
    </row>
    <row r="1080" spans="3:4" x14ac:dyDescent="0.25">
      <c r="C1080" s="1"/>
      <c r="D1080" s="1"/>
    </row>
    <row r="1081" spans="3:4" x14ac:dyDescent="0.25">
      <c r="C1081" s="1"/>
      <c r="D1081" s="1"/>
    </row>
    <row r="1082" spans="3:4" x14ac:dyDescent="0.25">
      <c r="C1082" s="1"/>
      <c r="D1082" s="1"/>
    </row>
    <row r="1083" spans="3:4" x14ac:dyDescent="0.25">
      <c r="C1083" s="1"/>
      <c r="D1083" s="1"/>
    </row>
    <row r="1084" spans="3:4" x14ac:dyDescent="0.25">
      <c r="C1084" s="1"/>
      <c r="D1084" s="1"/>
    </row>
    <row r="1085" spans="3:4" x14ac:dyDescent="0.25">
      <c r="C1085" s="1"/>
      <c r="D1085" s="1"/>
    </row>
    <row r="1086" spans="3:4" x14ac:dyDescent="0.25">
      <c r="C1086" s="1"/>
      <c r="D1086" s="1"/>
    </row>
    <row r="1087" spans="3:4" x14ac:dyDescent="0.25">
      <c r="C1087" s="1"/>
      <c r="D1087" s="1"/>
    </row>
    <row r="1088" spans="3:4" x14ac:dyDescent="0.25">
      <c r="C1088" s="1"/>
      <c r="D1088" s="1"/>
    </row>
    <row r="1089" spans="3:4" x14ac:dyDescent="0.25">
      <c r="C1089" s="1"/>
      <c r="D1089" s="1"/>
    </row>
    <row r="1090" spans="3:4" x14ac:dyDescent="0.25">
      <c r="C1090" s="1"/>
      <c r="D1090" s="1"/>
    </row>
    <row r="1091" spans="3:4" x14ac:dyDescent="0.25">
      <c r="C1091" s="1"/>
      <c r="D1091" s="1"/>
    </row>
    <row r="1092" spans="3:4" x14ac:dyDescent="0.25">
      <c r="C1092" s="1"/>
      <c r="D1092" s="1"/>
    </row>
    <row r="1093" spans="3:4" x14ac:dyDescent="0.25">
      <c r="C1093" s="1"/>
      <c r="D1093" s="1"/>
    </row>
    <row r="1094" spans="3:4" x14ac:dyDescent="0.25">
      <c r="C1094" s="1"/>
      <c r="D1094" s="1"/>
    </row>
    <row r="1095" spans="3:4" x14ac:dyDescent="0.25">
      <c r="C1095" s="1"/>
      <c r="D1095" s="1"/>
    </row>
    <row r="1096" spans="3:4" x14ac:dyDescent="0.25">
      <c r="C1096" s="1"/>
      <c r="D1096" s="1"/>
    </row>
    <row r="1097" spans="3:4" x14ac:dyDescent="0.25">
      <c r="C1097" s="1"/>
      <c r="D1097" s="1"/>
    </row>
    <row r="1098" spans="3:4" x14ac:dyDescent="0.25">
      <c r="C1098" s="1"/>
      <c r="D1098" s="1"/>
    </row>
    <row r="1099" spans="3:4" x14ac:dyDescent="0.25">
      <c r="C1099" s="1"/>
      <c r="D1099" s="1"/>
    </row>
    <row r="1100" spans="3:4" x14ac:dyDescent="0.25">
      <c r="C1100" s="1"/>
      <c r="D1100" s="1"/>
    </row>
    <row r="1101" spans="3:4" x14ac:dyDescent="0.25">
      <c r="C1101" s="1"/>
      <c r="D1101" s="1"/>
    </row>
    <row r="1102" spans="3:4" x14ac:dyDescent="0.25">
      <c r="C1102" s="1"/>
      <c r="D1102" s="1"/>
    </row>
    <row r="1103" spans="3:4" x14ac:dyDescent="0.25">
      <c r="C1103" s="1"/>
      <c r="D1103" s="1"/>
    </row>
    <row r="1104" spans="3:4" x14ac:dyDescent="0.25">
      <c r="C1104" s="1"/>
      <c r="D1104" s="1"/>
    </row>
    <row r="1105" spans="3:4" x14ac:dyDescent="0.25">
      <c r="C1105" s="1"/>
      <c r="D1105" s="1"/>
    </row>
    <row r="1106" spans="3:4" x14ac:dyDescent="0.25">
      <c r="C1106" s="1"/>
      <c r="D1106" s="1"/>
    </row>
    <row r="1107" spans="3:4" x14ac:dyDescent="0.25">
      <c r="C1107" s="1"/>
      <c r="D1107" s="1"/>
    </row>
    <row r="1108" spans="3:4" x14ac:dyDescent="0.25">
      <c r="C1108" s="1"/>
      <c r="D1108" s="1"/>
    </row>
    <row r="1109" spans="3:4" x14ac:dyDescent="0.25">
      <c r="C1109" s="1"/>
      <c r="D1109" s="1"/>
    </row>
    <row r="1110" spans="3:4" x14ac:dyDescent="0.25">
      <c r="C1110" s="1"/>
      <c r="D1110" s="1"/>
    </row>
    <row r="1111" spans="3:4" x14ac:dyDescent="0.25">
      <c r="C1111" s="1"/>
      <c r="D1111" s="1"/>
    </row>
    <row r="1112" spans="3:4" x14ac:dyDescent="0.25">
      <c r="C1112" s="1"/>
      <c r="D1112" s="1"/>
    </row>
    <row r="1113" spans="3:4" x14ac:dyDescent="0.25">
      <c r="C1113" s="1"/>
      <c r="D1113" s="1"/>
    </row>
    <row r="1114" spans="3:4" x14ac:dyDescent="0.25">
      <c r="C1114" s="1"/>
      <c r="D1114" s="1"/>
    </row>
    <row r="1115" spans="3:4" x14ac:dyDescent="0.25">
      <c r="C1115" s="1"/>
      <c r="D1115" s="1"/>
    </row>
    <row r="1116" spans="3:4" x14ac:dyDescent="0.25">
      <c r="C1116" s="1"/>
      <c r="D1116" s="1"/>
    </row>
    <row r="1117" spans="3:4" x14ac:dyDescent="0.25">
      <c r="C1117" s="1"/>
      <c r="D1117" s="1"/>
    </row>
    <row r="1118" spans="3:4" x14ac:dyDescent="0.25">
      <c r="C1118" s="1"/>
      <c r="D1118" s="1"/>
    </row>
    <row r="1119" spans="3:4" x14ac:dyDescent="0.25">
      <c r="C1119" s="1"/>
      <c r="D1119" s="1"/>
    </row>
    <row r="1120" spans="3:4" x14ac:dyDescent="0.25">
      <c r="C1120" s="1"/>
      <c r="D1120" s="1"/>
    </row>
    <row r="1121" spans="3:4" x14ac:dyDescent="0.25">
      <c r="C1121" s="1"/>
      <c r="D1121" s="1"/>
    </row>
    <row r="1122" spans="3:4" x14ac:dyDescent="0.25">
      <c r="C1122" s="1"/>
      <c r="D1122" s="1"/>
    </row>
    <row r="1123" spans="3:4" x14ac:dyDescent="0.25">
      <c r="C1123" s="1"/>
      <c r="D1123" s="1"/>
    </row>
    <row r="1124" spans="3:4" x14ac:dyDescent="0.25">
      <c r="C1124" s="1"/>
      <c r="D1124" s="1"/>
    </row>
    <row r="1125" spans="3:4" x14ac:dyDescent="0.25">
      <c r="C1125" s="1"/>
      <c r="D1125" s="1"/>
    </row>
    <row r="1126" spans="3:4" x14ac:dyDescent="0.25">
      <c r="C1126" s="1"/>
      <c r="D1126" s="1"/>
    </row>
    <row r="1127" spans="3:4" x14ac:dyDescent="0.25">
      <c r="C1127" s="1"/>
      <c r="D1127" s="1"/>
    </row>
    <row r="1128" spans="3:4" x14ac:dyDescent="0.25">
      <c r="C1128" s="1"/>
      <c r="D1128" s="1"/>
    </row>
    <row r="1129" spans="3:4" x14ac:dyDescent="0.25">
      <c r="C1129" s="1"/>
      <c r="D1129" s="1"/>
    </row>
    <row r="1130" spans="3:4" x14ac:dyDescent="0.25">
      <c r="C1130" s="1"/>
      <c r="D1130" s="1"/>
    </row>
    <row r="1131" spans="3:4" x14ac:dyDescent="0.25">
      <c r="C1131" s="1"/>
      <c r="D1131" s="1"/>
    </row>
    <row r="1132" spans="3:4" x14ac:dyDescent="0.25">
      <c r="C1132" s="1"/>
      <c r="D1132" s="1"/>
    </row>
    <row r="1133" spans="3:4" x14ac:dyDescent="0.25">
      <c r="C1133" s="1"/>
      <c r="D1133" s="1"/>
    </row>
    <row r="1134" spans="3:4" x14ac:dyDescent="0.25">
      <c r="C1134" s="1"/>
      <c r="D1134" s="1"/>
    </row>
    <row r="1135" spans="3:4" x14ac:dyDescent="0.25">
      <c r="C1135" s="1"/>
      <c r="D1135" s="1"/>
    </row>
    <row r="1136" spans="3:4" x14ac:dyDescent="0.25">
      <c r="C1136" s="1"/>
      <c r="D1136" s="1"/>
    </row>
    <row r="1137" spans="3:4" x14ac:dyDescent="0.25">
      <c r="C1137" s="1"/>
      <c r="D1137" s="1"/>
    </row>
    <row r="1138" spans="3:4" x14ac:dyDescent="0.25">
      <c r="C1138" s="1"/>
      <c r="D1138" s="1"/>
    </row>
    <row r="1139" spans="3:4" x14ac:dyDescent="0.25">
      <c r="C1139" s="1"/>
      <c r="D1139" s="1"/>
    </row>
    <row r="1140" spans="3:4" x14ac:dyDescent="0.25">
      <c r="C1140" s="1"/>
      <c r="D1140" s="1"/>
    </row>
    <row r="1141" spans="3:4" x14ac:dyDescent="0.25">
      <c r="C1141" s="1"/>
      <c r="D1141" s="1"/>
    </row>
    <row r="1142" spans="3:4" x14ac:dyDescent="0.25">
      <c r="C1142" s="1"/>
      <c r="D1142" s="1"/>
    </row>
    <row r="1143" spans="3:4" x14ac:dyDescent="0.25">
      <c r="C1143" s="1"/>
      <c r="D1143" s="1"/>
    </row>
    <row r="1144" spans="3:4" x14ac:dyDescent="0.25">
      <c r="C1144" s="1"/>
      <c r="D1144" s="1"/>
    </row>
    <row r="1145" spans="3:4" x14ac:dyDescent="0.25">
      <c r="C1145" s="1"/>
      <c r="D1145" s="1"/>
    </row>
    <row r="1146" spans="3:4" x14ac:dyDescent="0.25">
      <c r="C1146" s="1"/>
      <c r="D1146" s="1"/>
    </row>
    <row r="1147" spans="3:4" x14ac:dyDescent="0.25">
      <c r="C1147" s="1"/>
      <c r="D1147" s="1"/>
    </row>
    <row r="1148" spans="3:4" x14ac:dyDescent="0.25">
      <c r="C1148" s="1"/>
      <c r="D1148" s="1"/>
    </row>
    <row r="1149" spans="3:4" x14ac:dyDescent="0.25">
      <c r="C1149" s="1"/>
      <c r="D1149" s="1"/>
    </row>
    <row r="1150" spans="3:4" x14ac:dyDescent="0.25">
      <c r="C1150" s="1"/>
      <c r="D1150" s="1"/>
    </row>
    <row r="1151" spans="3:4" x14ac:dyDescent="0.25">
      <c r="C1151" s="1"/>
      <c r="D1151" s="1"/>
    </row>
    <row r="1152" spans="3:4" x14ac:dyDescent="0.25">
      <c r="C1152" s="1"/>
      <c r="D1152" s="1"/>
    </row>
    <row r="1153" spans="3:4" x14ac:dyDescent="0.25">
      <c r="C1153" s="1"/>
      <c r="D1153" s="1"/>
    </row>
    <row r="1154" spans="3:4" x14ac:dyDescent="0.25">
      <c r="C1154" s="1"/>
      <c r="D1154" s="1"/>
    </row>
    <row r="1155" spans="3:4" x14ac:dyDescent="0.25">
      <c r="C1155" s="1"/>
      <c r="D1155" s="1"/>
    </row>
    <row r="1156" spans="3:4" x14ac:dyDescent="0.25">
      <c r="C1156" s="1"/>
      <c r="D1156" s="1"/>
    </row>
    <row r="1157" spans="3:4" x14ac:dyDescent="0.25">
      <c r="C1157" s="1"/>
      <c r="D1157" s="1"/>
    </row>
    <row r="1158" spans="3:4" x14ac:dyDescent="0.25">
      <c r="C1158" s="1"/>
      <c r="D1158" s="1"/>
    </row>
    <row r="1159" spans="3:4" x14ac:dyDescent="0.25">
      <c r="C1159" s="1"/>
      <c r="D1159" s="1"/>
    </row>
    <row r="1160" spans="3:4" x14ac:dyDescent="0.25">
      <c r="C1160" s="1"/>
      <c r="D1160" s="1"/>
    </row>
    <row r="1161" spans="3:4" x14ac:dyDescent="0.25">
      <c r="C1161" s="1"/>
      <c r="D1161" s="1"/>
    </row>
    <row r="1162" spans="3:4" x14ac:dyDescent="0.25">
      <c r="C1162" s="1"/>
      <c r="D1162" s="1"/>
    </row>
    <row r="1163" spans="3:4" x14ac:dyDescent="0.25">
      <c r="C1163" s="1"/>
      <c r="D1163" s="1"/>
    </row>
    <row r="1164" spans="3:4" x14ac:dyDescent="0.25">
      <c r="C1164" s="1"/>
      <c r="D1164" s="1"/>
    </row>
    <row r="1165" spans="3:4" x14ac:dyDescent="0.25">
      <c r="C1165" s="1"/>
      <c r="D1165" s="1"/>
    </row>
    <row r="1166" spans="3:4" x14ac:dyDescent="0.25">
      <c r="C1166" s="1"/>
      <c r="D1166" s="1"/>
    </row>
    <row r="1167" spans="3:4" x14ac:dyDescent="0.25">
      <c r="C1167" s="1"/>
      <c r="D1167" s="1"/>
    </row>
    <row r="1168" spans="3:4" x14ac:dyDescent="0.25">
      <c r="C1168" s="1"/>
      <c r="D1168" s="1"/>
    </row>
    <row r="1169" spans="3:4" x14ac:dyDescent="0.25">
      <c r="C1169" s="1"/>
      <c r="D1169" s="1"/>
    </row>
    <row r="1170" spans="3:4" x14ac:dyDescent="0.25">
      <c r="C1170" s="1"/>
      <c r="D1170" s="1"/>
    </row>
    <row r="1171" spans="3:4" x14ac:dyDescent="0.25">
      <c r="C1171" s="1"/>
      <c r="D1171" s="1"/>
    </row>
    <row r="1172" spans="3:4" x14ac:dyDescent="0.25">
      <c r="C1172" s="1"/>
      <c r="D1172" s="1"/>
    </row>
    <row r="1173" spans="3:4" x14ac:dyDescent="0.25">
      <c r="C1173" s="1"/>
      <c r="D1173" s="1"/>
    </row>
    <row r="1174" spans="3:4" x14ac:dyDescent="0.25">
      <c r="C1174" s="1"/>
      <c r="D1174" s="1"/>
    </row>
    <row r="1175" spans="3:4" x14ac:dyDescent="0.25">
      <c r="C1175" s="1"/>
      <c r="D1175" s="1"/>
    </row>
    <row r="1176" spans="3:4" x14ac:dyDescent="0.25">
      <c r="C1176" s="1"/>
      <c r="D1176" s="1"/>
    </row>
    <row r="1177" spans="3:4" x14ac:dyDescent="0.25">
      <c r="C1177" s="1"/>
      <c r="D1177" s="1"/>
    </row>
    <row r="1178" spans="3:4" x14ac:dyDescent="0.25">
      <c r="C1178" s="1"/>
      <c r="D1178" s="1"/>
    </row>
    <row r="1179" spans="3:4" x14ac:dyDescent="0.25">
      <c r="C1179" s="1"/>
      <c r="D1179" s="1"/>
    </row>
    <row r="1180" spans="3:4" x14ac:dyDescent="0.25">
      <c r="C1180" s="1"/>
      <c r="D1180" s="1"/>
    </row>
    <row r="1181" spans="3:4" x14ac:dyDescent="0.25">
      <c r="C1181" s="1"/>
      <c r="D1181" s="1"/>
    </row>
    <row r="1182" spans="3:4" x14ac:dyDescent="0.25">
      <c r="C1182" s="1"/>
      <c r="D1182" s="1"/>
    </row>
    <row r="1183" spans="3:4" x14ac:dyDescent="0.25">
      <c r="C1183" s="1"/>
      <c r="D1183" s="1"/>
    </row>
    <row r="1184" spans="3:4" x14ac:dyDescent="0.25">
      <c r="C1184" s="1"/>
      <c r="D1184" s="1"/>
    </row>
    <row r="1185" spans="3:4" x14ac:dyDescent="0.25">
      <c r="C1185" s="1"/>
      <c r="D1185" s="1"/>
    </row>
    <row r="1186" spans="3:4" x14ac:dyDescent="0.25">
      <c r="C1186" s="1"/>
      <c r="D1186" s="1"/>
    </row>
    <row r="1187" spans="3:4" x14ac:dyDescent="0.25">
      <c r="C1187" s="1"/>
      <c r="D1187" s="1"/>
    </row>
    <row r="1188" spans="3:4" x14ac:dyDescent="0.25">
      <c r="C1188" s="1"/>
      <c r="D1188" s="1"/>
    </row>
    <row r="1189" spans="3:4" x14ac:dyDescent="0.25">
      <c r="C1189" s="1"/>
      <c r="D1189" s="1"/>
    </row>
    <row r="1190" spans="3:4" x14ac:dyDescent="0.25">
      <c r="C1190" s="1"/>
      <c r="D1190" s="1"/>
    </row>
    <row r="1191" spans="3:4" x14ac:dyDescent="0.25">
      <c r="C1191" s="1"/>
      <c r="D1191" s="1"/>
    </row>
    <row r="1192" spans="3:4" x14ac:dyDescent="0.25">
      <c r="C1192" s="1"/>
      <c r="D1192" s="1"/>
    </row>
    <row r="1193" spans="3:4" x14ac:dyDescent="0.25">
      <c r="C1193" s="1"/>
      <c r="D1193" s="1"/>
    </row>
    <row r="1194" spans="3:4" x14ac:dyDescent="0.25">
      <c r="C1194" s="1"/>
      <c r="D1194" s="1"/>
    </row>
    <row r="1195" spans="3:4" x14ac:dyDescent="0.25">
      <c r="C1195" s="1"/>
      <c r="D1195" s="1"/>
    </row>
    <row r="1196" spans="3:4" x14ac:dyDescent="0.25">
      <c r="C1196" s="1"/>
      <c r="D1196" s="1"/>
    </row>
    <row r="1197" spans="3:4" x14ac:dyDescent="0.25">
      <c r="C1197" s="1"/>
      <c r="D1197" s="1"/>
    </row>
    <row r="1198" spans="3:4" x14ac:dyDescent="0.25">
      <c r="C1198" s="1"/>
      <c r="D1198" s="1"/>
    </row>
    <row r="1199" spans="3:4" x14ac:dyDescent="0.25">
      <c r="C1199" s="1"/>
      <c r="D1199" s="1"/>
    </row>
    <row r="1200" spans="3:4" x14ac:dyDescent="0.25">
      <c r="C1200" s="1"/>
      <c r="D1200" s="1"/>
    </row>
    <row r="1201" spans="3:4" x14ac:dyDescent="0.25">
      <c r="C1201" s="1"/>
      <c r="D1201" s="1"/>
    </row>
    <row r="1202" spans="3:4" x14ac:dyDescent="0.25">
      <c r="C1202" s="1"/>
      <c r="D1202" s="1"/>
    </row>
    <row r="1203" spans="3:4" x14ac:dyDescent="0.25">
      <c r="C1203" s="1"/>
      <c r="D1203" s="1"/>
    </row>
    <row r="1204" spans="3:4" x14ac:dyDescent="0.25">
      <c r="C1204" s="1"/>
      <c r="D1204" s="1"/>
    </row>
    <row r="1205" spans="3:4" x14ac:dyDescent="0.25">
      <c r="C1205" s="1"/>
      <c r="D1205" s="1"/>
    </row>
    <row r="1206" spans="3:4" x14ac:dyDescent="0.25">
      <c r="C1206" s="1"/>
      <c r="D1206" s="1"/>
    </row>
    <row r="1207" spans="3:4" x14ac:dyDescent="0.25">
      <c r="C1207" s="1"/>
      <c r="D1207" s="1"/>
    </row>
    <row r="1208" spans="3:4" x14ac:dyDescent="0.25">
      <c r="C1208" s="1"/>
      <c r="D1208" s="1"/>
    </row>
    <row r="1209" spans="3:4" x14ac:dyDescent="0.25">
      <c r="C1209" s="1"/>
      <c r="D1209" s="1"/>
    </row>
    <row r="1210" spans="3:4" x14ac:dyDescent="0.25">
      <c r="C1210" s="1"/>
      <c r="D1210" s="1"/>
    </row>
    <row r="1211" spans="3:4" x14ac:dyDescent="0.25">
      <c r="C1211" s="1"/>
      <c r="D1211" s="1"/>
    </row>
    <row r="1212" spans="3:4" x14ac:dyDescent="0.25">
      <c r="C1212" s="1"/>
      <c r="D1212" s="1"/>
    </row>
    <row r="1213" spans="3:4" x14ac:dyDescent="0.25">
      <c r="C1213" s="1"/>
      <c r="D1213" s="1"/>
    </row>
    <row r="1214" spans="3:4" x14ac:dyDescent="0.25">
      <c r="C1214" s="1"/>
      <c r="D1214" s="1"/>
    </row>
    <row r="1215" spans="3:4" x14ac:dyDescent="0.25">
      <c r="C1215" s="1"/>
      <c r="D1215" s="1"/>
    </row>
    <row r="1216" spans="3:4" x14ac:dyDescent="0.25">
      <c r="C1216" s="1"/>
      <c r="D1216" s="1"/>
    </row>
    <row r="1217" spans="3:4" x14ac:dyDescent="0.25">
      <c r="C1217" s="1"/>
      <c r="D1217" s="1"/>
    </row>
    <row r="1218" spans="3:4" x14ac:dyDescent="0.25">
      <c r="C1218" s="1"/>
      <c r="D1218" s="1"/>
    </row>
    <row r="1219" spans="3:4" x14ac:dyDescent="0.25">
      <c r="C1219" s="1"/>
      <c r="D1219" s="1"/>
    </row>
    <row r="1220" spans="3:4" x14ac:dyDescent="0.25">
      <c r="C1220" s="1"/>
      <c r="D1220" s="1"/>
    </row>
    <row r="1221" spans="3:4" x14ac:dyDescent="0.25">
      <c r="C1221" s="1"/>
      <c r="D1221" s="1"/>
    </row>
    <row r="1222" spans="3:4" x14ac:dyDescent="0.25">
      <c r="C1222" s="1"/>
      <c r="D1222" s="1"/>
    </row>
    <row r="1223" spans="3:4" x14ac:dyDescent="0.25">
      <c r="C1223" s="1"/>
      <c r="D1223" s="1"/>
    </row>
    <row r="1224" spans="3:4" x14ac:dyDescent="0.25">
      <c r="C1224" s="1"/>
      <c r="D1224" s="1"/>
    </row>
    <row r="1225" spans="3:4" x14ac:dyDescent="0.25">
      <c r="C1225" s="1"/>
      <c r="D1225" s="1"/>
    </row>
    <row r="1226" spans="3:4" x14ac:dyDescent="0.25">
      <c r="C1226" s="1"/>
      <c r="D1226" s="1"/>
    </row>
    <row r="1227" spans="3:4" x14ac:dyDescent="0.25">
      <c r="C1227" s="1"/>
      <c r="D1227" s="1"/>
    </row>
    <row r="1228" spans="3:4" x14ac:dyDescent="0.25">
      <c r="C1228" s="1"/>
      <c r="D1228" s="1"/>
    </row>
    <row r="1229" spans="3:4" x14ac:dyDescent="0.25">
      <c r="C1229" s="1"/>
      <c r="D1229" s="1"/>
    </row>
    <row r="1230" spans="3:4" x14ac:dyDescent="0.25">
      <c r="C1230" s="1"/>
      <c r="D1230" s="1"/>
    </row>
    <row r="1231" spans="3:4" x14ac:dyDescent="0.25">
      <c r="C1231" s="1"/>
      <c r="D1231" s="1"/>
    </row>
    <row r="1232" spans="3:4" x14ac:dyDescent="0.25">
      <c r="C1232" s="1"/>
      <c r="D1232" s="1"/>
    </row>
    <row r="1233" spans="3:4" x14ac:dyDescent="0.25">
      <c r="C1233" s="1"/>
      <c r="D1233" s="1"/>
    </row>
    <row r="1234" spans="3:4" x14ac:dyDescent="0.25">
      <c r="C1234" s="1"/>
      <c r="D1234" s="1"/>
    </row>
    <row r="1235" spans="3:4" x14ac:dyDescent="0.25">
      <c r="C1235" s="1"/>
      <c r="D1235" s="1"/>
    </row>
    <row r="1236" spans="3:4" x14ac:dyDescent="0.25">
      <c r="C1236" s="1"/>
      <c r="D1236" s="1"/>
    </row>
    <row r="1237" spans="3:4" x14ac:dyDescent="0.25">
      <c r="C1237" s="1"/>
      <c r="D1237" s="1"/>
    </row>
    <row r="1238" spans="3:4" x14ac:dyDescent="0.25">
      <c r="C1238" s="1"/>
      <c r="D1238" s="1"/>
    </row>
    <row r="1239" spans="3:4" x14ac:dyDescent="0.25">
      <c r="C1239" s="1"/>
      <c r="D1239" s="1"/>
    </row>
    <row r="1240" spans="3:4" x14ac:dyDescent="0.25">
      <c r="C1240" s="1"/>
      <c r="D1240" s="1"/>
    </row>
    <row r="1241" spans="3:4" x14ac:dyDescent="0.25">
      <c r="C1241" s="1"/>
      <c r="D1241" s="1"/>
    </row>
    <row r="1242" spans="3:4" x14ac:dyDescent="0.25">
      <c r="C1242" s="1"/>
      <c r="D1242" s="1"/>
    </row>
    <row r="1243" spans="3:4" x14ac:dyDescent="0.25">
      <c r="C1243" s="1"/>
      <c r="D1243" s="1"/>
    </row>
    <row r="1244" spans="3:4" x14ac:dyDescent="0.25">
      <c r="C1244" s="1"/>
      <c r="D1244" s="1"/>
    </row>
    <row r="1245" spans="3:4" x14ac:dyDescent="0.25">
      <c r="C1245" s="1"/>
      <c r="D1245" s="1"/>
    </row>
    <row r="1246" spans="3:4" x14ac:dyDescent="0.25">
      <c r="C1246" s="1"/>
      <c r="D1246" s="1"/>
    </row>
    <row r="1247" spans="3:4" x14ac:dyDescent="0.25">
      <c r="C1247" s="1"/>
      <c r="D1247" s="1"/>
    </row>
    <row r="1248" spans="3:4" x14ac:dyDescent="0.25">
      <c r="C1248" s="1"/>
      <c r="D1248" s="1"/>
    </row>
    <row r="1249" spans="3:4" x14ac:dyDescent="0.25">
      <c r="C1249" s="1"/>
      <c r="D1249" s="1"/>
    </row>
    <row r="1250" spans="3:4" x14ac:dyDescent="0.25">
      <c r="C1250" s="1"/>
      <c r="D1250" s="1"/>
    </row>
    <row r="1251" spans="3:4" x14ac:dyDescent="0.25">
      <c r="C1251" s="1"/>
      <c r="D1251" s="1"/>
    </row>
    <row r="1252" spans="3:4" x14ac:dyDescent="0.25">
      <c r="C1252" s="1"/>
      <c r="D1252" s="1"/>
    </row>
    <row r="1253" spans="3:4" x14ac:dyDescent="0.25">
      <c r="C1253" s="1"/>
      <c r="D1253" s="1"/>
    </row>
    <row r="1254" spans="3:4" x14ac:dyDescent="0.25">
      <c r="C1254" s="1"/>
      <c r="D1254" s="1"/>
    </row>
    <row r="1255" spans="3:4" x14ac:dyDescent="0.25">
      <c r="C1255" s="1"/>
      <c r="D1255" s="1"/>
    </row>
    <row r="1256" spans="3:4" x14ac:dyDescent="0.25">
      <c r="C1256" s="1"/>
      <c r="D1256" s="1"/>
    </row>
    <row r="1257" spans="3:4" x14ac:dyDescent="0.25">
      <c r="C1257" s="1"/>
      <c r="D1257" s="1"/>
    </row>
    <row r="1258" spans="3:4" x14ac:dyDescent="0.25">
      <c r="C1258" s="1"/>
      <c r="D1258" s="1"/>
    </row>
    <row r="1259" spans="3:4" x14ac:dyDescent="0.25">
      <c r="C1259" s="1"/>
      <c r="D1259" s="1"/>
    </row>
    <row r="1260" spans="3:4" x14ac:dyDescent="0.25">
      <c r="C1260" s="1"/>
      <c r="D1260" s="1"/>
    </row>
    <row r="1261" spans="3:4" x14ac:dyDescent="0.25">
      <c r="C1261" s="1"/>
      <c r="D1261" s="1"/>
    </row>
    <row r="1262" spans="3:4" x14ac:dyDescent="0.25">
      <c r="C1262" s="1"/>
      <c r="D1262" s="1"/>
    </row>
    <row r="1263" spans="3:4" x14ac:dyDescent="0.25">
      <c r="C1263" s="1"/>
      <c r="D1263" s="1"/>
    </row>
    <row r="1264" spans="3:4" x14ac:dyDescent="0.25">
      <c r="C1264" s="1"/>
      <c r="D1264" s="1"/>
    </row>
    <row r="1265" spans="3:4" x14ac:dyDescent="0.25">
      <c r="C1265" s="1"/>
      <c r="D1265" s="1"/>
    </row>
    <row r="1266" spans="3:4" x14ac:dyDescent="0.25">
      <c r="C1266" s="1"/>
      <c r="D1266" s="1"/>
    </row>
    <row r="1267" spans="3:4" x14ac:dyDescent="0.25">
      <c r="C1267" s="1"/>
      <c r="D1267" s="1"/>
    </row>
    <row r="1268" spans="3:4" x14ac:dyDescent="0.25">
      <c r="C1268" s="1"/>
      <c r="D1268" s="1"/>
    </row>
    <row r="1269" spans="3:4" x14ac:dyDescent="0.25">
      <c r="C1269" s="1"/>
      <c r="D1269" s="1"/>
    </row>
    <row r="1270" spans="3:4" x14ac:dyDescent="0.25">
      <c r="C1270" s="1"/>
      <c r="D1270" s="1"/>
    </row>
    <row r="1271" spans="3:4" x14ac:dyDescent="0.25">
      <c r="C1271" s="1"/>
      <c r="D1271" s="1"/>
    </row>
    <row r="1272" spans="3:4" x14ac:dyDescent="0.25">
      <c r="C1272" s="1"/>
      <c r="D1272" s="1"/>
    </row>
    <row r="1273" spans="3:4" x14ac:dyDescent="0.25">
      <c r="C1273" s="1"/>
      <c r="D1273" s="1"/>
    </row>
    <row r="1274" spans="3:4" x14ac:dyDescent="0.25">
      <c r="C1274" s="1"/>
      <c r="D1274" s="1"/>
    </row>
    <row r="1275" spans="3:4" x14ac:dyDescent="0.25">
      <c r="C1275" s="1"/>
      <c r="D1275" s="1"/>
    </row>
    <row r="1276" spans="3:4" x14ac:dyDescent="0.25">
      <c r="C1276" s="1"/>
      <c r="D1276" s="1"/>
    </row>
    <row r="1277" spans="3:4" x14ac:dyDescent="0.25">
      <c r="C1277" s="1"/>
      <c r="D1277" s="1"/>
    </row>
    <row r="1278" spans="3:4" x14ac:dyDescent="0.25">
      <c r="C1278" s="1"/>
      <c r="D1278" s="1"/>
    </row>
    <row r="1279" spans="3:4" x14ac:dyDescent="0.25">
      <c r="C1279" s="1"/>
      <c r="D1279" s="1"/>
    </row>
    <row r="1280" spans="3:4" x14ac:dyDescent="0.25">
      <c r="C1280" s="1"/>
      <c r="D1280" s="1"/>
    </row>
    <row r="1281" spans="3:4" x14ac:dyDescent="0.25">
      <c r="C1281" s="1"/>
      <c r="D1281" s="1"/>
    </row>
    <row r="1282" spans="3:4" x14ac:dyDescent="0.25">
      <c r="C1282" s="1"/>
      <c r="D1282" s="1"/>
    </row>
    <row r="1283" spans="3:4" x14ac:dyDescent="0.25">
      <c r="C1283" s="1"/>
      <c r="D1283" s="1"/>
    </row>
    <row r="1284" spans="3:4" x14ac:dyDescent="0.25">
      <c r="C1284" s="1"/>
      <c r="D1284" s="1"/>
    </row>
    <row r="1285" spans="3:4" x14ac:dyDescent="0.25">
      <c r="C1285" s="1"/>
      <c r="D1285" s="1"/>
    </row>
    <row r="1286" spans="3:4" x14ac:dyDescent="0.25">
      <c r="C1286" s="1"/>
      <c r="D1286" s="1"/>
    </row>
    <row r="1287" spans="3:4" x14ac:dyDescent="0.25">
      <c r="C1287" s="1"/>
      <c r="D1287" s="1"/>
    </row>
    <row r="1288" spans="3:4" x14ac:dyDescent="0.25">
      <c r="C1288" s="1"/>
      <c r="D1288" s="1"/>
    </row>
    <row r="1289" spans="3:4" x14ac:dyDescent="0.25">
      <c r="C1289" s="1"/>
      <c r="D1289" s="1"/>
    </row>
    <row r="1290" spans="3:4" x14ac:dyDescent="0.25">
      <c r="C1290" s="1"/>
      <c r="D1290" s="1"/>
    </row>
    <row r="1291" spans="3:4" x14ac:dyDescent="0.25">
      <c r="C1291" s="1"/>
      <c r="D1291" s="1"/>
    </row>
    <row r="1292" spans="3:4" x14ac:dyDescent="0.25">
      <c r="C1292" s="1"/>
      <c r="D1292" s="1"/>
    </row>
    <row r="1293" spans="3:4" x14ac:dyDescent="0.25">
      <c r="C1293" s="1"/>
      <c r="D1293" s="1"/>
    </row>
    <row r="1294" spans="3:4" x14ac:dyDescent="0.25">
      <c r="C1294" s="1"/>
      <c r="D1294" s="1"/>
    </row>
    <row r="1295" spans="3:4" x14ac:dyDescent="0.25">
      <c r="C1295" s="1"/>
      <c r="D1295" s="1"/>
    </row>
    <row r="1296" spans="3:4" x14ac:dyDescent="0.25">
      <c r="C1296" s="1"/>
      <c r="D1296" s="1"/>
    </row>
    <row r="1297" spans="3:4" x14ac:dyDescent="0.25">
      <c r="C1297" s="1"/>
      <c r="D1297" s="1"/>
    </row>
    <row r="1298" spans="3:4" x14ac:dyDescent="0.25">
      <c r="C1298" s="1"/>
      <c r="D1298" s="1"/>
    </row>
    <row r="1299" spans="3:4" x14ac:dyDescent="0.25">
      <c r="C1299" s="1"/>
      <c r="D1299" s="1"/>
    </row>
    <row r="1300" spans="3:4" x14ac:dyDescent="0.25">
      <c r="C1300" s="1"/>
      <c r="D1300" s="1"/>
    </row>
    <row r="1301" spans="3:4" x14ac:dyDescent="0.25">
      <c r="C1301" s="1"/>
      <c r="D1301" s="1"/>
    </row>
    <row r="1302" spans="3:4" x14ac:dyDescent="0.25">
      <c r="C1302" s="1"/>
      <c r="D1302" s="1"/>
    </row>
    <row r="1303" spans="3:4" x14ac:dyDescent="0.25">
      <c r="C1303" s="1"/>
      <c r="D1303" s="1"/>
    </row>
    <row r="1304" spans="3:4" x14ac:dyDescent="0.25">
      <c r="C1304" s="1"/>
      <c r="D1304" s="1"/>
    </row>
    <row r="1305" spans="3:4" x14ac:dyDescent="0.25">
      <c r="C1305" s="1"/>
      <c r="D1305" s="1"/>
    </row>
    <row r="1306" spans="3:4" x14ac:dyDescent="0.25">
      <c r="C1306" s="1"/>
      <c r="D1306" s="1"/>
    </row>
    <row r="1307" spans="3:4" x14ac:dyDescent="0.25">
      <c r="C1307" s="1"/>
      <c r="D1307" s="1"/>
    </row>
    <row r="1308" spans="3:4" x14ac:dyDescent="0.25">
      <c r="C1308" s="1"/>
      <c r="D1308" s="1"/>
    </row>
    <row r="1309" spans="3:4" x14ac:dyDescent="0.25">
      <c r="C1309" s="1"/>
      <c r="D1309" s="1"/>
    </row>
    <row r="1310" spans="3:4" x14ac:dyDescent="0.25">
      <c r="C1310" s="1"/>
      <c r="D1310" s="1"/>
    </row>
    <row r="1311" spans="3:4" x14ac:dyDescent="0.25">
      <c r="C1311" s="1"/>
      <c r="D1311" s="1"/>
    </row>
    <row r="1312" spans="3:4" x14ac:dyDescent="0.25">
      <c r="C1312" s="1"/>
      <c r="D1312" s="1"/>
    </row>
    <row r="1313" spans="3:4" x14ac:dyDescent="0.25">
      <c r="C1313" s="1"/>
      <c r="D1313" s="1"/>
    </row>
    <row r="1314" spans="3:4" x14ac:dyDescent="0.25">
      <c r="C1314" s="1"/>
      <c r="D1314" s="1"/>
    </row>
    <row r="1315" spans="3:4" x14ac:dyDescent="0.25">
      <c r="C1315" s="1"/>
      <c r="D1315" s="1"/>
    </row>
    <row r="1316" spans="3:4" x14ac:dyDescent="0.25">
      <c r="C1316" s="1"/>
      <c r="D1316" s="1"/>
    </row>
    <row r="1317" spans="3:4" x14ac:dyDescent="0.25">
      <c r="C1317" s="1"/>
      <c r="D1317" s="1"/>
    </row>
    <row r="1318" spans="3:4" x14ac:dyDescent="0.25">
      <c r="C1318" s="1"/>
      <c r="D1318" s="1"/>
    </row>
    <row r="1319" spans="3:4" x14ac:dyDescent="0.25">
      <c r="C1319" s="1"/>
      <c r="D1319" s="1"/>
    </row>
    <row r="1320" spans="3:4" x14ac:dyDescent="0.25">
      <c r="C1320" s="1"/>
      <c r="D1320" s="1"/>
    </row>
    <row r="1321" spans="3:4" x14ac:dyDescent="0.25">
      <c r="C1321" s="1"/>
      <c r="D1321" s="1"/>
    </row>
    <row r="1322" spans="3:4" x14ac:dyDescent="0.25">
      <c r="C1322" s="1"/>
      <c r="D1322" s="1"/>
    </row>
    <row r="1323" spans="3:4" x14ac:dyDescent="0.25">
      <c r="C1323" s="1"/>
      <c r="D1323" s="1"/>
    </row>
    <row r="1324" spans="3:4" x14ac:dyDescent="0.25">
      <c r="C1324" s="1"/>
      <c r="D1324" s="1"/>
    </row>
    <row r="1325" spans="3:4" x14ac:dyDescent="0.25">
      <c r="C1325" s="1"/>
      <c r="D1325" s="1"/>
    </row>
    <row r="1326" spans="3:4" x14ac:dyDescent="0.25">
      <c r="C1326" s="1"/>
      <c r="D1326" s="1"/>
    </row>
    <row r="1327" spans="3:4" x14ac:dyDescent="0.25">
      <c r="C1327" s="1"/>
      <c r="D1327" s="1"/>
    </row>
    <row r="1328" spans="3:4" x14ac:dyDescent="0.25">
      <c r="C1328" s="1"/>
      <c r="D1328" s="1"/>
    </row>
    <row r="1329" spans="3:4" x14ac:dyDescent="0.25">
      <c r="C1329" s="1"/>
      <c r="D1329" s="1"/>
    </row>
    <row r="1330" spans="3:4" x14ac:dyDescent="0.25">
      <c r="C1330" s="1"/>
      <c r="D1330" s="1"/>
    </row>
    <row r="1331" spans="3:4" x14ac:dyDescent="0.25">
      <c r="C1331" s="1"/>
      <c r="D1331" s="1"/>
    </row>
    <row r="1332" spans="3:4" x14ac:dyDescent="0.25">
      <c r="C1332" s="1"/>
      <c r="D1332" s="1"/>
    </row>
    <row r="1333" spans="3:4" x14ac:dyDescent="0.25">
      <c r="C1333" s="1"/>
      <c r="D1333" s="1"/>
    </row>
    <row r="1334" spans="3:4" x14ac:dyDescent="0.25">
      <c r="C1334" s="1"/>
      <c r="D1334" s="1"/>
    </row>
    <row r="1335" spans="3:4" x14ac:dyDescent="0.25">
      <c r="C1335" s="1"/>
      <c r="D1335" s="1"/>
    </row>
    <row r="1336" spans="3:4" x14ac:dyDescent="0.25">
      <c r="C1336" s="1"/>
      <c r="D1336" s="1"/>
    </row>
    <row r="1337" spans="3:4" x14ac:dyDescent="0.25">
      <c r="C1337" s="1"/>
      <c r="D1337" s="1"/>
    </row>
    <row r="1338" spans="3:4" x14ac:dyDescent="0.25">
      <c r="C1338" s="1"/>
      <c r="D1338" s="1"/>
    </row>
    <row r="1339" spans="3:4" x14ac:dyDescent="0.25">
      <c r="C1339" s="1"/>
      <c r="D1339" s="1"/>
    </row>
    <row r="1340" spans="3:4" x14ac:dyDescent="0.25">
      <c r="C1340" s="1"/>
      <c r="D1340" s="1"/>
    </row>
    <row r="1341" spans="3:4" x14ac:dyDescent="0.25">
      <c r="C1341" s="1"/>
      <c r="D1341" s="1"/>
    </row>
    <row r="1342" spans="3:4" x14ac:dyDescent="0.25">
      <c r="C1342" s="1"/>
      <c r="D1342" s="1"/>
    </row>
    <row r="1343" spans="3:4" x14ac:dyDescent="0.25">
      <c r="C1343" s="1"/>
      <c r="D1343" s="1"/>
    </row>
    <row r="1344" spans="3:4" x14ac:dyDescent="0.25">
      <c r="C1344" s="1"/>
      <c r="D1344" s="1"/>
    </row>
    <row r="1345" spans="3:4" x14ac:dyDescent="0.25">
      <c r="C1345" s="1"/>
      <c r="D1345" s="1"/>
    </row>
    <row r="1346" spans="3:4" x14ac:dyDescent="0.25">
      <c r="C1346" s="1"/>
      <c r="D1346" s="1"/>
    </row>
    <row r="1347" spans="3:4" x14ac:dyDescent="0.25">
      <c r="C1347" s="1"/>
      <c r="D1347" s="1"/>
    </row>
    <row r="1348" spans="3:4" x14ac:dyDescent="0.25">
      <c r="C1348" s="1"/>
      <c r="D1348" s="1"/>
    </row>
    <row r="1349" spans="3:4" x14ac:dyDescent="0.25">
      <c r="C1349" s="1"/>
      <c r="D1349" s="1"/>
    </row>
    <row r="1350" spans="3:4" x14ac:dyDescent="0.25">
      <c r="C1350" s="1"/>
      <c r="D1350" s="1"/>
    </row>
    <row r="1351" spans="3:4" x14ac:dyDescent="0.25">
      <c r="C1351" s="1"/>
      <c r="D1351" s="1"/>
    </row>
    <row r="1352" spans="3:4" x14ac:dyDescent="0.25">
      <c r="C1352" s="1"/>
      <c r="D1352" s="1"/>
    </row>
    <row r="1353" spans="3:4" x14ac:dyDescent="0.25">
      <c r="C1353" s="1"/>
      <c r="D1353" s="1"/>
    </row>
    <row r="1354" spans="3:4" x14ac:dyDescent="0.25">
      <c r="C1354" s="1"/>
      <c r="D1354" s="1"/>
    </row>
    <row r="1355" spans="3:4" x14ac:dyDescent="0.25">
      <c r="C1355" s="1"/>
      <c r="D1355" s="1"/>
    </row>
    <row r="1356" spans="3:4" x14ac:dyDescent="0.25">
      <c r="C1356" s="1"/>
      <c r="D1356" s="1"/>
    </row>
    <row r="1357" spans="3:4" x14ac:dyDescent="0.25">
      <c r="C1357" s="1"/>
      <c r="D1357" s="1"/>
    </row>
    <row r="1358" spans="3:4" x14ac:dyDescent="0.25">
      <c r="C1358" s="1"/>
      <c r="D1358" s="1"/>
    </row>
    <row r="1359" spans="3:4" x14ac:dyDescent="0.25">
      <c r="C1359" s="1"/>
      <c r="D1359" s="1"/>
    </row>
    <row r="1360" spans="3:4" x14ac:dyDescent="0.25">
      <c r="C1360" s="1"/>
      <c r="D1360" s="1"/>
    </row>
    <row r="1361" spans="3:4" x14ac:dyDescent="0.25">
      <c r="C1361" s="1"/>
      <c r="D1361" s="1"/>
    </row>
    <row r="1362" spans="3:4" x14ac:dyDescent="0.25">
      <c r="C1362" s="1"/>
      <c r="D1362" s="1"/>
    </row>
    <row r="1363" spans="3:4" x14ac:dyDescent="0.25">
      <c r="C1363" s="1"/>
      <c r="D1363" s="1"/>
    </row>
    <row r="1364" spans="3:4" x14ac:dyDescent="0.25">
      <c r="C1364" s="1"/>
      <c r="D1364" s="1"/>
    </row>
    <row r="1365" spans="3:4" x14ac:dyDescent="0.25">
      <c r="C1365" s="1"/>
      <c r="D1365" s="1"/>
    </row>
    <row r="1366" spans="3:4" x14ac:dyDescent="0.25">
      <c r="C1366" s="1"/>
      <c r="D1366" s="1"/>
    </row>
    <row r="1367" spans="3:4" x14ac:dyDescent="0.25">
      <c r="C1367" s="1"/>
      <c r="D1367" s="1"/>
    </row>
    <row r="1368" spans="3:4" x14ac:dyDescent="0.25">
      <c r="C1368" s="1"/>
      <c r="D1368" s="1"/>
    </row>
    <row r="1369" spans="3:4" x14ac:dyDescent="0.25">
      <c r="C1369" s="1"/>
      <c r="D1369" s="1"/>
    </row>
    <row r="1370" spans="3:4" x14ac:dyDescent="0.25">
      <c r="C1370" s="1"/>
      <c r="D1370" s="1"/>
    </row>
    <row r="1371" spans="3:4" x14ac:dyDescent="0.25">
      <c r="C1371" s="1"/>
      <c r="D1371" s="1"/>
    </row>
    <row r="1372" spans="3:4" x14ac:dyDescent="0.25">
      <c r="C1372" s="1"/>
      <c r="D1372" s="1"/>
    </row>
    <row r="1373" spans="3:4" x14ac:dyDescent="0.25">
      <c r="C1373" s="1"/>
      <c r="D1373" s="1"/>
    </row>
    <row r="1374" spans="3:4" x14ac:dyDescent="0.25">
      <c r="C1374" s="1"/>
      <c r="D1374" s="1"/>
    </row>
    <row r="1375" spans="3:4" x14ac:dyDescent="0.25">
      <c r="C1375" s="1"/>
      <c r="D1375" s="1"/>
    </row>
    <row r="1376" spans="3:4" x14ac:dyDescent="0.25">
      <c r="C1376" s="1"/>
      <c r="D1376" s="1"/>
    </row>
    <row r="1377" spans="3:4" x14ac:dyDescent="0.25">
      <c r="C1377" s="1"/>
      <c r="D1377" s="1"/>
    </row>
    <row r="1378" spans="3:4" x14ac:dyDescent="0.25">
      <c r="C1378" s="1"/>
      <c r="D1378" s="1"/>
    </row>
    <row r="1379" spans="3:4" x14ac:dyDescent="0.25">
      <c r="C1379" s="1"/>
      <c r="D1379" s="1"/>
    </row>
    <row r="1380" spans="3:4" x14ac:dyDescent="0.25">
      <c r="C1380" s="1"/>
      <c r="D1380" s="1"/>
    </row>
    <row r="1381" spans="3:4" x14ac:dyDescent="0.25">
      <c r="C1381" s="1"/>
      <c r="D1381" s="1"/>
    </row>
    <row r="1382" spans="3:4" x14ac:dyDescent="0.25">
      <c r="C1382" s="1"/>
      <c r="D1382" s="1"/>
    </row>
    <row r="1383" spans="3:4" x14ac:dyDescent="0.25">
      <c r="C1383" s="1"/>
      <c r="D1383" s="1"/>
    </row>
    <row r="1384" spans="3:4" x14ac:dyDescent="0.25">
      <c r="C1384" s="1"/>
      <c r="D1384" s="1"/>
    </row>
    <row r="1385" spans="3:4" x14ac:dyDescent="0.25">
      <c r="C1385" s="1"/>
      <c r="D1385" s="1"/>
    </row>
    <row r="1386" spans="3:4" x14ac:dyDescent="0.25">
      <c r="C1386" s="1"/>
      <c r="D1386" s="1"/>
    </row>
    <row r="1387" spans="3:4" x14ac:dyDescent="0.25">
      <c r="C1387" s="1"/>
      <c r="D1387" s="1"/>
    </row>
    <row r="1388" spans="3:4" x14ac:dyDescent="0.25">
      <c r="C1388" s="1"/>
      <c r="D1388" s="1"/>
    </row>
    <row r="1389" spans="3:4" x14ac:dyDescent="0.25">
      <c r="C1389" s="1"/>
      <c r="D1389" s="1"/>
    </row>
    <row r="1390" spans="3:4" x14ac:dyDescent="0.25">
      <c r="C1390" s="1"/>
      <c r="D1390" s="1"/>
    </row>
    <row r="1391" spans="3:4" x14ac:dyDescent="0.25">
      <c r="C1391" s="1"/>
      <c r="D1391" s="1"/>
    </row>
    <row r="1392" spans="3:4" x14ac:dyDescent="0.25">
      <c r="C1392" s="1"/>
      <c r="D1392" s="1"/>
    </row>
    <row r="1393" spans="3:4" x14ac:dyDescent="0.25">
      <c r="C1393" s="1"/>
      <c r="D1393" s="1"/>
    </row>
    <row r="1394" spans="3:4" x14ac:dyDescent="0.25">
      <c r="C1394" s="1"/>
      <c r="D1394" s="1"/>
    </row>
    <row r="1395" spans="3:4" x14ac:dyDescent="0.25">
      <c r="C1395" s="1"/>
      <c r="D1395" s="1"/>
    </row>
    <row r="1396" spans="3:4" x14ac:dyDescent="0.25">
      <c r="C1396" s="1"/>
      <c r="D1396" s="1"/>
    </row>
    <row r="1397" spans="3:4" x14ac:dyDescent="0.25">
      <c r="C1397" s="1"/>
      <c r="D1397" s="1"/>
    </row>
    <row r="1398" spans="3:4" x14ac:dyDescent="0.25">
      <c r="C1398" s="1"/>
      <c r="D1398" s="1"/>
    </row>
    <row r="1399" spans="3:4" x14ac:dyDescent="0.25">
      <c r="C1399" s="1"/>
      <c r="D1399" s="1"/>
    </row>
    <row r="1400" spans="3:4" x14ac:dyDescent="0.25">
      <c r="C1400" s="1"/>
      <c r="D1400" s="1"/>
    </row>
    <row r="1401" spans="3:4" x14ac:dyDescent="0.25">
      <c r="C1401" s="1"/>
      <c r="D1401" s="1"/>
    </row>
    <row r="1402" spans="3:4" x14ac:dyDescent="0.25">
      <c r="C1402" s="1"/>
      <c r="D1402" s="1"/>
    </row>
    <row r="1403" spans="3:4" x14ac:dyDescent="0.25">
      <c r="C1403" s="1"/>
      <c r="D1403" s="1"/>
    </row>
    <row r="1404" spans="3:4" x14ac:dyDescent="0.25">
      <c r="C1404" s="1"/>
      <c r="D1404" s="1"/>
    </row>
    <row r="1405" spans="3:4" x14ac:dyDescent="0.25">
      <c r="C1405" s="1"/>
      <c r="D1405" s="1"/>
    </row>
    <row r="1406" spans="3:4" x14ac:dyDescent="0.25">
      <c r="C1406" s="1"/>
      <c r="D1406" s="1"/>
    </row>
    <row r="1407" spans="3:4" x14ac:dyDescent="0.25">
      <c r="C1407" s="1"/>
      <c r="D1407" s="1"/>
    </row>
    <row r="1408" spans="3:4" x14ac:dyDescent="0.25">
      <c r="C1408" s="1"/>
      <c r="D1408" s="1"/>
    </row>
    <row r="1409" spans="3:4" x14ac:dyDescent="0.25">
      <c r="C1409" s="1"/>
      <c r="D1409" s="1"/>
    </row>
    <row r="1410" spans="3:4" x14ac:dyDescent="0.25">
      <c r="C1410" s="1"/>
      <c r="D1410" s="1"/>
    </row>
    <row r="1411" spans="3:4" x14ac:dyDescent="0.25">
      <c r="C1411" s="1"/>
      <c r="D1411" s="1"/>
    </row>
    <row r="1412" spans="3:4" x14ac:dyDescent="0.25">
      <c r="C1412" s="1"/>
      <c r="D1412" s="1"/>
    </row>
    <row r="1413" spans="3:4" x14ac:dyDescent="0.25">
      <c r="C1413" s="1"/>
      <c r="D1413" s="1"/>
    </row>
    <row r="1414" spans="3:4" x14ac:dyDescent="0.25">
      <c r="C1414" s="1"/>
      <c r="D1414" s="1"/>
    </row>
    <row r="1415" spans="3:4" x14ac:dyDescent="0.25">
      <c r="C1415" s="1"/>
      <c r="D1415" s="1"/>
    </row>
    <row r="1416" spans="3:4" x14ac:dyDescent="0.25">
      <c r="C1416" s="1"/>
      <c r="D1416" s="1"/>
    </row>
    <row r="1417" spans="3:4" x14ac:dyDescent="0.25">
      <c r="C1417" s="1"/>
      <c r="D1417" s="1"/>
    </row>
    <row r="1418" spans="3:4" x14ac:dyDescent="0.25">
      <c r="C1418" s="1"/>
      <c r="D1418" s="1"/>
    </row>
    <row r="1419" spans="3:4" x14ac:dyDescent="0.25">
      <c r="C1419" s="1"/>
      <c r="D1419" s="1"/>
    </row>
    <row r="1420" spans="3:4" x14ac:dyDescent="0.25">
      <c r="C1420" s="1"/>
      <c r="D1420" s="1"/>
    </row>
    <row r="1421" spans="3:4" x14ac:dyDescent="0.25">
      <c r="C1421" s="1"/>
      <c r="D1421" s="1"/>
    </row>
    <row r="1422" spans="3:4" x14ac:dyDescent="0.25">
      <c r="C1422" s="1"/>
      <c r="D1422" s="1"/>
    </row>
    <row r="1423" spans="3:4" x14ac:dyDescent="0.25">
      <c r="C1423" s="1"/>
      <c r="D1423" s="1"/>
    </row>
    <row r="1424" spans="3:4" x14ac:dyDescent="0.25">
      <c r="C1424" s="1"/>
      <c r="D1424" s="1"/>
    </row>
    <row r="1425" spans="3:4" x14ac:dyDescent="0.25">
      <c r="C1425" s="1"/>
      <c r="D1425" s="1"/>
    </row>
    <row r="1426" spans="3:4" x14ac:dyDescent="0.25">
      <c r="C1426" s="1"/>
      <c r="D1426" s="1"/>
    </row>
    <row r="1427" spans="3:4" x14ac:dyDescent="0.25">
      <c r="C1427" s="1"/>
      <c r="D1427" s="1"/>
    </row>
    <row r="1428" spans="3:4" x14ac:dyDescent="0.25">
      <c r="C1428" s="1"/>
      <c r="D1428" s="1"/>
    </row>
    <row r="1429" spans="3:4" x14ac:dyDescent="0.25">
      <c r="C1429" s="1"/>
      <c r="D1429" s="1"/>
    </row>
    <row r="1430" spans="3:4" x14ac:dyDescent="0.25">
      <c r="C1430" s="1"/>
      <c r="D1430" s="1"/>
    </row>
    <row r="1431" spans="3:4" x14ac:dyDescent="0.25">
      <c r="C1431" s="1"/>
      <c r="D1431" s="1"/>
    </row>
    <row r="1432" spans="3:4" x14ac:dyDescent="0.25">
      <c r="C1432" s="1"/>
      <c r="D1432" s="1"/>
    </row>
    <row r="1433" spans="3:4" x14ac:dyDescent="0.25">
      <c r="C1433" s="1"/>
      <c r="D1433" s="1"/>
    </row>
    <row r="1434" spans="3:4" x14ac:dyDescent="0.25">
      <c r="C1434" s="1"/>
      <c r="D1434" s="1"/>
    </row>
    <row r="1435" spans="3:4" x14ac:dyDescent="0.25">
      <c r="C1435" s="1"/>
      <c r="D1435" s="1"/>
    </row>
    <row r="1436" spans="3:4" x14ac:dyDescent="0.25">
      <c r="C1436" s="1"/>
      <c r="D1436" s="1"/>
    </row>
    <row r="1437" spans="3:4" x14ac:dyDescent="0.25">
      <c r="C1437" s="1"/>
      <c r="D1437" s="1"/>
    </row>
    <row r="1438" spans="3:4" x14ac:dyDescent="0.25">
      <c r="C1438" s="1"/>
      <c r="D1438" s="1"/>
    </row>
    <row r="1439" spans="3:4" x14ac:dyDescent="0.25">
      <c r="C1439" s="1"/>
      <c r="D1439" s="1"/>
    </row>
    <row r="1440" spans="3:4" x14ac:dyDescent="0.25">
      <c r="C1440" s="1"/>
      <c r="D1440" s="1"/>
    </row>
    <row r="1441" spans="3:4" x14ac:dyDescent="0.25">
      <c r="C1441" s="1"/>
      <c r="D1441" s="1"/>
    </row>
    <row r="1442" spans="3:4" x14ac:dyDescent="0.25">
      <c r="C1442" s="1"/>
      <c r="D1442" s="1"/>
    </row>
    <row r="1443" spans="3:4" x14ac:dyDescent="0.25">
      <c r="C1443" s="1"/>
      <c r="D1443" s="1"/>
    </row>
    <row r="1444" spans="3:4" x14ac:dyDescent="0.25">
      <c r="C1444" s="1"/>
      <c r="D1444" s="1"/>
    </row>
    <row r="1445" spans="3:4" x14ac:dyDescent="0.25">
      <c r="C1445" s="1"/>
      <c r="D1445" s="1"/>
    </row>
    <row r="1446" spans="3:4" x14ac:dyDescent="0.25">
      <c r="C1446" s="1"/>
      <c r="D1446" s="1"/>
    </row>
    <row r="1447" spans="3:4" x14ac:dyDescent="0.25">
      <c r="C1447" s="1"/>
      <c r="D1447" s="1"/>
    </row>
    <row r="1448" spans="3:4" x14ac:dyDescent="0.25">
      <c r="C1448" s="1"/>
      <c r="D1448" s="1"/>
    </row>
    <row r="1449" spans="3:4" x14ac:dyDescent="0.25">
      <c r="C1449" s="1"/>
      <c r="D1449" s="1"/>
    </row>
    <row r="1450" spans="3:4" x14ac:dyDescent="0.25">
      <c r="C1450" s="1"/>
      <c r="D1450" s="1"/>
    </row>
    <row r="1451" spans="3:4" x14ac:dyDescent="0.25">
      <c r="C1451" s="1"/>
      <c r="D1451" s="1"/>
    </row>
    <row r="1452" spans="3:4" x14ac:dyDescent="0.25">
      <c r="C1452" s="1"/>
      <c r="D1452" s="1"/>
    </row>
    <row r="1453" spans="3:4" x14ac:dyDescent="0.25">
      <c r="C1453" s="1"/>
      <c r="D1453" s="1"/>
    </row>
    <row r="1454" spans="3:4" x14ac:dyDescent="0.25">
      <c r="C1454" s="1"/>
      <c r="D1454" s="1"/>
    </row>
    <row r="1455" spans="3:4" x14ac:dyDescent="0.25">
      <c r="C1455" s="1"/>
      <c r="D1455" s="1"/>
    </row>
    <row r="1456" spans="3:4" x14ac:dyDescent="0.25">
      <c r="C1456" s="1"/>
      <c r="D1456" s="1"/>
    </row>
    <row r="1457" spans="3:4" x14ac:dyDescent="0.25">
      <c r="C1457" s="1"/>
      <c r="D1457" s="1"/>
    </row>
    <row r="1458" spans="3:4" x14ac:dyDescent="0.25">
      <c r="C1458" s="1"/>
      <c r="D1458" s="1"/>
    </row>
    <row r="1459" spans="3:4" x14ac:dyDescent="0.25">
      <c r="C1459" s="1"/>
      <c r="D1459" s="1"/>
    </row>
    <row r="1460" spans="3:4" x14ac:dyDescent="0.25">
      <c r="C1460" s="1"/>
      <c r="D1460" s="1"/>
    </row>
    <row r="1461" spans="3:4" x14ac:dyDescent="0.25">
      <c r="C1461" s="1"/>
      <c r="D1461" s="1"/>
    </row>
    <row r="1462" spans="3:4" x14ac:dyDescent="0.25">
      <c r="C1462" s="1"/>
      <c r="D1462" s="1"/>
    </row>
    <row r="1463" spans="3:4" x14ac:dyDescent="0.25">
      <c r="C1463" s="1"/>
      <c r="D1463" s="1"/>
    </row>
    <row r="1464" spans="3:4" x14ac:dyDescent="0.25">
      <c r="C1464" s="1"/>
      <c r="D1464" s="1"/>
    </row>
    <row r="1465" spans="3:4" x14ac:dyDescent="0.25">
      <c r="C1465" s="1"/>
      <c r="D1465" s="1"/>
    </row>
    <row r="1466" spans="3:4" x14ac:dyDescent="0.25">
      <c r="C1466" s="1"/>
      <c r="D1466" s="1"/>
    </row>
    <row r="1467" spans="3:4" x14ac:dyDescent="0.25">
      <c r="C1467" s="1"/>
      <c r="D1467" s="1"/>
    </row>
    <row r="1468" spans="3:4" x14ac:dyDescent="0.25">
      <c r="C1468" s="1"/>
      <c r="D1468" s="1"/>
    </row>
    <row r="1469" spans="3:4" x14ac:dyDescent="0.25">
      <c r="C1469" s="1"/>
      <c r="D1469" s="1"/>
    </row>
    <row r="1470" spans="3:4" x14ac:dyDescent="0.25">
      <c r="C1470" s="1"/>
      <c r="D1470" s="1"/>
    </row>
    <row r="1471" spans="3:4" x14ac:dyDescent="0.25">
      <c r="C1471" s="1"/>
      <c r="D1471" s="1"/>
    </row>
    <row r="1472" spans="3:4" x14ac:dyDescent="0.25">
      <c r="C1472" s="1"/>
      <c r="D1472" s="1"/>
    </row>
    <row r="1473" spans="3:4" x14ac:dyDescent="0.25">
      <c r="C1473" s="1"/>
      <c r="D1473" s="1"/>
    </row>
    <row r="1474" spans="3:4" x14ac:dyDescent="0.25">
      <c r="C1474" s="1"/>
      <c r="D1474" s="1"/>
    </row>
    <row r="1475" spans="3:4" x14ac:dyDescent="0.25">
      <c r="C1475" s="1"/>
      <c r="D1475" s="1"/>
    </row>
    <row r="1476" spans="3:4" x14ac:dyDescent="0.25">
      <c r="C1476" s="1"/>
      <c r="D1476" s="1"/>
    </row>
    <row r="1477" spans="3:4" x14ac:dyDescent="0.25">
      <c r="C1477" s="1"/>
      <c r="D1477" s="1"/>
    </row>
    <row r="1478" spans="3:4" x14ac:dyDescent="0.25">
      <c r="C1478" s="1"/>
      <c r="D1478" s="1"/>
    </row>
    <row r="1479" spans="3:4" x14ac:dyDescent="0.25">
      <c r="C1479" s="1"/>
      <c r="D1479" s="1"/>
    </row>
    <row r="1480" spans="3:4" x14ac:dyDescent="0.25">
      <c r="C1480" s="1"/>
      <c r="D1480" s="1"/>
    </row>
    <row r="1481" spans="3:4" x14ac:dyDescent="0.25">
      <c r="C1481" s="1"/>
      <c r="D1481" s="1"/>
    </row>
    <row r="1482" spans="3:4" x14ac:dyDescent="0.25">
      <c r="C1482" s="1"/>
      <c r="D1482" s="1"/>
    </row>
    <row r="1483" spans="3:4" x14ac:dyDescent="0.25">
      <c r="C1483" s="1"/>
      <c r="D1483" s="1"/>
    </row>
    <row r="1484" spans="3:4" x14ac:dyDescent="0.25">
      <c r="C1484" s="1"/>
      <c r="D1484" s="1"/>
    </row>
    <row r="1485" spans="3:4" x14ac:dyDescent="0.25">
      <c r="C1485" s="1"/>
      <c r="D1485" s="1"/>
    </row>
    <row r="1486" spans="3:4" x14ac:dyDescent="0.25">
      <c r="C1486" s="1"/>
      <c r="D1486" s="1"/>
    </row>
    <row r="1487" spans="3:4" x14ac:dyDescent="0.25">
      <c r="C1487" s="1"/>
      <c r="D1487" s="1"/>
    </row>
    <row r="1488" spans="3:4" x14ac:dyDescent="0.25">
      <c r="C1488" s="1"/>
      <c r="D1488" s="1"/>
    </row>
    <row r="1489" spans="3:4" x14ac:dyDescent="0.25">
      <c r="C1489" s="1"/>
      <c r="D1489" s="1"/>
    </row>
    <row r="1490" spans="3:4" x14ac:dyDescent="0.25">
      <c r="C1490" s="1"/>
      <c r="D1490" s="1"/>
    </row>
    <row r="1491" spans="3:4" x14ac:dyDescent="0.25">
      <c r="C1491" s="1"/>
      <c r="D1491" s="1"/>
    </row>
    <row r="1492" spans="3:4" x14ac:dyDescent="0.25">
      <c r="C1492" s="1"/>
      <c r="D1492" s="1"/>
    </row>
    <row r="1493" spans="3:4" x14ac:dyDescent="0.25">
      <c r="C1493" s="1"/>
      <c r="D1493" s="1"/>
    </row>
    <row r="1494" spans="3:4" x14ac:dyDescent="0.25">
      <c r="C1494" s="1"/>
      <c r="D1494" s="1"/>
    </row>
    <row r="1495" spans="3:4" x14ac:dyDescent="0.25">
      <c r="C1495" s="1"/>
      <c r="D1495" s="1"/>
    </row>
    <row r="1496" spans="3:4" x14ac:dyDescent="0.25">
      <c r="C1496" s="1"/>
      <c r="D1496" s="1"/>
    </row>
    <row r="1497" spans="3:4" x14ac:dyDescent="0.25">
      <c r="C1497" s="1"/>
      <c r="D1497" s="1"/>
    </row>
    <row r="1498" spans="3:4" x14ac:dyDescent="0.25">
      <c r="C1498" s="1"/>
      <c r="D1498" s="1"/>
    </row>
    <row r="1499" spans="3:4" x14ac:dyDescent="0.25">
      <c r="C1499" s="1"/>
      <c r="D1499" s="1"/>
    </row>
    <row r="1500" spans="3:4" x14ac:dyDescent="0.25">
      <c r="C1500" s="1"/>
      <c r="D1500" s="1"/>
    </row>
    <row r="1501" spans="3:4" x14ac:dyDescent="0.25">
      <c r="C1501" s="1"/>
      <c r="D1501" s="1"/>
    </row>
    <row r="1502" spans="3:4" x14ac:dyDescent="0.25">
      <c r="C1502" s="1"/>
      <c r="D1502" s="1"/>
    </row>
    <row r="1503" spans="3:4" x14ac:dyDescent="0.25">
      <c r="C1503" s="1"/>
      <c r="D1503" s="1"/>
    </row>
    <row r="1504" spans="3:4" x14ac:dyDescent="0.25">
      <c r="C1504" s="1"/>
      <c r="D1504" s="1"/>
    </row>
    <row r="1505" spans="3:4" x14ac:dyDescent="0.25">
      <c r="C1505" s="1"/>
      <c r="D1505" s="1"/>
    </row>
    <row r="1506" spans="3:4" x14ac:dyDescent="0.25">
      <c r="C1506" s="1"/>
      <c r="D1506" s="1"/>
    </row>
    <row r="1507" spans="3:4" x14ac:dyDescent="0.25">
      <c r="C1507" s="1"/>
      <c r="D1507" s="1"/>
    </row>
    <row r="1508" spans="3:4" x14ac:dyDescent="0.25">
      <c r="C1508" s="1"/>
      <c r="D1508" s="1"/>
    </row>
    <row r="1509" spans="3:4" x14ac:dyDescent="0.25">
      <c r="C1509" s="1"/>
      <c r="D1509" s="1"/>
    </row>
    <row r="1510" spans="3:4" x14ac:dyDescent="0.25">
      <c r="C1510" s="1"/>
      <c r="D1510" s="1"/>
    </row>
    <row r="1511" spans="3:4" x14ac:dyDescent="0.25">
      <c r="C1511" s="1"/>
      <c r="D1511" s="1"/>
    </row>
    <row r="1512" spans="3:4" x14ac:dyDescent="0.25">
      <c r="C1512" s="1"/>
      <c r="D1512" s="1"/>
    </row>
    <row r="1513" spans="3:4" x14ac:dyDescent="0.25">
      <c r="C1513" s="1"/>
      <c r="D1513" s="1"/>
    </row>
    <row r="1514" spans="3:4" x14ac:dyDescent="0.25">
      <c r="C1514" s="1"/>
      <c r="D1514" s="1"/>
    </row>
    <row r="1515" spans="3:4" x14ac:dyDescent="0.25">
      <c r="C1515" s="1"/>
      <c r="D1515" s="1"/>
    </row>
    <row r="1516" spans="3:4" x14ac:dyDescent="0.25">
      <c r="C1516" s="1"/>
      <c r="D1516" s="1"/>
    </row>
    <row r="1517" spans="3:4" x14ac:dyDescent="0.25">
      <c r="C1517" s="1"/>
      <c r="D1517" s="1"/>
    </row>
    <row r="1518" spans="3:4" x14ac:dyDescent="0.25">
      <c r="C1518" s="1"/>
      <c r="D1518" s="1"/>
    </row>
    <row r="1519" spans="3:4" x14ac:dyDescent="0.25">
      <c r="C1519" s="1"/>
      <c r="D1519" s="1"/>
    </row>
    <row r="1520" spans="3:4" x14ac:dyDescent="0.25">
      <c r="C1520" s="1"/>
      <c r="D1520" s="1"/>
    </row>
    <row r="1521" spans="3:4" x14ac:dyDescent="0.25">
      <c r="C1521" s="1"/>
      <c r="D1521" s="1"/>
    </row>
    <row r="1522" spans="3:4" x14ac:dyDescent="0.25">
      <c r="C1522" s="1"/>
      <c r="D1522" s="1"/>
    </row>
    <row r="1523" spans="3:4" x14ac:dyDescent="0.25">
      <c r="C1523" s="1"/>
      <c r="D1523" s="1"/>
    </row>
    <row r="1524" spans="3:4" x14ac:dyDescent="0.25">
      <c r="C1524" s="1"/>
      <c r="D1524" s="1"/>
    </row>
    <row r="1525" spans="3:4" x14ac:dyDescent="0.25">
      <c r="C1525" s="1"/>
      <c r="D1525" s="1"/>
    </row>
    <row r="1526" spans="3:4" x14ac:dyDescent="0.25">
      <c r="C1526" s="1"/>
      <c r="D1526" s="1"/>
    </row>
    <row r="1527" spans="3:4" x14ac:dyDescent="0.25">
      <c r="C1527" s="1"/>
      <c r="D1527" s="1"/>
    </row>
    <row r="1528" spans="3:4" x14ac:dyDescent="0.25">
      <c r="C1528" s="1"/>
      <c r="D1528" s="1"/>
    </row>
    <row r="1529" spans="3:4" x14ac:dyDescent="0.25">
      <c r="C1529" s="1"/>
      <c r="D1529" s="1"/>
    </row>
    <row r="1530" spans="3:4" x14ac:dyDescent="0.25">
      <c r="C1530" s="1"/>
      <c r="D1530" s="1"/>
    </row>
    <row r="1531" spans="3:4" x14ac:dyDescent="0.25">
      <c r="C1531" s="1"/>
      <c r="D1531" s="1"/>
    </row>
    <row r="1532" spans="3:4" x14ac:dyDescent="0.25">
      <c r="C1532" s="1"/>
      <c r="D1532" s="1"/>
    </row>
    <row r="1533" spans="3:4" x14ac:dyDescent="0.25">
      <c r="C1533" s="1"/>
      <c r="D1533" s="1"/>
    </row>
    <row r="1534" spans="3:4" x14ac:dyDescent="0.25">
      <c r="C1534" s="1"/>
      <c r="D1534" s="1"/>
    </row>
    <row r="1535" spans="3:4" x14ac:dyDescent="0.25">
      <c r="C1535" s="1"/>
      <c r="D1535" s="1"/>
    </row>
    <row r="1536" spans="3:4" x14ac:dyDescent="0.25">
      <c r="C1536" s="1"/>
      <c r="D1536" s="1"/>
    </row>
    <row r="1537" spans="3:4" x14ac:dyDescent="0.25">
      <c r="C1537" s="1"/>
      <c r="D1537" s="1"/>
    </row>
    <row r="1538" spans="3:4" x14ac:dyDescent="0.25">
      <c r="C1538" s="1"/>
      <c r="D1538" s="1"/>
    </row>
    <row r="1539" spans="3:4" x14ac:dyDescent="0.25">
      <c r="C1539" s="1"/>
      <c r="D1539" s="1"/>
    </row>
    <row r="1540" spans="3:4" x14ac:dyDescent="0.25">
      <c r="C1540" s="1"/>
      <c r="D1540" s="1"/>
    </row>
    <row r="1541" spans="3:4" x14ac:dyDescent="0.25">
      <c r="C1541" s="1"/>
      <c r="D1541" s="1"/>
    </row>
    <row r="1542" spans="3:4" x14ac:dyDescent="0.25">
      <c r="C1542" s="1"/>
      <c r="D1542" s="1"/>
    </row>
    <row r="1543" spans="3:4" x14ac:dyDescent="0.25">
      <c r="C1543" s="1"/>
      <c r="D1543" s="1"/>
    </row>
    <row r="1544" spans="3:4" x14ac:dyDescent="0.25">
      <c r="C1544" s="1"/>
      <c r="D1544" s="1"/>
    </row>
    <row r="1545" spans="3:4" x14ac:dyDescent="0.25">
      <c r="C1545" s="1"/>
      <c r="D1545" s="1"/>
    </row>
    <row r="1546" spans="3:4" x14ac:dyDescent="0.25">
      <c r="C1546" s="1"/>
      <c r="D1546" s="1"/>
    </row>
    <row r="1547" spans="3:4" x14ac:dyDescent="0.25">
      <c r="C1547" s="1"/>
      <c r="D1547" s="1"/>
    </row>
    <row r="1548" spans="3:4" x14ac:dyDescent="0.25">
      <c r="C1548" s="1"/>
      <c r="D1548" s="1"/>
    </row>
    <row r="1549" spans="3:4" x14ac:dyDescent="0.25">
      <c r="C1549" s="1"/>
      <c r="D1549" s="1"/>
    </row>
    <row r="1550" spans="3:4" x14ac:dyDescent="0.25">
      <c r="C1550" s="1"/>
      <c r="D1550" s="1"/>
    </row>
    <row r="1551" spans="3:4" x14ac:dyDescent="0.25">
      <c r="C1551" s="1"/>
      <c r="D1551" s="1"/>
    </row>
    <row r="1552" spans="3:4" x14ac:dyDescent="0.25">
      <c r="C1552" s="1"/>
      <c r="D1552" s="1"/>
    </row>
    <row r="1553" spans="3:4" x14ac:dyDescent="0.25">
      <c r="C1553" s="1"/>
      <c r="D1553" s="1"/>
    </row>
    <row r="1554" spans="3:4" x14ac:dyDescent="0.25">
      <c r="C1554" s="1"/>
      <c r="D1554" s="1"/>
    </row>
    <row r="1555" spans="3:4" x14ac:dyDescent="0.25">
      <c r="C1555" s="1"/>
      <c r="D1555" s="1"/>
    </row>
    <row r="1556" spans="3:4" x14ac:dyDescent="0.25">
      <c r="C1556" s="1"/>
      <c r="D1556" s="1"/>
    </row>
    <row r="1557" spans="3:4" x14ac:dyDescent="0.25">
      <c r="C1557" s="1"/>
      <c r="D1557" s="1"/>
    </row>
    <row r="1558" spans="3:4" x14ac:dyDescent="0.25">
      <c r="C1558" s="1"/>
      <c r="D1558" s="1"/>
    </row>
    <row r="1559" spans="3:4" x14ac:dyDescent="0.25">
      <c r="C1559" s="1"/>
      <c r="D1559" s="1"/>
    </row>
    <row r="1560" spans="3:4" x14ac:dyDescent="0.25">
      <c r="C1560" s="1"/>
      <c r="D1560" s="1"/>
    </row>
    <row r="1561" spans="3:4" x14ac:dyDescent="0.25">
      <c r="C1561" s="1"/>
      <c r="D1561" s="1"/>
    </row>
    <row r="1562" spans="3:4" x14ac:dyDescent="0.25">
      <c r="C1562" s="1"/>
      <c r="D1562" s="1"/>
    </row>
    <row r="1563" spans="3:4" x14ac:dyDescent="0.25">
      <c r="C1563" s="1"/>
      <c r="D1563" s="1"/>
    </row>
    <row r="1564" spans="3:4" x14ac:dyDescent="0.25">
      <c r="C1564" s="1"/>
      <c r="D1564" s="1"/>
    </row>
    <row r="1565" spans="3:4" x14ac:dyDescent="0.25">
      <c r="C1565" s="1"/>
      <c r="D1565" s="1"/>
    </row>
    <row r="1566" spans="3:4" x14ac:dyDescent="0.25">
      <c r="C1566" s="1"/>
      <c r="D1566" s="1"/>
    </row>
    <row r="1567" spans="3:4" x14ac:dyDescent="0.25">
      <c r="C1567" s="1"/>
      <c r="D1567" s="1"/>
    </row>
    <row r="1568" spans="3:4" x14ac:dyDescent="0.25">
      <c r="C1568" s="1"/>
      <c r="D1568" s="1"/>
    </row>
    <row r="1569" spans="3:4" x14ac:dyDescent="0.25">
      <c r="C1569" s="1"/>
      <c r="D1569" s="1"/>
    </row>
    <row r="1570" spans="3:4" x14ac:dyDescent="0.25">
      <c r="C1570" s="1"/>
      <c r="D1570" s="1"/>
    </row>
    <row r="1571" spans="3:4" x14ac:dyDescent="0.25">
      <c r="C1571" s="1"/>
      <c r="D1571" s="1"/>
    </row>
    <row r="1572" spans="3:4" x14ac:dyDescent="0.25">
      <c r="C1572" s="1"/>
      <c r="D1572" s="1"/>
    </row>
    <row r="1573" spans="3:4" x14ac:dyDescent="0.25">
      <c r="C1573" s="1"/>
      <c r="D1573" s="1"/>
    </row>
    <row r="1574" spans="3:4" x14ac:dyDescent="0.25">
      <c r="C1574" s="1"/>
      <c r="D1574" s="1"/>
    </row>
    <row r="1575" spans="3:4" x14ac:dyDescent="0.25">
      <c r="C1575" s="1"/>
      <c r="D1575" s="1"/>
    </row>
    <row r="1576" spans="3:4" x14ac:dyDescent="0.25">
      <c r="C1576" s="1"/>
      <c r="D1576" s="1"/>
    </row>
    <row r="1577" spans="3:4" x14ac:dyDescent="0.25">
      <c r="C1577" s="1"/>
      <c r="D1577" s="1"/>
    </row>
    <row r="1578" spans="3:4" x14ac:dyDescent="0.25">
      <c r="C1578" s="1"/>
      <c r="D1578" s="1"/>
    </row>
    <row r="1579" spans="3:4" x14ac:dyDescent="0.25">
      <c r="C1579" s="1"/>
      <c r="D1579" s="1"/>
    </row>
    <row r="1580" spans="3:4" x14ac:dyDescent="0.25">
      <c r="C1580" s="1"/>
      <c r="D1580" s="1"/>
    </row>
    <row r="1581" spans="3:4" x14ac:dyDescent="0.25">
      <c r="C1581" s="1"/>
      <c r="D1581" s="1"/>
    </row>
    <row r="1582" spans="3:4" x14ac:dyDescent="0.25">
      <c r="C1582" s="1"/>
      <c r="D1582" s="1"/>
    </row>
    <row r="1583" spans="3:4" x14ac:dyDescent="0.25">
      <c r="C1583" s="1"/>
      <c r="D1583" s="1"/>
    </row>
    <row r="1584" spans="3:4" x14ac:dyDescent="0.25">
      <c r="C1584" s="1"/>
      <c r="D1584" s="1"/>
    </row>
    <row r="1585" spans="3:4" x14ac:dyDescent="0.25">
      <c r="C1585" s="1"/>
      <c r="D1585" s="1"/>
    </row>
    <row r="1586" spans="3:4" x14ac:dyDescent="0.25">
      <c r="C1586" s="1"/>
      <c r="D1586" s="1"/>
    </row>
    <row r="1587" spans="3:4" x14ac:dyDescent="0.25">
      <c r="C1587" s="1"/>
      <c r="D1587" s="1"/>
    </row>
    <row r="1588" spans="3:4" x14ac:dyDescent="0.25">
      <c r="C1588" s="1"/>
      <c r="D1588" s="1"/>
    </row>
    <row r="1589" spans="3:4" x14ac:dyDescent="0.25">
      <c r="C1589" s="1"/>
      <c r="D1589" s="1"/>
    </row>
    <row r="1590" spans="3:4" x14ac:dyDescent="0.25">
      <c r="C1590" s="1"/>
      <c r="D1590" s="1"/>
    </row>
    <row r="1591" spans="3:4" x14ac:dyDescent="0.25">
      <c r="C1591" s="1"/>
      <c r="D1591" s="1"/>
    </row>
    <row r="1592" spans="3:4" x14ac:dyDescent="0.25">
      <c r="C1592" s="1"/>
      <c r="D1592" s="1"/>
    </row>
    <row r="1593" spans="3:4" x14ac:dyDescent="0.25">
      <c r="C1593" s="1"/>
      <c r="D1593" s="1"/>
    </row>
    <row r="1594" spans="3:4" x14ac:dyDescent="0.25">
      <c r="C1594" s="1"/>
      <c r="D1594" s="1"/>
    </row>
    <row r="1595" spans="3:4" x14ac:dyDescent="0.25">
      <c r="C1595" s="1"/>
      <c r="D1595" s="1"/>
    </row>
    <row r="1596" spans="3:4" x14ac:dyDescent="0.25">
      <c r="C1596" s="1"/>
      <c r="D1596" s="1"/>
    </row>
    <row r="1597" spans="3:4" x14ac:dyDescent="0.25">
      <c r="C1597" s="1"/>
      <c r="D1597" s="1"/>
    </row>
    <row r="1598" spans="3:4" x14ac:dyDescent="0.25">
      <c r="C1598" s="1"/>
      <c r="D1598" s="1"/>
    </row>
    <row r="1599" spans="3:4" x14ac:dyDescent="0.25">
      <c r="C1599" s="1"/>
      <c r="D1599" s="1"/>
    </row>
    <row r="1600" spans="3:4" x14ac:dyDescent="0.25">
      <c r="C1600" s="1"/>
      <c r="D1600" s="1"/>
    </row>
    <row r="1601" spans="3:4" x14ac:dyDescent="0.25">
      <c r="C1601" s="1"/>
      <c r="D1601" s="1"/>
    </row>
    <row r="1602" spans="3:4" x14ac:dyDescent="0.25">
      <c r="C1602" s="1"/>
      <c r="D1602" s="1"/>
    </row>
    <row r="1603" spans="3:4" x14ac:dyDescent="0.25">
      <c r="C1603" s="1"/>
      <c r="D1603" s="1"/>
    </row>
    <row r="1604" spans="3:4" x14ac:dyDescent="0.25">
      <c r="C1604" s="1"/>
      <c r="D1604" s="1"/>
    </row>
    <row r="1605" spans="3:4" x14ac:dyDescent="0.25">
      <c r="C1605" s="1"/>
      <c r="D1605" s="1"/>
    </row>
    <row r="1606" spans="3:4" x14ac:dyDescent="0.25">
      <c r="C1606" s="1"/>
      <c r="D1606" s="1"/>
    </row>
    <row r="1607" spans="3:4" x14ac:dyDescent="0.25">
      <c r="C1607" s="1"/>
      <c r="D1607" s="1"/>
    </row>
    <row r="1608" spans="3:4" x14ac:dyDescent="0.25">
      <c r="C1608" s="1"/>
      <c r="D1608" s="1"/>
    </row>
    <row r="1609" spans="3:4" x14ac:dyDescent="0.25">
      <c r="C1609" s="1"/>
      <c r="D1609" s="1"/>
    </row>
    <row r="1610" spans="3:4" x14ac:dyDescent="0.25">
      <c r="C1610" s="1"/>
      <c r="D1610" s="1"/>
    </row>
    <row r="1611" spans="3:4" x14ac:dyDescent="0.25">
      <c r="C1611" s="1"/>
      <c r="D1611" s="1"/>
    </row>
    <row r="1612" spans="3:4" x14ac:dyDescent="0.25">
      <c r="C1612" s="1"/>
      <c r="D1612" s="1"/>
    </row>
    <row r="1613" spans="3:4" x14ac:dyDescent="0.25">
      <c r="C1613" s="1"/>
      <c r="D1613" s="1"/>
    </row>
    <row r="1614" spans="3:4" x14ac:dyDescent="0.25">
      <c r="C1614" s="1"/>
      <c r="D1614" s="1"/>
    </row>
    <row r="1615" spans="3:4" x14ac:dyDescent="0.25">
      <c r="C1615" s="1"/>
      <c r="D1615" s="1"/>
    </row>
    <row r="1616" spans="3:4" x14ac:dyDescent="0.25">
      <c r="C1616" s="1"/>
      <c r="D1616" s="1"/>
    </row>
    <row r="1617" spans="3:4" x14ac:dyDescent="0.25">
      <c r="C1617" s="1"/>
      <c r="D1617" s="1"/>
    </row>
    <row r="1618" spans="3:4" x14ac:dyDescent="0.25">
      <c r="C1618" s="1"/>
      <c r="D1618" s="1"/>
    </row>
    <row r="1619" spans="3:4" x14ac:dyDescent="0.25">
      <c r="C1619" s="1"/>
      <c r="D1619" s="1"/>
    </row>
    <row r="1620" spans="3:4" x14ac:dyDescent="0.25">
      <c r="C1620" s="1"/>
      <c r="D1620" s="1"/>
    </row>
    <row r="1621" spans="3:4" x14ac:dyDescent="0.25">
      <c r="C1621" s="1"/>
      <c r="D1621" s="1"/>
    </row>
    <row r="1622" spans="3:4" x14ac:dyDescent="0.25">
      <c r="C1622" s="1"/>
      <c r="D1622" s="1"/>
    </row>
    <row r="1623" spans="3:4" x14ac:dyDescent="0.25">
      <c r="C1623" s="1"/>
      <c r="D1623" s="1"/>
    </row>
    <row r="1624" spans="3:4" x14ac:dyDescent="0.25">
      <c r="C1624" s="1"/>
      <c r="D1624" s="1"/>
    </row>
    <row r="1625" spans="3:4" x14ac:dyDescent="0.25">
      <c r="C1625" s="1"/>
      <c r="D1625" s="1"/>
    </row>
    <row r="1626" spans="3:4" x14ac:dyDescent="0.25">
      <c r="C1626" s="1"/>
      <c r="D1626" s="1"/>
    </row>
    <row r="1627" spans="3:4" x14ac:dyDescent="0.25">
      <c r="C1627" s="1"/>
      <c r="D1627" s="1"/>
    </row>
    <row r="1628" spans="3:4" x14ac:dyDescent="0.25">
      <c r="C1628" s="1"/>
      <c r="D1628" s="1"/>
    </row>
    <row r="1629" spans="3:4" x14ac:dyDescent="0.25">
      <c r="C1629" s="1"/>
      <c r="D1629" s="1"/>
    </row>
    <row r="1630" spans="3:4" x14ac:dyDescent="0.25">
      <c r="C1630" s="1"/>
      <c r="D1630" s="1"/>
    </row>
    <row r="1631" spans="3:4" x14ac:dyDescent="0.25">
      <c r="C1631" s="1"/>
      <c r="D1631" s="1"/>
    </row>
    <row r="1632" spans="3:4" x14ac:dyDescent="0.25">
      <c r="C1632" s="1"/>
      <c r="D1632" s="1"/>
    </row>
    <row r="1633" spans="3:4" x14ac:dyDescent="0.25">
      <c r="C1633" s="1"/>
      <c r="D1633" s="1"/>
    </row>
    <row r="1634" spans="3:4" x14ac:dyDescent="0.25">
      <c r="C1634" s="1"/>
      <c r="D1634" s="1"/>
    </row>
    <row r="1635" spans="3:4" x14ac:dyDescent="0.25">
      <c r="C1635" s="1"/>
      <c r="D1635" s="1"/>
    </row>
    <row r="1636" spans="3:4" x14ac:dyDescent="0.25">
      <c r="C1636" s="1"/>
      <c r="D1636" s="1"/>
    </row>
    <row r="1637" spans="3:4" x14ac:dyDescent="0.25">
      <c r="C1637" s="1"/>
      <c r="D1637" s="1"/>
    </row>
    <row r="1638" spans="3:4" x14ac:dyDescent="0.25">
      <c r="C1638" s="1"/>
      <c r="D1638" s="1"/>
    </row>
    <row r="1639" spans="3:4" x14ac:dyDescent="0.25">
      <c r="C1639" s="1"/>
      <c r="D1639" s="1"/>
    </row>
    <row r="1640" spans="3:4" x14ac:dyDescent="0.25">
      <c r="C1640" s="1"/>
      <c r="D1640" s="1"/>
    </row>
    <row r="1641" spans="3:4" x14ac:dyDescent="0.25">
      <c r="C1641" s="1"/>
      <c r="D1641" s="1"/>
    </row>
    <row r="1642" spans="3:4" x14ac:dyDescent="0.25">
      <c r="C1642" s="1"/>
      <c r="D1642" s="1"/>
    </row>
    <row r="1643" spans="3:4" x14ac:dyDescent="0.25">
      <c r="C1643" s="1"/>
      <c r="D1643" s="1"/>
    </row>
    <row r="1644" spans="3:4" x14ac:dyDescent="0.25">
      <c r="C1644" s="1"/>
      <c r="D1644" s="1"/>
    </row>
    <row r="1645" spans="3:4" x14ac:dyDescent="0.25">
      <c r="C1645" s="1"/>
      <c r="D1645" s="1"/>
    </row>
    <row r="1646" spans="3:4" x14ac:dyDescent="0.25">
      <c r="C1646" s="1"/>
      <c r="D1646" s="1"/>
    </row>
    <row r="1647" spans="3:4" x14ac:dyDescent="0.25">
      <c r="C1647" s="1"/>
      <c r="D1647" s="1"/>
    </row>
    <row r="1648" spans="3:4" x14ac:dyDescent="0.25">
      <c r="C1648" s="1"/>
      <c r="D1648" s="1"/>
    </row>
    <row r="1649" spans="3:4" x14ac:dyDescent="0.25">
      <c r="C1649" s="1"/>
      <c r="D1649" s="1"/>
    </row>
    <row r="1650" spans="3:4" x14ac:dyDescent="0.25">
      <c r="C1650" s="1"/>
      <c r="D1650" s="1"/>
    </row>
    <row r="1651" spans="3:4" x14ac:dyDescent="0.25">
      <c r="C1651" s="1"/>
      <c r="D1651" s="1"/>
    </row>
    <row r="1652" spans="3:4" x14ac:dyDescent="0.25">
      <c r="C1652" s="1"/>
      <c r="D1652" s="1"/>
    </row>
    <row r="1653" spans="3:4" x14ac:dyDescent="0.25">
      <c r="C1653" s="1"/>
      <c r="D1653" s="1"/>
    </row>
    <row r="1654" spans="3:4" x14ac:dyDescent="0.25">
      <c r="C1654" s="1"/>
      <c r="D1654" s="1"/>
    </row>
    <row r="1655" spans="3:4" x14ac:dyDescent="0.25">
      <c r="C1655" s="1"/>
      <c r="D1655" s="1"/>
    </row>
    <row r="1656" spans="3:4" x14ac:dyDescent="0.25">
      <c r="C1656" s="1"/>
      <c r="D1656" s="1"/>
    </row>
    <row r="1657" spans="3:4" x14ac:dyDescent="0.25">
      <c r="C1657" s="1"/>
      <c r="D1657" s="1"/>
    </row>
    <row r="1658" spans="3:4" x14ac:dyDescent="0.25">
      <c r="C1658" s="1"/>
      <c r="D1658" s="1"/>
    </row>
    <row r="1659" spans="3:4" x14ac:dyDescent="0.25">
      <c r="C1659" s="1"/>
      <c r="D1659" s="1"/>
    </row>
    <row r="1660" spans="3:4" x14ac:dyDescent="0.25">
      <c r="C1660" s="1"/>
      <c r="D1660" s="1"/>
    </row>
    <row r="1661" spans="3:4" x14ac:dyDescent="0.25">
      <c r="C1661" s="1"/>
      <c r="D1661" s="1"/>
    </row>
    <row r="1662" spans="3:4" x14ac:dyDescent="0.25">
      <c r="C1662" s="1"/>
      <c r="D1662" s="1"/>
    </row>
    <row r="1663" spans="3:4" x14ac:dyDescent="0.25">
      <c r="C1663" s="1"/>
      <c r="D1663" s="1"/>
    </row>
    <row r="1664" spans="3:4" x14ac:dyDescent="0.25">
      <c r="C1664" s="1"/>
      <c r="D1664" s="1"/>
    </row>
    <row r="1665" spans="3:4" x14ac:dyDescent="0.25">
      <c r="C1665" s="1"/>
      <c r="D1665" s="1"/>
    </row>
    <row r="1666" spans="3:4" x14ac:dyDescent="0.25">
      <c r="C1666" s="1"/>
      <c r="D1666" s="1"/>
    </row>
    <row r="1667" spans="3:4" x14ac:dyDescent="0.25">
      <c r="C1667" s="1"/>
      <c r="D1667" s="1"/>
    </row>
    <row r="1668" spans="3:4" x14ac:dyDescent="0.25">
      <c r="C1668" s="1"/>
      <c r="D1668" s="1"/>
    </row>
    <row r="1669" spans="3:4" x14ac:dyDescent="0.25">
      <c r="C1669" s="1"/>
      <c r="D1669" s="1"/>
    </row>
    <row r="1670" spans="3:4" x14ac:dyDescent="0.25">
      <c r="C1670" s="1"/>
      <c r="D1670" s="1"/>
    </row>
    <row r="1671" spans="3:4" x14ac:dyDescent="0.25">
      <c r="C1671" s="1"/>
      <c r="D1671" s="1"/>
    </row>
    <row r="1672" spans="3:4" x14ac:dyDescent="0.25">
      <c r="C1672" s="1"/>
      <c r="D1672" s="1"/>
    </row>
    <row r="1673" spans="3:4" x14ac:dyDescent="0.25">
      <c r="C1673" s="1"/>
      <c r="D1673" s="1"/>
    </row>
    <row r="1674" spans="3:4" x14ac:dyDescent="0.25">
      <c r="C1674" s="1"/>
      <c r="D1674" s="1"/>
    </row>
    <row r="1675" spans="3:4" x14ac:dyDescent="0.25">
      <c r="C1675" s="1"/>
      <c r="D1675" s="1"/>
    </row>
    <row r="1676" spans="3:4" x14ac:dyDescent="0.25">
      <c r="C1676" s="1"/>
      <c r="D1676" s="1"/>
    </row>
    <row r="1677" spans="3:4" x14ac:dyDescent="0.25">
      <c r="C1677" s="1"/>
      <c r="D1677" s="1"/>
    </row>
    <row r="1678" spans="3:4" x14ac:dyDescent="0.25">
      <c r="C1678" s="1"/>
      <c r="D1678" s="1"/>
    </row>
    <row r="1679" spans="3:4" x14ac:dyDescent="0.25">
      <c r="C1679" s="1"/>
      <c r="D1679" s="1"/>
    </row>
    <row r="1680" spans="3:4" x14ac:dyDescent="0.25">
      <c r="C1680" s="1"/>
      <c r="D1680" s="1"/>
    </row>
    <row r="1681" spans="3:4" x14ac:dyDescent="0.25">
      <c r="C1681" s="1"/>
      <c r="D1681" s="1"/>
    </row>
    <row r="1682" spans="3:4" x14ac:dyDescent="0.25">
      <c r="C1682" s="1"/>
      <c r="D1682" s="1"/>
    </row>
    <row r="1683" spans="3:4" x14ac:dyDescent="0.25">
      <c r="C1683" s="1"/>
      <c r="D1683" s="1"/>
    </row>
    <row r="1684" spans="3:4" x14ac:dyDescent="0.25">
      <c r="C1684" s="1"/>
      <c r="D1684" s="1"/>
    </row>
    <row r="1685" spans="3:4" x14ac:dyDescent="0.25">
      <c r="C1685" s="1"/>
      <c r="D1685" s="1"/>
    </row>
    <row r="1686" spans="3:4" x14ac:dyDescent="0.25">
      <c r="C1686" s="1"/>
      <c r="D1686" s="1"/>
    </row>
    <row r="1687" spans="3:4" x14ac:dyDescent="0.25">
      <c r="C1687" s="1"/>
      <c r="D1687" s="1"/>
    </row>
    <row r="1688" spans="3:4" x14ac:dyDescent="0.25">
      <c r="C1688" s="1"/>
      <c r="D1688" s="1"/>
    </row>
    <row r="1689" spans="3:4" x14ac:dyDescent="0.25">
      <c r="C1689" s="1"/>
      <c r="D1689" s="1"/>
    </row>
    <row r="1690" spans="3:4" x14ac:dyDescent="0.25">
      <c r="C1690" s="1"/>
      <c r="D1690" s="1"/>
    </row>
    <row r="1691" spans="3:4" x14ac:dyDescent="0.25">
      <c r="C1691" s="1"/>
      <c r="D1691" s="1"/>
    </row>
    <row r="1692" spans="3:4" x14ac:dyDescent="0.25">
      <c r="C1692" s="1"/>
      <c r="D1692" s="1"/>
    </row>
    <row r="1693" spans="3:4" x14ac:dyDescent="0.25">
      <c r="C1693" s="1"/>
      <c r="D1693" s="1"/>
    </row>
    <row r="1694" spans="3:4" x14ac:dyDescent="0.25">
      <c r="C1694" s="1"/>
      <c r="D1694" s="1"/>
    </row>
    <row r="1695" spans="3:4" x14ac:dyDescent="0.25">
      <c r="C1695" s="1"/>
      <c r="D1695" s="1"/>
    </row>
    <row r="1696" spans="3:4" x14ac:dyDescent="0.25">
      <c r="C1696" s="1"/>
      <c r="D1696" s="1"/>
    </row>
    <row r="1697" spans="3:4" x14ac:dyDescent="0.25">
      <c r="C1697" s="1"/>
      <c r="D1697" s="1"/>
    </row>
    <row r="1698" spans="3:4" x14ac:dyDescent="0.25">
      <c r="C1698" s="1"/>
      <c r="D1698" s="1"/>
    </row>
    <row r="1699" spans="3:4" x14ac:dyDescent="0.25">
      <c r="C1699" s="1"/>
      <c r="D1699" s="1"/>
    </row>
    <row r="1700" spans="3:4" x14ac:dyDescent="0.25">
      <c r="C1700" s="1"/>
      <c r="D1700" s="1"/>
    </row>
    <row r="1701" spans="3:4" x14ac:dyDescent="0.25">
      <c r="C1701" s="1"/>
      <c r="D1701" s="1"/>
    </row>
    <row r="1702" spans="3:4" x14ac:dyDescent="0.25">
      <c r="C1702" s="1"/>
      <c r="D1702" s="1"/>
    </row>
    <row r="1703" spans="3:4" x14ac:dyDescent="0.25">
      <c r="C1703" s="1"/>
      <c r="D1703" s="1"/>
    </row>
    <row r="1704" spans="3:4" x14ac:dyDescent="0.25">
      <c r="C1704" s="1"/>
      <c r="D1704" s="1"/>
    </row>
    <row r="1705" spans="3:4" x14ac:dyDescent="0.25">
      <c r="C1705" s="1"/>
      <c r="D1705" s="1"/>
    </row>
    <row r="1706" spans="3:4" x14ac:dyDescent="0.25">
      <c r="C1706" s="1"/>
      <c r="D1706" s="1"/>
    </row>
    <row r="1707" spans="3:4" x14ac:dyDescent="0.25">
      <c r="C1707" s="1"/>
      <c r="D1707" s="1"/>
    </row>
    <row r="1708" spans="3:4" x14ac:dyDescent="0.25">
      <c r="C1708" s="1"/>
      <c r="D1708" s="1"/>
    </row>
    <row r="1709" spans="3:4" x14ac:dyDescent="0.25">
      <c r="C1709" s="1"/>
      <c r="D1709" s="1"/>
    </row>
    <row r="1710" spans="3:4" x14ac:dyDescent="0.25">
      <c r="C1710" s="1"/>
      <c r="D1710" s="1"/>
    </row>
    <row r="1711" spans="3:4" x14ac:dyDescent="0.25">
      <c r="C1711" s="1"/>
      <c r="D1711" s="1"/>
    </row>
    <row r="1712" spans="3:4" x14ac:dyDescent="0.25">
      <c r="C1712" s="1"/>
      <c r="D1712" s="1"/>
    </row>
    <row r="1713" spans="3:4" x14ac:dyDescent="0.25">
      <c r="C1713" s="1"/>
      <c r="D1713" s="1"/>
    </row>
    <row r="1714" spans="3:4" x14ac:dyDescent="0.25">
      <c r="C1714" s="1"/>
      <c r="D1714" s="1"/>
    </row>
    <row r="1715" spans="3:4" x14ac:dyDescent="0.25">
      <c r="C1715" s="1"/>
      <c r="D1715" s="1"/>
    </row>
    <row r="1716" spans="3:4" x14ac:dyDescent="0.25">
      <c r="C1716" s="1"/>
      <c r="D1716" s="1"/>
    </row>
    <row r="1717" spans="3:4" x14ac:dyDescent="0.25">
      <c r="C1717" s="1"/>
      <c r="D1717" s="1"/>
    </row>
    <row r="1718" spans="3:4" x14ac:dyDescent="0.25">
      <c r="C1718" s="1"/>
      <c r="D1718" s="1"/>
    </row>
    <row r="1719" spans="3:4" x14ac:dyDescent="0.25">
      <c r="C1719" s="1"/>
      <c r="D1719" s="1"/>
    </row>
    <row r="1720" spans="3:4" x14ac:dyDescent="0.25">
      <c r="C1720" s="1"/>
      <c r="D1720" s="1"/>
    </row>
    <row r="1721" spans="3:4" x14ac:dyDescent="0.25">
      <c r="C1721" s="1"/>
      <c r="D1721" s="1"/>
    </row>
    <row r="1722" spans="3:4" x14ac:dyDescent="0.25">
      <c r="C1722" s="1"/>
      <c r="D1722" s="1"/>
    </row>
    <row r="1723" spans="3:4" x14ac:dyDescent="0.25">
      <c r="C1723" s="1"/>
      <c r="D1723" s="1"/>
    </row>
    <row r="1724" spans="3:4" x14ac:dyDescent="0.25">
      <c r="C1724" s="1"/>
      <c r="D1724" s="1"/>
    </row>
    <row r="1725" spans="3:4" x14ac:dyDescent="0.25">
      <c r="C1725" s="1"/>
      <c r="D1725" s="1"/>
    </row>
    <row r="1726" spans="3:4" x14ac:dyDescent="0.25">
      <c r="C1726" s="1"/>
      <c r="D1726" s="1"/>
    </row>
    <row r="1727" spans="3:4" x14ac:dyDescent="0.25">
      <c r="C1727" s="1"/>
      <c r="D1727" s="1"/>
    </row>
    <row r="1728" spans="3:4" x14ac:dyDescent="0.25">
      <c r="C1728" s="1"/>
      <c r="D1728" s="1"/>
    </row>
    <row r="1729" spans="3:4" x14ac:dyDescent="0.25">
      <c r="C1729" s="1"/>
      <c r="D1729" s="1"/>
    </row>
    <row r="1730" spans="3:4" x14ac:dyDescent="0.25">
      <c r="C1730" s="1"/>
      <c r="D1730" s="1"/>
    </row>
    <row r="1731" spans="3:4" x14ac:dyDescent="0.25">
      <c r="C1731" s="1"/>
      <c r="D1731" s="1"/>
    </row>
    <row r="1732" spans="3:4" x14ac:dyDescent="0.25">
      <c r="C1732" s="1"/>
      <c r="D1732" s="1"/>
    </row>
    <row r="1733" spans="3:4" x14ac:dyDescent="0.25">
      <c r="C1733" s="1"/>
      <c r="D1733" s="1"/>
    </row>
    <row r="1734" spans="3:4" x14ac:dyDescent="0.25">
      <c r="C1734" s="1"/>
      <c r="D1734" s="1"/>
    </row>
    <row r="1735" spans="3:4" x14ac:dyDescent="0.25">
      <c r="C1735" s="1"/>
      <c r="D1735" s="1"/>
    </row>
    <row r="1736" spans="3:4" x14ac:dyDescent="0.25">
      <c r="C1736" s="1"/>
      <c r="D1736" s="1"/>
    </row>
    <row r="1737" spans="3:4" x14ac:dyDescent="0.25">
      <c r="C1737" s="1"/>
      <c r="D1737" s="1"/>
    </row>
    <row r="1738" spans="3:4" x14ac:dyDescent="0.25">
      <c r="C1738" s="1"/>
      <c r="D1738" s="1"/>
    </row>
    <row r="1739" spans="3:4" x14ac:dyDescent="0.25">
      <c r="C1739" s="1"/>
      <c r="D1739" s="1"/>
    </row>
    <row r="1740" spans="3:4" x14ac:dyDescent="0.25">
      <c r="C1740" s="1"/>
      <c r="D1740" s="1"/>
    </row>
    <row r="1741" spans="3:4" x14ac:dyDescent="0.25">
      <c r="C1741" s="1"/>
      <c r="D1741" s="1"/>
    </row>
    <row r="1742" spans="3:4" x14ac:dyDescent="0.25">
      <c r="C1742" s="1"/>
      <c r="D1742" s="1"/>
    </row>
    <row r="1743" spans="3:4" x14ac:dyDescent="0.25">
      <c r="C1743" s="1"/>
      <c r="D1743" s="1"/>
    </row>
    <row r="1744" spans="3:4" x14ac:dyDescent="0.25">
      <c r="C1744" s="1"/>
      <c r="D1744" s="1"/>
    </row>
    <row r="1745" spans="3:4" x14ac:dyDescent="0.25">
      <c r="C1745" s="1"/>
      <c r="D1745" s="1"/>
    </row>
    <row r="1746" spans="3:4" x14ac:dyDescent="0.25">
      <c r="C1746" s="1"/>
      <c r="D1746" s="1"/>
    </row>
    <row r="1747" spans="3:4" x14ac:dyDescent="0.25">
      <c r="C1747" s="1"/>
      <c r="D1747" s="1"/>
    </row>
    <row r="1748" spans="3:4" x14ac:dyDescent="0.25">
      <c r="C1748" s="1"/>
      <c r="D1748" s="1"/>
    </row>
    <row r="1749" spans="3:4" x14ac:dyDescent="0.25">
      <c r="C1749" s="1"/>
      <c r="D1749" s="1"/>
    </row>
    <row r="1750" spans="3:4" x14ac:dyDescent="0.25">
      <c r="C1750" s="1"/>
      <c r="D1750" s="1"/>
    </row>
    <row r="1751" spans="3:4" x14ac:dyDescent="0.25">
      <c r="C1751" s="1"/>
      <c r="D1751" s="1"/>
    </row>
    <row r="1752" spans="3:4" x14ac:dyDescent="0.25">
      <c r="C1752" s="1"/>
      <c r="D1752" s="1"/>
    </row>
    <row r="1753" spans="3:4" x14ac:dyDescent="0.25">
      <c r="C1753" s="1"/>
      <c r="D1753" s="1"/>
    </row>
    <row r="1754" spans="3:4" x14ac:dyDescent="0.25">
      <c r="C1754" s="1"/>
      <c r="D1754" s="1"/>
    </row>
    <row r="1755" spans="3:4" x14ac:dyDescent="0.25">
      <c r="C1755" s="1"/>
      <c r="D1755" s="1"/>
    </row>
    <row r="1756" spans="3:4" x14ac:dyDescent="0.25">
      <c r="C1756" s="1"/>
      <c r="D1756" s="1"/>
    </row>
    <row r="1757" spans="3:4" x14ac:dyDescent="0.25">
      <c r="C1757" s="1"/>
      <c r="D1757" s="1"/>
    </row>
    <row r="1758" spans="3:4" x14ac:dyDescent="0.25">
      <c r="C1758" s="1"/>
      <c r="D1758" s="1"/>
    </row>
    <row r="1759" spans="3:4" x14ac:dyDescent="0.25">
      <c r="C1759" s="1"/>
      <c r="D1759" s="1"/>
    </row>
    <row r="1760" spans="3:4" x14ac:dyDescent="0.25">
      <c r="C1760" s="1"/>
      <c r="D1760" s="1"/>
    </row>
    <row r="1761" spans="3:4" x14ac:dyDescent="0.25">
      <c r="C1761" s="1"/>
      <c r="D1761" s="1"/>
    </row>
    <row r="1762" spans="3:4" x14ac:dyDescent="0.25">
      <c r="C1762" s="1"/>
      <c r="D1762" s="1"/>
    </row>
    <row r="1763" spans="3:4" x14ac:dyDescent="0.25">
      <c r="C1763" s="1"/>
      <c r="D1763" s="1"/>
    </row>
    <row r="1764" spans="3:4" x14ac:dyDescent="0.25">
      <c r="C1764" s="1"/>
      <c r="D1764" s="1"/>
    </row>
    <row r="1765" spans="3:4" x14ac:dyDescent="0.25">
      <c r="C1765" s="1"/>
      <c r="D1765" s="1"/>
    </row>
    <row r="1766" spans="3:4" x14ac:dyDescent="0.25">
      <c r="C1766" s="1"/>
      <c r="D1766" s="1"/>
    </row>
    <row r="1767" spans="3:4" x14ac:dyDescent="0.25">
      <c r="C1767" s="1"/>
      <c r="D1767" s="1"/>
    </row>
    <row r="1768" spans="3:4" x14ac:dyDescent="0.25">
      <c r="C1768" s="1"/>
      <c r="D1768" s="1"/>
    </row>
    <row r="1769" spans="3:4" x14ac:dyDescent="0.25">
      <c r="C1769" s="1"/>
      <c r="D1769" s="1"/>
    </row>
    <row r="1770" spans="3:4" x14ac:dyDescent="0.25">
      <c r="C1770" s="1"/>
      <c r="D1770" s="1"/>
    </row>
    <row r="1771" spans="3:4" x14ac:dyDescent="0.25">
      <c r="C1771" s="1"/>
      <c r="D1771" s="1"/>
    </row>
    <row r="1772" spans="3:4" x14ac:dyDescent="0.25">
      <c r="C1772" s="1"/>
      <c r="D1772" s="1"/>
    </row>
    <row r="1773" spans="3:4" x14ac:dyDescent="0.25">
      <c r="C1773" s="1"/>
      <c r="D1773" s="1"/>
    </row>
    <row r="1774" spans="3:4" x14ac:dyDescent="0.25">
      <c r="C1774" s="1"/>
      <c r="D1774" s="1"/>
    </row>
    <row r="1775" spans="3:4" x14ac:dyDescent="0.25">
      <c r="C1775" s="1"/>
      <c r="D1775" s="1"/>
    </row>
    <row r="1776" spans="3:4" x14ac:dyDescent="0.25">
      <c r="C1776" s="1"/>
      <c r="D1776" s="1"/>
    </row>
    <row r="1777" spans="3:4" x14ac:dyDescent="0.25">
      <c r="C1777" s="1"/>
      <c r="D1777" s="1"/>
    </row>
    <row r="1778" spans="3:4" x14ac:dyDescent="0.25">
      <c r="C1778" s="1"/>
      <c r="D1778" s="1"/>
    </row>
    <row r="1779" spans="3:4" x14ac:dyDescent="0.25">
      <c r="C1779" s="1"/>
      <c r="D1779" s="1"/>
    </row>
    <row r="1780" spans="3:4" x14ac:dyDescent="0.25">
      <c r="C1780" s="1"/>
      <c r="D1780" s="1"/>
    </row>
    <row r="1781" spans="3:4" x14ac:dyDescent="0.25">
      <c r="C1781" s="1"/>
      <c r="D1781" s="1"/>
    </row>
    <row r="1782" spans="3:4" x14ac:dyDescent="0.25">
      <c r="C1782" s="1"/>
      <c r="D1782" s="1"/>
    </row>
    <row r="1783" spans="3:4" x14ac:dyDescent="0.25">
      <c r="C1783" s="1"/>
      <c r="D1783" s="1"/>
    </row>
    <row r="1784" spans="3:4" x14ac:dyDescent="0.25">
      <c r="C1784" s="1"/>
      <c r="D1784" s="1"/>
    </row>
    <row r="1785" spans="3:4" x14ac:dyDescent="0.25">
      <c r="C1785" s="1"/>
      <c r="D1785" s="1"/>
    </row>
    <row r="1786" spans="3:4" x14ac:dyDescent="0.25">
      <c r="C1786" s="1"/>
      <c r="D1786" s="1"/>
    </row>
    <row r="1787" spans="3:4" x14ac:dyDescent="0.25">
      <c r="C1787" s="1"/>
      <c r="D1787" s="1"/>
    </row>
    <row r="1788" spans="3:4" x14ac:dyDescent="0.25">
      <c r="C1788" s="1"/>
      <c r="D1788" s="1"/>
    </row>
    <row r="1789" spans="3:4" x14ac:dyDescent="0.25">
      <c r="C1789" s="1"/>
      <c r="D1789" s="1"/>
    </row>
    <row r="1790" spans="3:4" x14ac:dyDescent="0.25">
      <c r="C1790" s="1"/>
      <c r="D1790" s="1"/>
    </row>
    <row r="1791" spans="3:4" x14ac:dyDescent="0.25">
      <c r="C1791" s="1"/>
      <c r="D1791" s="1"/>
    </row>
    <row r="1792" spans="3:4" x14ac:dyDescent="0.25">
      <c r="C1792" s="1"/>
      <c r="D1792" s="1"/>
    </row>
    <row r="1793" spans="3:4" x14ac:dyDescent="0.25">
      <c r="C1793" s="1"/>
      <c r="D1793" s="1"/>
    </row>
    <row r="1794" spans="3:4" x14ac:dyDescent="0.25">
      <c r="C1794" s="1"/>
      <c r="D1794" s="1"/>
    </row>
    <row r="1795" spans="3:4" x14ac:dyDescent="0.25">
      <c r="C1795" s="1"/>
      <c r="D1795" s="1"/>
    </row>
    <row r="1796" spans="3:4" x14ac:dyDescent="0.25">
      <c r="C1796" s="1"/>
      <c r="D1796" s="1"/>
    </row>
    <row r="1797" spans="3:4" x14ac:dyDescent="0.25">
      <c r="C1797" s="1"/>
      <c r="D1797" s="1"/>
    </row>
    <row r="1798" spans="3:4" x14ac:dyDescent="0.25">
      <c r="C1798" s="1"/>
      <c r="D1798" s="1"/>
    </row>
    <row r="1799" spans="3:4" x14ac:dyDescent="0.25">
      <c r="C1799" s="1"/>
      <c r="D1799" s="1"/>
    </row>
    <row r="1800" spans="3:4" x14ac:dyDescent="0.25">
      <c r="C1800" s="1"/>
      <c r="D1800" s="1"/>
    </row>
    <row r="1801" spans="3:4" x14ac:dyDescent="0.25">
      <c r="C1801" s="1"/>
      <c r="D1801" s="1"/>
    </row>
    <row r="1802" spans="3:4" x14ac:dyDescent="0.25">
      <c r="C1802" s="1"/>
      <c r="D1802" s="1"/>
    </row>
    <row r="1803" spans="3:4" x14ac:dyDescent="0.25">
      <c r="C1803" s="1"/>
      <c r="D1803" s="1"/>
    </row>
    <row r="1804" spans="3:4" x14ac:dyDescent="0.25">
      <c r="C1804" s="1"/>
      <c r="D1804" s="1"/>
    </row>
    <row r="1805" spans="3:4" x14ac:dyDescent="0.25">
      <c r="C1805" s="1"/>
      <c r="D1805" s="1"/>
    </row>
    <row r="1806" spans="3:4" x14ac:dyDescent="0.25">
      <c r="C1806" s="1"/>
      <c r="D1806" s="1"/>
    </row>
    <row r="1807" spans="3:4" x14ac:dyDescent="0.25">
      <c r="C1807" s="1"/>
      <c r="D1807" s="1"/>
    </row>
    <row r="1808" spans="3:4" x14ac:dyDescent="0.25">
      <c r="C1808" s="1"/>
      <c r="D1808" s="1"/>
    </row>
    <row r="1809" spans="3:4" x14ac:dyDescent="0.25">
      <c r="C1809" s="1"/>
      <c r="D1809" s="1"/>
    </row>
    <row r="1810" spans="3:4" x14ac:dyDescent="0.25">
      <c r="C1810" s="1"/>
      <c r="D1810" s="1"/>
    </row>
    <row r="1811" spans="3:4" x14ac:dyDescent="0.25">
      <c r="C1811" s="1"/>
      <c r="D1811" s="1"/>
    </row>
    <row r="1812" spans="3:4" x14ac:dyDescent="0.25">
      <c r="C1812" s="1"/>
      <c r="D1812" s="1"/>
    </row>
    <row r="1813" spans="3:4" x14ac:dyDescent="0.25">
      <c r="C1813" s="1"/>
      <c r="D1813" s="1"/>
    </row>
    <row r="1814" spans="3:4" x14ac:dyDescent="0.25">
      <c r="C1814" s="1"/>
      <c r="D1814" s="1"/>
    </row>
    <row r="1815" spans="3:4" x14ac:dyDescent="0.25">
      <c r="C1815" s="1"/>
      <c r="D1815" s="1"/>
    </row>
    <row r="1816" spans="3:4" x14ac:dyDescent="0.25">
      <c r="C1816" s="1"/>
      <c r="D1816" s="1"/>
    </row>
    <row r="1817" spans="3:4" x14ac:dyDescent="0.25">
      <c r="C1817" s="1"/>
      <c r="D1817" s="1"/>
    </row>
    <row r="1818" spans="3:4" x14ac:dyDescent="0.25">
      <c r="C1818" s="1"/>
      <c r="D1818" s="1"/>
    </row>
    <row r="1819" spans="3:4" x14ac:dyDescent="0.25">
      <c r="C1819" s="1"/>
      <c r="D1819" s="1"/>
    </row>
    <row r="1820" spans="3:4" x14ac:dyDescent="0.25">
      <c r="C1820" s="1"/>
      <c r="D1820" s="1"/>
    </row>
    <row r="1821" spans="3:4" x14ac:dyDescent="0.25">
      <c r="C1821" s="1"/>
      <c r="D1821" s="1"/>
    </row>
    <row r="1822" spans="3:4" x14ac:dyDescent="0.25">
      <c r="C1822" s="1"/>
      <c r="D1822" s="1"/>
    </row>
    <row r="1823" spans="3:4" x14ac:dyDescent="0.25">
      <c r="C1823" s="1"/>
      <c r="D1823" s="1"/>
    </row>
    <row r="1824" spans="3:4" x14ac:dyDescent="0.25">
      <c r="C1824" s="1"/>
      <c r="D1824" s="1"/>
    </row>
    <row r="1825" spans="3:4" x14ac:dyDescent="0.25">
      <c r="C1825" s="1"/>
      <c r="D1825" s="1"/>
    </row>
    <row r="1826" spans="3:4" x14ac:dyDescent="0.25">
      <c r="C1826" s="1"/>
      <c r="D1826" s="1"/>
    </row>
    <row r="1827" spans="3:4" x14ac:dyDescent="0.25">
      <c r="C1827" s="1"/>
      <c r="D1827" s="1"/>
    </row>
    <row r="1828" spans="3:4" x14ac:dyDescent="0.25">
      <c r="C1828" s="1"/>
      <c r="D1828" s="1"/>
    </row>
    <row r="1829" spans="3:4" x14ac:dyDescent="0.25">
      <c r="C1829" s="1"/>
      <c r="D1829" s="1"/>
    </row>
    <row r="1830" spans="3:4" x14ac:dyDescent="0.25">
      <c r="C1830" s="1"/>
      <c r="D1830" s="1"/>
    </row>
    <row r="1831" spans="3:4" x14ac:dyDescent="0.25">
      <c r="C1831" s="1"/>
      <c r="D1831" s="1"/>
    </row>
    <row r="1832" spans="3:4" x14ac:dyDescent="0.25">
      <c r="C1832" s="1"/>
      <c r="D1832" s="1"/>
    </row>
    <row r="1833" spans="3:4" x14ac:dyDescent="0.25">
      <c r="C1833" s="1"/>
      <c r="D1833" s="1"/>
    </row>
    <row r="1834" spans="3:4" x14ac:dyDescent="0.25">
      <c r="C1834" s="1"/>
      <c r="D1834" s="1"/>
    </row>
    <row r="1835" spans="3:4" x14ac:dyDescent="0.25">
      <c r="C1835" s="1"/>
      <c r="D1835" s="1"/>
    </row>
    <row r="1836" spans="3:4" x14ac:dyDescent="0.25">
      <c r="C1836" s="1"/>
      <c r="D1836" s="1"/>
    </row>
    <row r="1837" spans="3:4" x14ac:dyDescent="0.25">
      <c r="C1837" s="1"/>
      <c r="D1837" s="1"/>
    </row>
    <row r="1838" spans="3:4" x14ac:dyDescent="0.25">
      <c r="C1838" s="1"/>
      <c r="D1838" s="1"/>
    </row>
    <row r="1839" spans="3:4" x14ac:dyDescent="0.25">
      <c r="C1839" s="1"/>
      <c r="D1839" s="1"/>
    </row>
    <row r="1840" spans="3:4" x14ac:dyDescent="0.25">
      <c r="C1840" s="1"/>
      <c r="D1840" s="1"/>
    </row>
    <row r="1841" spans="3:4" x14ac:dyDescent="0.25">
      <c r="C1841" s="1"/>
      <c r="D1841" s="1"/>
    </row>
    <row r="1842" spans="3:4" x14ac:dyDescent="0.25">
      <c r="C1842" s="1"/>
      <c r="D1842" s="1"/>
    </row>
    <row r="1843" spans="3:4" x14ac:dyDescent="0.25">
      <c r="C1843" s="1"/>
      <c r="D1843" s="1"/>
    </row>
    <row r="1844" spans="3:4" x14ac:dyDescent="0.25">
      <c r="C1844" s="1"/>
      <c r="D1844" s="1"/>
    </row>
    <row r="1845" spans="3:4" x14ac:dyDescent="0.25">
      <c r="C1845" s="1"/>
      <c r="D1845" s="1"/>
    </row>
    <row r="1846" spans="3:4" x14ac:dyDescent="0.25">
      <c r="C1846" s="1"/>
      <c r="D1846" s="1"/>
    </row>
    <row r="1847" spans="3:4" x14ac:dyDescent="0.25">
      <c r="C1847" s="1"/>
      <c r="D1847" s="1"/>
    </row>
    <row r="1848" spans="3:4" x14ac:dyDescent="0.25">
      <c r="C1848" s="1"/>
      <c r="D1848" s="1"/>
    </row>
    <row r="1849" spans="3:4" x14ac:dyDescent="0.25">
      <c r="C1849" s="1"/>
      <c r="D1849" s="1"/>
    </row>
    <row r="1850" spans="3:4" x14ac:dyDescent="0.25">
      <c r="C1850" s="1"/>
      <c r="D1850" s="1"/>
    </row>
    <row r="1851" spans="3:4" x14ac:dyDescent="0.25">
      <c r="C1851" s="1"/>
      <c r="D1851" s="1"/>
    </row>
    <row r="1852" spans="3:4" x14ac:dyDescent="0.25">
      <c r="C1852" s="1"/>
      <c r="D1852" s="1"/>
    </row>
    <row r="1853" spans="3:4" x14ac:dyDescent="0.25">
      <c r="C1853" s="1"/>
      <c r="D1853" s="1"/>
    </row>
    <row r="1854" spans="3:4" x14ac:dyDescent="0.25">
      <c r="C1854" s="1"/>
      <c r="D1854" s="1"/>
    </row>
    <row r="1855" spans="3:4" x14ac:dyDescent="0.25">
      <c r="C1855" s="1"/>
      <c r="D1855" s="1"/>
    </row>
    <row r="1856" spans="3:4" x14ac:dyDescent="0.25">
      <c r="C1856" s="1"/>
      <c r="D1856" s="1"/>
    </row>
    <row r="1857" spans="3:4" x14ac:dyDescent="0.25">
      <c r="C1857" s="1"/>
      <c r="D1857" s="1"/>
    </row>
    <row r="1858" spans="3:4" x14ac:dyDescent="0.25">
      <c r="C1858" s="1"/>
      <c r="D1858" s="1"/>
    </row>
    <row r="1859" spans="3:4" x14ac:dyDescent="0.25">
      <c r="C1859" s="1"/>
      <c r="D1859" s="1"/>
    </row>
    <row r="1860" spans="3:4" x14ac:dyDescent="0.25">
      <c r="C1860" s="1"/>
      <c r="D1860" s="1"/>
    </row>
    <row r="1861" spans="3:4" x14ac:dyDescent="0.25">
      <c r="C1861" s="1"/>
      <c r="D1861" s="1"/>
    </row>
    <row r="1862" spans="3:4" x14ac:dyDescent="0.25">
      <c r="C1862" s="1"/>
      <c r="D1862" s="1"/>
    </row>
    <row r="1863" spans="3:4" x14ac:dyDescent="0.25">
      <c r="C1863" s="1"/>
      <c r="D1863" s="1"/>
    </row>
    <row r="1864" spans="3:4" x14ac:dyDescent="0.25">
      <c r="C1864" s="1"/>
      <c r="D1864" s="1"/>
    </row>
    <row r="1865" spans="3:4" x14ac:dyDescent="0.25">
      <c r="C1865" s="1"/>
      <c r="D1865" s="1"/>
    </row>
    <row r="1866" spans="3:4" x14ac:dyDescent="0.25">
      <c r="C1866" s="1"/>
      <c r="D1866" s="1"/>
    </row>
    <row r="1867" spans="3:4" x14ac:dyDescent="0.25">
      <c r="C1867" s="1"/>
      <c r="D1867" s="1"/>
    </row>
    <row r="1868" spans="3:4" x14ac:dyDescent="0.25">
      <c r="C1868" s="1"/>
      <c r="D1868" s="1"/>
    </row>
    <row r="1869" spans="3:4" x14ac:dyDescent="0.25">
      <c r="C1869" s="1"/>
      <c r="D1869" s="1"/>
    </row>
    <row r="1870" spans="3:4" x14ac:dyDescent="0.25">
      <c r="C1870" s="1"/>
      <c r="D1870" s="1"/>
    </row>
    <row r="1871" spans="3:4" x14ac:dyDescent="0.25">
      <c r="C1871" s="1"/>
      <c r="D1871" s="1"/>
    </row>
    <row r="1872" spans="3:4" x14ac:dyDescent="0.25">
      <c r="C1872" s="1"/>
      <c r="D1872" s="1"/>
    </row>
    <row r="1873" spans="3:4" x14ac:dyDescent="0.25">
      <c r="C1873" s="1"/>
      <c r="D1873" s="1"/>
    </row>
    <row r="1874" spans="3:4" x14ac:dyDescent="0.25">
      <c r="C1874" s="1"/>
      <c r="D1874" s="1"/>
    </row>
    <row r="1875" spans="3:4" x14ac:dyDescent="0.25">
      <c r="C1875" s="1"/>
      <c r="D1875" s="1"/>
    </row>
    <row r="1876" spans="3:4" x14ac:dyDescent="0.25">
      <c r="C1876" s="1"/>
      <c r="D1876" s="1"/>
    </row>
    <row r="1877" spans="3:4" x14ac:dyDescent="0.25">
      <c r="C1877" s="1"/>
      <c r="D1877" s="1"/>
    </row>
    <row r="1878" spans="3:4" x14ac:dyDescent="0.25">
      <c r="C1878" s="1"/>
      <c r="D1878" s="1"/>
    </row>
    <row r="1879" spans="3:4" x14ac:dyDescent="0.25">
      <c r="C1879" s="1"/>
      <c r="D1879" s="1"/>
    </row>
    <row r="1880" spans="3:4" x14ac:dyDescent="0.25">
      <c r="C1880" s="1"/>
      <c r="D1880" s="1"/>
    </row>
    <row r="1881" spans="3:4" x14ac:dyDescent="0.25">
      <c r="C1881" s="1"/>
      <c r="D1881" s="1"/>
    </row>
    <row r="1882" spans="3:4" x14ac:dyDescent="0.25">
      <c r="C1882" s="1"/>
      <c r="D1882" s="1"/>
    </row>
    <row r="1883" spans="3:4" x14ac:dyDescent="0.25">
      <c r="C1883" s="1"/>
      <c r="D1883" s="1"/>
    </row>
    <row r="1884" spans="3:4" x14ac:dyDescent="0.25">
      <c r="C1884" s="1"/>
      <c r="D1884" s="1"/>
    </row>
    <row r="1885" spans="3:4" x14ac:dyDescent="0.25">
      <c r="C1885" s="1"/>
      <c r="D1885" s="1"/>
    </row>
    <row r="1886" spans="3:4" x14ac:dyDescent="0.25">
      <c r="C1886" s="1"/>
      <c r="D1886" s="1"/>
    </row>
    <row r="1887" spans="3:4" x14ac:dyDescent="0.25">
      <c r="C1887" s="1"/>
      <c r="D1887" s="1"/>
    </row>
    <row r="1888" spans="3:4" x14ac:dyDescent="0.25">
      <c r="C1888" s="1"/>
      <c r="D1888" s="1"/>
    </row>
    <row r="1889" spans="3:4" x14ac:dyDescent="0.25">
      <c r="C1889" s="1"/>
      <c r="D1889" s="1"/>
    </row>
    <row r="1890" spans="3:4" x14ac:dyDescent="0.25">
      <c r="C1890" s="1"/>
      <c r="D1890" s="1"/>
    </row>
    <row r="1891" spans="3:4" x14ac:dyDescent="0.25">
      <c r="C1891" s="1"/>
      <c r="D1891" s="1"/>
    </row>
    <row r="1892" spans="3:4" x14ac:dyDescent="0.25">
      <c r="C1892" s="1"/>
      <c r="D1892" s="1"/>
    </row>
    <row r="1893" spans="3:4" x14ac:dyDescent="0.25">
      <c r="C1893" s="1"/>
      <c r="D1893" s="1"/>
    </row>
    <row r="1894" spans="3:4" x14ac:dyDescent="0.25">
      <c r="C1894" s="1"/>
      <c r="D1894" s="1"/>
    </row>
    <row r="1895" spans="3:4" x14ac:dyDescent="0.25">
      <c r="C1895" s="1"/>
      <c r="D1895" s="1"/>
    </row>
    <row r="1896" spans="3:4" x14ac:dyDescent="0.25">
      <c r="C1896" s="1"/>
      <c r="D1896" s="1"/>
    </row>
    <row r="1897" spans="3:4" x14ac:dyDescent="0.25">
      <c r="C1897" s="1"/>
      <c r="D1897" s="1"/>
    </row>
    <row r="1898" spans="3:4" x14ac:dyDescent="0.25">
      <c r="C1898" s="1"/>
      <c r="D1898" s="1"/>
    </row>
    <row r="1899" spans="3:4" x14ac:dyDescent="0.25">
      <c r="C1899" s="1"/>
      <c r="D1899" s="1"/>
    </row>
    <row r="1900" spans="3:4" x14ac:dyDescent="0.25">
      <c r="C1900" s="1"/>
      <c r="D1900" s="1"/>
    </row>
    <row r="1901" spans="3:4" x14ac:dyDescent="0.25">
      <c r="C1901" s="1"/>
      <c r="D1901" s="1"/>
    </row>
    <row r="1902" spans="3:4" x14ac:dyDescent="0.25">
      <c r="C1902" s="1"/>
      <c r="D1902" s="1"/>
    </row>
    <row r="1903" spans="3:4" x14ac:dyDescent="0.25">
      <c r="C1903" s="1"/>
      <c r="D1903" s="1"/>
    </row>
    <row r="1904" spans="3:4" x14ac:dyDescent="0.25">
      <c r="C1904" s="1"/>
      <c r="D1904" s="1"/>
    </row>
    <row r="1905" spans="3:4" x14ac:dyDescent="0.25">
      <c r="C1905" s="1"/>
      <c r="D1905" s="1"/>
    </row>
    <row r="1906" spans="3:4" x14ac:dyDescent="0.25">
      <c r="C1906" s="1"/>
      <c r="D1906" s="1"/>
    </row>
    <row r="1907" spans="3:4" x14ac:dyDescent="0.25">
      <c r="C1907" s="1"/>
      <c r="D1907" s="1"/>
    </row>
    <row r="1908" spans="3:4" x14ac:dyDescent="0.25">
      <c r="C1908" s="1"/>
      <c r="D1908" s="1"/>
    </row>
    <row r="1909" spans="3:4" x14ac:dyDescent="0.25">
      <c r="C1909" s="1"/>
      <c r="D1909" s="1"/>
    </row>
    <row r="1910" spans="3:4" x14ac:dyDescent="0.25">
      <c r="C1910" s="1"/>
      <c r="D1910" s="1"/>
    </row>
    <row r="1911" spans="3:4" x14ac:dyDescent="0.25">
      <c r="C1911" s="1"/>
      <c r="D1911" s="1"/>
    </row>
    <row r="1912" spans="3:4" x14ac:dyDescent="0.25">
      <c r="C1912" s="1"/>
      <c r="D1912" s="1"/>
    </row>
    <row r="1913" spans="3:4" x14ac:dyDescent="0.25">
      <c r="C1913" s="1"/>
      <c r="D1913" s="1"/>
    </row>
    <row r="1914" spans="3:4" x14ac:dyDescent="0.25">
      <c r="C1914" s="1"/>
      <c r="D1914" s="1"/>
    </row>
    <row r="1915" spans="3:4" x14ac:dyDescent="0.25">
      <c r="C1915" s="1"/>
      <c r="D1915" s="1"/>
    </row>
    <row r="1916" spans="3:4" x14ac:dyDescent="0.25">
      <c r="C1916" s="1"/>
      <c r="D1916" s="1"/>
    </row>
    <row r="1917" spans="3:4" x14ac:dyDescent="0.25">
      <c r="C1917" s="1"/>
      <c r="D1917" s="1"/>
    </row>
    <row r="1918" spans="3:4" x14ac:dyDescent="0.25">
      <c r="C1918" s="1"/>
      <c r="D1918" s="1"/>
    </row>
    <row r="1919" spans="3:4" x14ac:dyDescent="0.25">
      <c r="C1919" s="1"/>
      <c r="D1919" s="1"/>
    </row>
    <row r="1920" spans="3:4" x14ac:dyDescent="0.25">
      <c r="C1920" s="1"/>
      <c r="D1920" s="1"/>
    </row>
    <row r="1921" spans="3:4" x14ac:dyDescent="0.25">
      <c r="C1921" s="1"/>
      <c r="D1921" s="1"/>
    </row>
    <row r="1922" spans="3:4" x14ac:dyDescent="0.25">
      <c r="C1922" s="1"/>
      <c r="D1922" s="1"/>
    </row>
    <row r="1923" spans="3:4" x14ac:dyDescent="0.25">
      <c r="C1923" s="1"/>
      <c r="D1923" s="1"/>
    </row>
    <row r="1924" spans="3:4" x14ac:dyDescent="0.25">
      <c r="C1924" s="1"/>
      <c r="D1924" s="1"/>
    </row>
    <row r="1925" spans="3:4" x14ac:dyDescent="0.25">
      <c r="C1925" s="1"/>
      <c r="D1925" s="1"/>
    </row>
    <row r="1926" spans="3:4" x14ac:dyDescent="0.25">
      <c r="C1926" s="1"/>
      <c r="D1926" s="1"/>
    </row>
    <row r="1927" spans="3:4" x14ac:dyDescent="0.25">
      <c r="C1927" s="1"/>
      <c r="D1927" s="1"/>
    </row>
    <row r="1928" spans="3:4" x14ac:dyDescent="0.25">
      <c r="C1928" s="1"/>
      <c r="D1928" s="1"/>
    </row>
    <row r="1929" spans="3:4" x14ac:dyDescent="0.25">
      <c r="C1929" s="1"/>
      <c r="D1929" s="1"/>
    </row>
    <row r="1930" spans="3:4" x14ac:dyDescent="0.25">
      <c r="C1930" s="1"/>
      <c r="D1930" s="1"/>
    </row>
    <row r="1931" spans="3:4" x14ac:dyDescent="0.25">
      <c r="C1931" s="1"/>
      <c r="D1931" s="1"/>
    </row>
    <row r="1932" spans="3:4" x14ac:dyDescent="0.25">
      <c r="C1932" s="1"/>
      <c r="D1932" s="1"/>
    </row>
    <row r="1933" spans="3:4" x14ac:dyDescent="0.25">
      <c r="C1933" s="1"/>
      <c r="D1933" s="1"/>
    </row>
    <row r="1934" spans="3:4" x14ac:dyDescent="0.25">
      <c r="C1934" s="1"/>
      <c r="D1934" s="1"/>
    </row>
    <row r="1935" spans="3:4" x14ac:dyDescent="0.25">
      <c r="C1935" s="1"/>
      <c r="D1935" s="1"/>
    </row>
    <row r="1936" spans="3:4" x14ac:dyDescent="0.25">
      <c r="C1936" s="1"/>
      <c r="D1936" s="1"/>
    </row>
    <row r="1937" spans="3:4" x14ac:dyDescent="0.25">
      <c r="C1937" s="1"/>
      <c r="D1937" s="1"/>
    </row>
    <row r="1938" spans="3:4" x14ac:dyDescent="0.25">
      <c r="C1938" s="1"/>
      <c r="D1938" s="1"/>
    </row>
    <row r="1939" spans="3:4" x14ac:dyDescent="0.25">
      <c r="C1939" s="1"/>
      <c r="D1939" s="1"/>
    </row>
    <row r="1940" spans="3:4" x14ac:dyDescent="0.25">
      <c r="C1940" s="1"/>
      <c r="D1940" s="1"/>
    </row>
    <row r="1941" spans="3:4" x14ac:dyDescent="0.25">
      <c r="C1941" s="1"/>
      <c r="D1941" s="1"/>
    </row>
    <row r="1942" spans="3:4" x14ac:dyDescent="0.25">
      <c r="C1942" s="1"/>
      <c r="D1942" s="1"/>
    </row>
    <row r="1943" spans="3:4" x14ac:dyDescent="0.25">
      <c r="C1943" s="1"/>
      <c r="D1943" s="1"/>
    </row>
    <row r="1944" spans="3:4" x14ac:dyDescent="0.25">
      <c r="C1944" s="1"/>
      <c r="D1944" s="1"/>
    </row>
    <row r="1945" spans="3:4" x14ac:dyDescent="0.25">
      <c r="C1945" s="1"/>
      <c r="D1945" s="1"/>
    </row>
    <row r="1946" spans="3:4" x14ac:dyDescent="0.25">
      <c r="C1946" s="1"/>
      <c r="D1946" s="1"/>
    </row>
    <row r="1947" spans="3:4" x14ac:dyDescent="0.25">
      <c r="C1947" s="1"/>
      <c r="D1947" s="1"/>
    </row>
    <row r="1948" spans="3:4" x14ac:dyDescent="0.25">
      <c r="C1948" s="1"/>
      <c r="D1948" s="1"/>
    </row>
    <row r="1949" spans="3:4" x14ac:dyDescent="0.25">
      <c r="C1949" s="1"/>
      <c r="D1949" s="1"/>
    </row>
    <row r="1950" spans="3:4" x14ac:dyDescent="0.25">
      <c r="C1950" s="1"/>
      <c r="D1950" s="1"/>
    </row>
    <row r="1951" spans="3:4" x14ac:dyDescent="0.25">
      <c r="C1951" s="1"/>
      <c r="D1951" s="1"/>
    </row>
    <row r="1952" spans="3:4" x14ac:dyDescent="0.25">
      <c r="C1952" s="1"/>
      <c r="D1952" s="1"/>
    </row>
    <row r="1953" spans="3:4" x14ac:dyDescent="0.25">
      <c r="C1953" s="1"/>
      <c r="D1953" s="1"/>
    </row>
    <row r="1954" spans="3:4" x14ac:dyDescent="0.25">
      <c r="C1954" s="1"/>
      <c r="D1954" s="1"/>
    </row>
    <row r="1955" spans="3:4" x14ac:dyDescent="0.25">
      <c r="C1955" s="1"/>
      <c r="D1955" s="1"/>
    </row>
    <row r="1956" spans="3:4" x14ac:dyDescent="0.25">
      <c r="C1956" s="1"/>
      <c r="D1956" s="1"/>
    </row>
    <row r="1957" spans="3:4" x14ac:dyDescent="0.25">
      <c r="C1957" s="1"/>
      <c r="D1957" s="1"/>
    </row>
    <row r="1958" spans="3:4" x14ac:dyDescent="0.25">
      <c r="C1958" s="1"/>
      <c r="D1958" s="1"/>
    </row>
    <row r="1959" spans="3:4" x14ac:dyDescent="0.25">
      <c r="C1959" s="1"/>
      <c r="D1959" s="1"/>
    </row>
    <row r="1960" spans="3:4" x14ac:dyDescent="0.25">
      <c r="C1960" s="1"/>
      <c r="D1960" s="1"/>
    </row>
    <row r="1961" spans="3:4" x14ac:dyDescent="0.25">
      <c r="C1961" s="1"/>
      <c r="D1961" s="1"/>
    </row>
    <row r="1962" spans="3:4" x14ac:dyDescent="0.25">
      <c r="C1962" s="1"/>
      <c r="D1962" s="1"/>
    </row>
    <row r="1963" spans="3:4" x14ac:dyDescent="0.25">
      <c r="C1963" s="1"/>
      <c r="D1963" s="1"/>
    </row>
    <row r="1964" spans="3:4" x14ac:dyDescent="0.25">
      <c r="C1964" s="1"/>
      <c r="D1964" s="1"/>
    </row>
    <row r="1965" spans="3:4" x14ac:dyDescent="0.25">
      <c r="C1965" s="1"/>
      <c r="D1965" s="1"/>
    </row>
    <row r="1966" spans="3:4" x14ac:dyDescent="0.25">
      <c r="C1966" s="1"/>
      <c r="D1966" s="1"/>
    </row>
    <row r="1967" spans="3:4" x14ac:dyDescent="0.25">
      <c r="C1967" s="1"/>
      <c r="D1967" s="1"/>
    </row>
    <row r="1968" spans="3:4" x14ac:dyDescent="0.25">
      <c r="C1968" s="1"/>
      <c r="D1968" s="1"/>
    </row>
    <row r="1969" spans="3:4" x14ac:dyDescent="0.25">
      <c r="C1969" s="1"/>
      <c r="D1969" s="1"/>
    </row>
    <row r="1970" spans="3:4" x14ac:dyDescent="0.25">
      <c r="C1970" s="1"/>
      <c r="D1970" s="1"/>
    </row>
    <row r="1971" spans="3:4" x14ac:dyDescent="0.25">
      <c r="C1971" s="1"/>
      <c r="D1971" s="1"/>
    </row>
    <row r="1972" spans="3:4" x14ac:dyDescent="0.25">
      <c r="C1972" s="1"/>
      <c r="D1972" s="1"/>
    </row>
    <row r="1973" spans="3:4" x14ac:dyDescent="0.25">
      <c r="C1973" s="1"/>
      <c r="D1973" s="1"/>
    </row>
    <row r="1974" spans="3:4" x14ac:dyDescent="0.25">
      <c r="C1974" s="1"/>
      <c r="D1974" s="1"/>
    </row>
    <row r="1975" spans="3:4" x14ac:dyDescent="0.25">
      <c r="C1975" s="1"/>
      <c r="D1975" s="1"/>
    </row>
    <row r="1976" spans="3:4" x14ac:dyDescent="0.25">
      <c r="C1976" s="1"/>
      <c r="D1976" s="1"/>
    </row>
    <row r="1977" spans="3:4" x14ac:dyDescent="0.25">
      <c r="C1977" s="1"/>
      <c r="D1977" s="1"/>
    </row>
    <row r="1978" spans="3:4" x14ac:dyDescent="0.25">
      <c r="C1978" s="1"/>
      <c r="D1978" s="1"/>
    </row>
    <row r="1979" spans="3:4" x14ac:dyDescent="0.25">
      <c r="C1979" s="1"/>
      <c r="D1979" s="1"/>
    </row>
    <row r="1980" spans="3:4" x14ac:dyDescent="0.25">
      <c r="C1980" s="1"/>
      <c r="D1980" s="1"/>
    </row>
    <row r="1981" spans="3:4" x14ac:dyDescent="0.25">
      <c r="C1981" s="1"/>
      <c r="D1981" s="1"/>
    </row>
    <row r="1982" spans="3:4" x14ac:dyDescent="0.25">
      <c r="C1982" s="1"/>
      <c r="D1982" s="1"/>
    </row>
    <row r="1983" spans="3:4" x14ac:dyDescent="0.25">
      <c r="C1983" s="1"/>
      <c r="D1983" s="1"/>
    </row>
    <row r="1984" spans="3:4" x14ac:dyDescent="0.25">
      <c r="C1984" s="1"/>
      <c r="D1984" s="1"/>
    </row>
    <row r="1985" spans="3:4" x14ac:dyDescent="0.25">
      <c r="C1985" s="1"/>
      <c r="D1985" s="1"/>
    </row>
    <row r="1986" spans="3:4" x14ac:dyDescent="0.25">
      <c r="C1986" s="1"/>
      <c r="D1986" s="1"/>
    </row>
    <row r="1987" spans="3:4" x14ac:dyDescent="0.25">
      <c r="C1987" s="1"/>
      <c r="D1987" s="1"/>
    </row>
    <row r="1988" spans="3:4" x14ac:dyDescent="0.25">
      <c r="C1988" s="1"/>
      <c r="D1988" s="1"/>
    </row>
    <row r="1989" spans="3:4" x14ac:dyDescent="0.25">
      <c r="C1989" s="1"/>
      <c r="D1989" s="1"/>
    </row>
    <row r="1990" spans="3:4" x14ac:dyDescent="0.25">
      <c r="C1990" s="1"/>
      <c r="D1990" s="1"/>
    </row>
    <row r="1991" spans="3:4" x14ac:dyDescent="0.25">
      <c r="C1991" s="1"/>
      <c r="D1991" s="1"/>
    </row>
    <row r="1992" spans="3:4" x14ac:dyDescent="0.25">
      <c r="C1992" s="1"/>
      <c r="D1992" s="1"/>
    </row>
    <row r="1993" spans="3:4" x14ac:dyDescent="0.25">
      <c r="C1993" s="1"/>
      <c r="D1993" s="1"/>
    </row>
    <row r="1994" spans="3:4" x14ac:dyDescent="0.25">
      <c r="C1994" s="1"/>
      <c r="D1994" s="1"/>
    </row>
    <row r="1995" spans="3:4" x14ac:dyDescent="0.25">
      <c r="C1995" s="1"/>
      <c r="D1995" s="1"/>
    </row>
    <row r="1996" spans="3:4" x14ac:dyDescent="0.25">
      <c r="C1996" s="1"/>
      <c r="D1996" s="1"/>
    </row>
    <row r="1997" spans="3:4" x14ac:dyDescent="0.25">
      <c r="C1997" s="1"/>
      <c r="D1997" s="1"/>
    </row>
    <row r="1998" spans="3:4" x14ac:dyDescent="0.25">
      <c r="C1998" s="1"/>
      <c r="D1998" s="1"/>
    </row>
    <row r="1999" spans="3:4" x14ac:dyDescent="0.25">
      <c r="C1999" s="1"/>
      <c r="D1999" s="1"/>
    </row>
    <row r="2000" spans="3:4" x14ac:dyDescent="0.25">
      <c r="C2000" s="1"/>
      <c r="D2000" s="1"/>
    </row>
    <row r="2001" spans="3:4" x14ac:dyDescent="0.25">
      <c r="C2001" s="1"/>
      <c r="D2001" s="1"/>
    </row>
    <row r="2002" spans="3:4" x14ac:dyDescent="0.25">
      <c r="C2002" s="1"/>
      <c r="D2002" s="1"/>
    </row>
    <row r="2003" spans="3:4" x14ac:dyDescent="0.25">
      <c r="C2003" s="1"/>
      <c r="D2003" s="1"/>
    </row>
    <row r="2004" spans="3:4" x14ac:dyDescent="0.25">
      <c r="C2004" s="1"/>
      <c r="D2004" s="1"/>
    </row>
    <row r="2005" spans="3:4" x14ac:dyDescent="0.25">
      <c r="C2005" s="1"/>
      <c r="D2005" s="1"/>
    </row>
    <row r="2006" spans="3:4" x14ac:dyDescent="0.25">
      <c r="C2006" s="1"/>
      <c r="D2006" s="1"/>
    </row>
    <row r="2007" spans="3:4" x14ac:dyDescent="0.25">
      <c r="C2007" s="1"/>
      <c r="D2007" s="1"/>
    </row>
    <row r="2008" spans="3:4" x14ac:dyDescent="0.25">
      <c r="C2008" s="1"/>
      <c r="D2008" s="1"/>
    </row>
    <row r="2009" spans="3:4" x14ac:dyDescent="0.25">
      <c r="C2009" s="1"/>
      <c r="D2009" s="1"/>
    </row>
    <row r="2010" spans="3:4" x14ac:dyDescent="0.25">
      <c r="C2010" s="1"/>
      <c r="D2010" s="1"/>
    </row>
    <row r="2011" spans="3:4" x14ac:dyDescent="0.25">
      <c r="C2011" s="1"/>
      <c r="D2011" s="1"/>
    </row>
    <row r="2012" spans="3:4" x14ac:dyDescent="0.25">
      <c r="C2012" s="1"/>
      <c r="D2012" s="1"/>
    </row>
    <row r="2013" spans="3:4" x14ac:dyDescent="0.25">
      <c r="C2013" s="1"/>
      <c r="D2013" s="1"/>
    </row>
    <row r="2014" spans="3:4" x14ac:dyDescent="0.25">
      <c r="C2014" s="1"/>
      <c r="D2014" s="1"/>
    </row>
    <row r="2015" spans="3:4" x14ac:dyDescent="0.25">
      <c r="C2015" s="1"/>
      <c r="D2015" s="1"/>
    </row>
    <row r="2016" spans="3:4" x14ac:dyDescent="0.25">
      <c r="C2016" s="1"/>
      <c r="D2016" s="1"/>
    </row>
    <row r="2017" spans="3:4" x14ac:dyDescent="0.25">
      <c r="C2017" s="1"/>
      <c r="D2017" s="1"/>
    </row>
    <row r="2018" spans="3:4" x14ac:dyDescent="0.25">
      <c r="C2018" s="1"/>
      <c r="D2018" s="1"/>
    </row>
    <row r="2019" spans="3:4" x14ac:dyDescent="0.25">
      <c r="C2019" s="1"/>
      <c r="D2019" s="1"/>
    </row>
    <row r="2020" spans="3:4" x14ac:dyDescent="0.25">
      <c r="C2020" s="1"/>
      <c r="D2020" s="1"/>
    </row>
    <row r="2021" spans="3:4" x14ac:dyDescent="0.25">
      <c r="C2021" s="1"/>
      <c r="D2021" s="1"/>
    </row>
    <row r="2022" spans="3:4" x14ac:dyDescent="0.25">
      <c r="C2022" s="1"/>
      <c r="D2022" s="1"/>
    </row>
    <row r="2023" spans="3:4" x14ac:dyDescent="0.25">
      <c r="C2023" s="1"/>
      <c r="D2023" s="1"/>
    </row>
    <row r="2024" spans="3:4" x14ac:dyDescent="0.25">
      <c r="C2024" s="1"/>
      <c r="D2024" s="1"/>
    </row>
    <row r="2025" spans="3:4" x14ac:dyDescent="0.25">
      <c r="C2025" s="1"/>
      <c r="D2025" s="1"/>
    </row>
    <row r="2026" spans="3:4" x14ac:dyDescent="0.25">
      <c r="C2026" s="1"/>
      <c r="D2026" s="1"/>
    </row>
    <row r="2027" spans="3:4" x14ac:dyDescent="0.25">
      <c r="C2027" s="1"/>
      <c r="D2027" s="1"/>
    </row>
    <row r="2028" spans="3:4" x14ac:dyDescent="0.25">
      <c r="C2028" s="1"/>
      <c r="D2028" s="1"/>
    </row>
    <row r="2029" spans="3:4" x14ac:dyDescent="0.25">
      <c r="C2029" s="1"/>
      <c r="D2029" s="1"/>
    </row>
    <row r="2030" spans="3:4" x14ac:dyDescent="0.25">
      <c r="C2030" s="1"/>
      <c r="D2030" s="1"/>
    </row>
    <row r="2031" spans="3:4" x14ac:dyDescent="0.25">
      <c r="C2031" s="1"/>
      <c r="D2031" s="1"/>
    </row>
    <row r="2032" spans="3:4" x14ac:dyDescent="0.25">
      <c r="C2032" s="1"/>
      <c r="D2032" s="1"/>
    </row>
    <row r="2033" spans="3:4" x14ac:dyDescent="0.25">
      <c r="C2033" s="1"/>
      <c r="D2033" s="1"/>
    </row>
    <row r="2034" spans="3:4" x14ac:dyDescent="0.25">
      <c r="C2034" s="1"/>
      <c r="D2034" s="1"/>
    </row>
    <row r="2035" spans="3:4" x14ac:dyDescent="0.25">
      <c r="C2035" s="1"/>
      <c r="D2035" s="1"/>
    </row>
    <row r="2036" spans="3:4" x14ac:dyDescent="0.25">
      <c r="C2036" s="1"/>
      <c r="D2036" s="1"/>
    </row>
    <row r="2037" spans="3:4" x14ac:dyDescent="0.25">
      <c r="C2037" s="1"/>
      <c r="D2037" s="1"/>
    </row>
    <row r="2038" spans="3:4" x14ac:dyDescent="0.25">
      <c r="C2038" s="1"/>
      <c r="D2038" s="1"/>
    </row>
    <row r="2039" spans="3:4" x14ac:dyDescent="0.25">
      <c r="C2039" s="1"/>
      <c r="D2039" s="1"/>
    </row>
    <row r="2040" spans="3:4" x14ac:dyDescent="0.25">
      <c r="C2040" s="1"/>
      <c r="D2040" s="1"/>
    </row>
    <row r="2041" spans="3:4" x14ac:dyDescent="0.25">
      <c r="C2041" s="1"/>
      <c r="D2041" s="1"/>
    </row>
    <row r="2042" spans="3:4" x14ac:dyDescent="0.25">
      <c r="C2042" s="1"/>
      <c r="D2042" s="1"/>
    </row>
    <row r="2043" spans="3:4" x14ac:dyDescent="0.25">
      <c r="C2043" s="1"/>
      <c r="D2043" s="1"/>
    </row>
    <row r="2044" spans="3:4" x14ac:dyDescent="0.25">
      <c r="C2044" s="1"/>
      <c r="D2044" s="1"/>
    </row>
    <row r="2045" spans="3:4" x14ac:dyDescent="0.25">
      <c r="C2045" s="1"/>
      <c r="D2045" s="1"/>
    </row>
    <row r="2046" spans="3:4" x14ac:dyDescent="0.25">
      <c r="C2046" s="1"/>
      <c r="D2046" s="1"/>
    </row>
    <row r="2047" spans="3:4" x14ac:dyDescent="0.25">
      <c r="C2047" s="1"/>
      <c r="D2047" s="1"/>
    </row>
    <row r="2048" spans="3:4" x14ac:dyDescent="0.25">
      <c r="C2048" s="1"/>
      <c r="D2048" s="1"/>
    </row>
    <row r="2049" spans="3:4" x14ac:dyDescent="0.25">
      <c r="C2049" s="1"/>
      <c r="D2049" s="1"/>
    </row>
    <row r="2050" spans="3:4" x14ac:dyDescent="0.25">
      <c r="C2050" s="1"/>
      <c r="D2050" s="1"/>
    </row>
    <row r="2051" spans="3:4" x14ac:dyDescent="0.25">
      <c r="C2051" s="1"/>
      <c r="D2051" s="1"/>
    </row>
    <row r="2052" spans="3:4" x14ac:dyDescent="0.25">
      <c r="C2052" s="1"/>
      <c r="D2052" s="1"/>
    </row>
    <row r="2053" spans="3:4" x14ac:dyDescent="0.25">
      <c r="C2053" s="1"/>
      <c r="D2053" s="1"/>
    </row>
    <row r="2054" spans="3:4" x14ac:dyDescent="0.25">
      <c r="C2054" s="1"/>
      <c r="D2054" s="1"/>
    </row>
    <row r="2055" spans="3:4" x14ac:dyDescent="0.25">
      <c r="C2055" s="1"/>
      <c r="D2055" s="1"/>
    </row>
    <row r="2056" spans="3:4" x14ac:dyDescent="0.25">
      <c r="C2056" s="1"/>
      <c r="D2056" s="1"/>
    </row>
    <row r="2057" spans="3:4" x14ac:dyDescent="0.25">
      <c r="C2057" s="1"/>
      <c r="D2057" s="1"/>
    </row>
    <row r="2058" spans="3:4" x14ac:dyDescent="0.25">
      <c r="C2058" s="1"/>
      <c r="D2058" s="1"/>
    </row>
    <row r="2059" spans="3:4" x14ac:dyDescent="0.25">
      <c r="C2059" s="1"/>
      <c r="D2059" s="1"/>
    </row>
    <row r="2060" spans="3:4" x14ac:dyDescent="0.25">
      <c r="C2060" s="1"/>
      <c r="D2060" s="1"/>
    </row>
    <row r="2061" spans="3:4" x14ac:dyDescent="0.25">
      <c r="C2061" s="1"/>
      <c r="D2061" s="1"/>
    </row>
    <row r="2062" spans="3:4" x14ac:dyDescent="0.25">
      <c r="C2062" s="1"/>
      <c r="D2062" s="1"/>
    </row>
    <row r="2063" spans="3:4" x14ac:dyDescent="0.25">
      <c r="C2063" s="1"/>
      <c r="D2063" s="1"/>
    </row>
    <row r="2064" spans="3:4" x14ac:dyDescent="0.25">
      <c r="C2064" s="1"/>
      <c r="D2064" s="1"/>
    </row>
    <row r="2065" spans="3:4" x14ac:dyDescent="0.25">
      <c r="C2065" s="1"/>
      <c r="D2065" s="1"/>
    </row>
    <row r="2066" spans="3:4" x14ac:dyDescent="0.25">
      <c r="C2066" s="1"/>
      <c r="D2066" s="1"/>
    </row>
    <row r="2067" spans="3:4" x14ac:dyDescent="0.25">
      <c r="C2067" s="1"/>
      <c r="D2067" s="1"/>
    </row>
    <row r="2068" spans="3:4" x14ac:dyDescent="0.25">
      <c r="C2068" s="1"/>
      <c r="D2068" s="1"/>
    </row>
    <row r="2069" spans="3:4" x14ac:dyDescent="0.25">
      <c r="C2069" s="1"/>
      <c r="D2069" s="1"/>
    </row>
    <row r="2070" spans="3:4" x14ac:dyDescent="0.25">
      <c r="C2070" s="1"/>
      <c r="D2070" s="1"/>
    </row>
    <row r="2071" spans="3:4" x14ac:dyDescent="0.25">
      <c r="C2071" s="1"/>
      <c r="D2071" s="1"/>
    </row>
    <row r="2072" spans="3:4" x14ac:dyDescent="0.25">
      <c r="C2072" s="1"/>
      <c r="D2072" s="1"/>
    </row>
    <row r="2073" spans="3:4" x14ac:dyDescent="0.25">
      <c r="C2073" s="1"/>
      <c r="D2073" s="1"/>
    </row>
    <row r="2074" spans="3:4" x14ac:dyDescent="0.25">
      <c r="C2074" s="1"/>
      <c r="D2074" s="1"/>
    </row>
    <row r="2075" spans="3:4" x14ac:dyDescent="0.25">
      <c r="C2075" s="1"/>
      <c r="D2075" s="1"/>
    </row>
    <row r="2076" spans="3:4" x14ac:dyDescent="0.25">
      <c r="C2076" s="1"/>
      <c r="D2076" s="1"/>
    </row>
    <row r="2077" spans="3:4" x14ac:dyDescent="0.25">
      <c r="C2077" s="1"/>
      <c r="D2077" s="1"/>
    </row>
    <row r="2078" spans="3:4" x14ac:dyDescent="0.25">
      <c r="C2078" s="1"/>
      <c r="D2078" s="1"/>
    </row>
    <row r="2079" spans="3:4" x14ac:dyDescent="0.25">
      <c r="C2079" s="1"/>
      <c r="D2079" s="1"/>
    </row>
    <row r="2080" spans="3:4" x14ac:dyDescent="0.25">
      <c r="C2080" s="1"/>
      <c r="D2080" s="1"/>
    </row>
    <row r="2081" spans="3:4" x14ac:dyDescent="0.25">
      <c r="C2081" s="1"/>
      <c r="D2081" s="1"/>
    </row>
    <row r="2082" spans="3:4" x14ac:dyDescent="0.25">
      <c r="C2082" s="1"/>
      <c r="D2082" s="1"/>
    </row>
    <row r="2083" spans="3:4" x14ac:dyDescent="0.25">
      <c r="C2083" s="1"/>
      <c r="D2083" s="1"/>
    </row>
    <row r="2084" spans="3:4" x14ac:dyDescent="0.25">
      <c r="C2084" s="1"/>
      <c r="D2084" s="1"/>
    </row>
    <row r="2085" spans="3:4" x14ac:dyDescent="0.25">
      <c r="C2085" s="1"/>
      <c r="D2085" s="1"/>
    </row>
    <row r="2086" spans="3:4" x14ac:dyDescent="0.25">
      <c r="C2086" s="1"/>
      <c r="D2086" s="1"/>
    </row>
    <row r="2087" spans="3:4" x14ac:dyDescent="0.25">
      <c r="C2087" s="1"/>
      <c r="D2087" s="1"/>
    </row>
    <row r="2088" spans="3:4" x14ac:dyDescent="0.25">
      <c r="C2088" s="1"/>
      <c r="D2088" s="1"/>
    </row>
    <row r="2089" spans="3:4" x14ac:dyDescent="0.25">
      <c r="C2089" s="1"/>
      <c r="D2089" s="1"/>
    </row>
    <row r="2090" spans="3:4" x14ac:dyDescent="0.25">
      <c r="C2090" s="1"/>
      <c r="D2090" s="1"/>
    </row>
    <row r="2091" spans="3:4" x14ac:dyDescent="0.25">
      <c r="C2091" s="1"/>
      <c r="D2091" s="1"/>
    </row>
    <row r="2092" spans="3:4" x14ac:dyDescent="0.25">
      <c r="C2092" s="1"/>
      <c r="D2092" s="1"/>
    </row>
    <row r="2093" spans="3:4" x14ac:dyDescent="0.25">
      <c r="C2093" s="1"/>
      <c r="D2093" s="1"/>
    </row>
    <row r="2094" spans="3:4" x14ac:dyDescent="0.25">
      <c r="C2094" s="1"/>
      <c r="D2094" s="1"/>
    </row>
    <row r="2095" spans="3:4" x14ac:dyDescent="0.25">
      <c r="C2095" s="1"/>
      <c r="D2095" s="1"/>
    </row>
    <row r="2096" spans="3:4" x14ac:dyDescent="0.25">
      <c r="C2096" s="1"/>
      <c r="D2096" s="1"/>
    </row>
    <row r="2097" spans="3:4" x14ac:dyDescent="0.25">
      <c r="C2097" s="1"/>
      <c r="D2097" s="1"/>
    </row>
    <row r="2098" spans="3:4" x14ac:dyDescent="0.25">
      <c r="C2098" s="1"/>
      <c r="D2098" s="1"/>
    </row>
    <row r="2099" spans="3:4" x14ac:dyDescent="0.25">
      <c r="C2099" s="1"/>
      <c r="D2099" s="1"/>
    </row>
    <row r="2100" spans="3:4" x14ac:dyDescent="0.25">
      <c r="C2100" s="1"/>
      <c r="D2100" s="1"/>
    </row>
    <row r="2101" spans="3:4" x14ac:dyDescent="0.25">
      <c r="C2101" s="1"/>
      <c r="D2101" s="1"/>
    </row>
    <row r="2102" spans="3:4" x14ac:dyDescent="0.25">
      <c r="C2102" s="1"/>
      <c r="D2102" s="1"/>
    </row>
    <row r="2103" spans="3:4" x14ac:dyDescent="0.25">
      <c r="C2103" s="1"/>
      <c r="D2103" s="1"/>
    </row>
    <row r="2104" spans="3:4" x14ac:dyDescent="0.25">
      <c r="C2104" s="1"/>
      <c r="D2104" s="1"/>
    </row>
    <row r="2105" spans="3:4" x14ac:dyDescent="0.25">
      <c r="C2105" s="1"/>
      <c r="D2105" s="1"/>
    </row>
    <row r="2106" spans="3:4" x14ac:dyDescent="0.25">
      <c r="C2106" s="1"/>
      <c r="D2106" s="1"/>
    </row>
    <row r="2107" spans="3:4" x14ac:dyDescent="0.25">
      <c r="C2107" s="1"/>
      <c r="D2107" s="1"/>
    </row>
    <row r="2108" spans="3:4" x14ac:dyDescent="0.25">
      <c r="C2108" s="1"/>
      <c r="D2108" s="1"/>
    </row>
    <row r="2109" spans="3:4" x14ac:dyDescent="0.25">
      <c r="C2109" s="1"/>
      <c r="D2109" s="1"/>
    </row>
    <row r="2110" spans="3:4" x14ac:dyDescent="0.25">
      <c r="C2110" s="1"/>
      <c r="D2110" s="1"/>
    </row>
    <row r="2111" spans="3:4" x14ac:dyDescent="0.25">
      <c r="C2111" s="1"/>
      <c r="D2111" s="1"/>
    </row>
    <row r="2112" spans="3:4" x14ac:dyDescent="0.25">
      <c r="C2112" s="1"/>
      <c r="D2112" s="1"/>
    </row>
    <row r="2113" spans="3:4" x14ac:dyDescent="0.25">
      <c r="C2113" s="1"/>
      <c r="D2113" s="1"/>
    </row>
    <row r="2114" spans="3:4" x14ac:dyDescent="0.25">
      <c r="C2114" s="1"/>
      <c r="D2114" s="1"/>
    </row>
    <row r="2115" spans="3:4" x14ac:dyDescent="0.25">
      <c r="C2115" s="1"/>
      <c r="D2115" s="1"/>
    </row>
    <row r="2116" spans="3:4" x14ac:dyDescent="0.25">
      <c r="C2116" s="1"/>
      <c r="D2116" s="1"/>
    </row>
    <row r="2117" spans="3:4" x14ac:dyDescent="0.25">
      <c r="C2117" s="1"/>
      <c r="D2117" s="1"/>
    </row>
    <row r="2118" spans="3:4" x14ac:dyDescent="0.25">
      <c r="C2118" s="1"/>
      <c r="D2118" s="1"/>
    </row>
    <row r="2119" spans="3:4" x14ac:dyDescent="0.25">
      <c r="C2119" s="1"/>
      <c r="D2119" s="1"/>
    </row>
    <row r="2120" spans="3:4" x14ac:dyDescent="0.25">
      <c r="C2120" s="1"/>
      <c r="D2120" s="1"/>
    </row>
    <row r="2121" spans="3:4" x14ac:dyDescent="0.25">
      <c r="C2121" s="1"/>
      <c r="D2121" s="1"/>
    </row>
    <row r="2122" spans="3:4" x14ac:dyDescent="0.25">
      <c r="C2122" s="1"/>
      <c r="D2122" s="1"/>
    </row>
    <row r="2123" spans="3:4" x14ac:dyDescent="0.25">
      <c r="C2123" s="1"/>
      <c r="D2123" s="1"/>
    </row>
    <row r="2124" spans="3:4" x14ac:dyDescent="0.25">
      <c r="C2124" s="1"/>
      <c r="D2124" s="1"/>
    </row>
    <row r="2125" spans="3:4" x14ac:dyDescent="0.25">
      <c r="C2125" s="1"/>
      <c r="D2125" s="1"/>
    </row>
    <row r="2126" spans="3:4" x14ac:dyDescent="0.25">
      <c r="C2126" s="1"/>
      <c r="D2126" s="1"/>
    </row>
    <row r="2127" spans="3:4" x14ac:dyDescent="0.25">
      <c r="C2127" s="1"/>
      <c r="D2127" s="1"/>
    </row>
    <row r="2128" spans="3:4" x14ac:dyDescent="0.25">
      <c r="C2128" s="1"/>
      <c r="D2128" s="1"/>
    </row>
    <row r="2129" spans="3:4" x14ac:dyDescent="0.25">
      <c r="C2129" s="1"/>
      <c r="D2129" s="1"/>
    </row>
    <row r="2130" spans="3:4" x14ac:dyDescent="0.25">
      <c r="C2130" s="1"/>
      <c r="D2130" s="1"/>
    </row>
    <row r="2131" spans="3:4" x14ac:dyDescent="0.25">
      <c r="C2131" s="1"/>
      <c r="D2131" s="1"/>
    </row>
    <row r="2132" spans="3:4" x14ac:dyDescent="0.25">
      <c r="C2132" s="1"/>
      <c r="D2132" s="1"/>
    </row>
    <row r="2133" spans="3:4" x14ac:dyDescent="0.25">
      <c r="C2133" s="1"/>
      <c r="D2133" s="1"/>
    </row>
    <row r="2134" spans="3:4" x14ac:dyDescent="0.25">
      <c r="C2134" s="1"/>
      <c r="D2134" s="1"/>
    </row>
    <row r="2135" spans="3:4" x14ac:dyDescent="0.25">
      <c r="C2135" s="1"/>
      <c r="D2135" s="1"/>
    </row>
    <row r="2136" spans="3:4" x14ac:dyDescent="0.25">
      <c r="C2136" s="1"/>
      <c r="D2136" s="1"/>
    </row>
    <row r="2137" spans="3:4" x14ac:dyDescent="0.25">
      <c r="C2137" s="1"/>
      <c r="D2137" s="1"/>
    </row>
    <row r="2138" spans="3:4" x14ac:dyDescent="0.25">
      <c r="C2138" s="1"/>
      <c r="D2138" s="1"/>
    </row>
    <row r="2139" spans="3:4" x14ac:dyDescent="0.25">
      <c r="C2139" s="1"/>
      <c r="D2139" s="1"/>
    </row>
    <row r="2140" spans="3:4" x14ac:dyDescent="0.25">
      <c r="C2140" s="1"/>
      <c r="D2140" s="1"/>
    </row>
    <row r="2141" spans="3:4" x14ac:dyDescent="0.25">
      <c r="C2141" s="1"/>
      <c r="D2141" s="1"/>
    </row>
    <row r="2142" spans="3:4" x14ac:dyDescent="0.25">
      <c r="C2142" s="1"/>
      <c r="D2142" s="1"/>
    </row>
    <row r="2143" spans="3:4" x14ac:dyDescent="0.25">
      <c r="C2143" s="1"/>
      <c r="D2143" s="1"/>
    </row>
    <row r="2144" spans="3:4" x14ac:dyDescent="0.25">
      <c r="C2144" s="1"/>
      <c r="D2144" s="1"/>
    </row>
    <row r="2145" spans="3:4" x14ac:dyDescent="0.25">
      <c r="C2145" s="1"/>
      <c r="D2145" s="1"/>
    </row>
    <row r="2146" spans="3:4" x14ac:dyDescent="0.25">
      <c r="C2146" s="1"/>
      <c r="D2146" s="1"/>
    </row>
    <row r="2147" spans="3:4" x14ac:dyDescent="0.25">
      <c r="C2147" s="1"/>
      <c r="D2147" s="1"/>
    </row>
    <row r="2148" spans="3:4" x14ac:dyDescent="0.25">
      <c r="C2148" s="1"/>
      <c r="D2148" s="1"/>
    </row>
    <row r="2149" spans="3:4" x14ac:dyDescent="0.25">
      <c r="C2149" s="1"/>
      <c r="D2149" s="1"/>
    </row>
    <row r="2150" spans="3:4" x14ac:dyDescent="0.25">
      <c r="C2150" s="1"/>
      <c r="D2150" s="1"/>
    </row>
    <row r="2151" spans="3:4" x14ac:dyDescent="0.25">
      <c r="C2151" s="1"/>
      <c r="D2151" s="1"/>
    </row>
    <row r="2152" spans="3:4" x14ac:dyDescent="0.25">
      <c r="C2152" s="1"/>
      <c r="D2152" s="1"/>
    </row>
    <row r="2153" spans="3:4" x14ac:dyDescent="0.25">
      <c r="C2153" s="1"/>
      <c r="D2153" s="1"/>
    </row>
    <row r="2154" spans="3:4" x14ac:dyDescent="0.25">
      <c r="C2154" s="1"/>
      <c r="D2154" s="1"/>
    </row>
    <row r="2155" spans="3:4" x14ac:dyDescent="0.25">
      <c r="C2155" s="1"/>
      <c r="D2155" s="1"/>
    </row>
    <row r="2156" spans="3:4" x14ac:dyDescent="0.25">
      <c r="C2156" s="1"/>
      <c r="D2156" s="1"/>
    </row>
    <row r="2157" spans="3:4" x14ac:dyDescent="0.25">
      <c r="C2157" s="1"/>
      <c r="D2157" s="1"/>
    </row>
    <row r="2158" spans="3:4" x14ac:dyDescent="0.25">
      <c r="C2158" s="1"/>
      <c r="D2158" s="1"/>
    </row>
    <row r="2159" spans="3:4" x14ac:dyDescent="0.25">
      <c r="C2159" s="1"/>
      <c r="D2159" s="1"/>
    </row>
    <row r="2160" spans="3:4" x14ac:dyDescent="0.25">
      <c r="C2160" s="1"/>
      <c r="D2160" s="1"/>
    </row>
    <row r="2161" spans="3:4" x14ac:dyDescent="0.25">
      <c r="C2161" s="1"/>
      <c r="D2161" s="1"/>
    </row>
    <row r="2162" spans="3:4" x14ac:dyDescent="0.25">
      <c r="C2162" s="1"/>
      <c r="D2162" s="1"/>
    </row>
    <row r="2163" spans="3:4" x14ac:dyDescent="0.25">
      <c r="C2163" s="1"/>
      <c r="D2163" s="1"/>
    </row>
    <row r="2164" spans="3:4" x14ac:dyDescent="0.25">
      <c r="C2164" s="1"/>
      <c r="D2164" s="1"/>
    </row>
    <row r="2165" spans="3:4" x14ac:dyDescent="0.25">
      <c r="C2165" s="1"/>
      <c r="D2165" s="1"/>
    </row>
    <row r="2166" spans="3:4" x14ac:dyDescent="0.25">
      <c r="C2166" s="1"/>
      <c r="D2166" s="1"/>
    </row>
    <row r="2167" spans="3:4" x14ac:dyDescent="0.25">
      <c r="C2167" s="1"/>
      <c r="D2167" s="1"/>
    </row>
    <row r="2168" spans="3:4" x14ac:dyDescent="0.25">
      <c r="C2168" s="1"/>
      <c r="D2168" s="1"/>
    </row>
    <row r="2169" spans="3:4" x14ac:dyDescent="0.25">
      <c r="C2169" s="1"/>
      <c r="D2169" s="1"/>
    </row>
    <row r="2170" spans="3:4" x14ac:dyDescent="0.25">
      <c r="C2170" s="1"/>
      <c r="D2170" s="1"/>
    </row>
    <row r="2171" spans="3:4" x14ac:dyDescent="0.25">
      <c r="C2171" s="1"/>
      <c r="D2171" s="1"/>
    </row>
    <row r="2172" spans="3:4" x14ac:dyDescent="0.25">
      <c r="C2172" s="1"/>
      <c r="D2172" s="1"/>
    </row>
    <row r="2173" spans="3:4" x14ac:dyDescent="0.25">
      <c r="C2173" s="1"/>
      <c r="D2173" s="1"/>
    </row>
    <row r="2174" spans="3:4" x14ac:dyDescent="0.25">
      <c r="C2174" s="1"/>
      <c r="D2174" s="1"/>
    </row>
    <row r="2175" spans="3:4" x14ac:dyDescent="0.25">
      <c r="C2175" s="1"/>
      <c r="D2175" s="1"/>
    </row>
    <row r="2176" spans="3:4" x14ac:dyDescent="0.25">
      <c r="C2176" s="1"/>
      <c r="D2176" s="1"/>
    </row>
    <row r="2177" spans="3:4" x14ac:dyDescent="0.25">
      <c r="C2177" s="1"/>
      <c r="D2177" s="1"/>
    </row>
    <row r="2178" spans="3:4" x14ac:dyDescent="0.25">
      <c r="C2178" s="1"/>
      <c r="D2178" s="1"/>
    </row>
    <row r="2179" spans="3:4" x14ac:dyDescent="0.25">
      <c r="C2179" s="1"/>
      <c r="D2179" s="1"/>
    </row>
    <row r="2180" spans="3:4" x14ac:dyDescent="0.25">
      <c r="C2180" s="1"/>
      <c r="D2180" s="1"/>
    </row>
    <row r="2181" spans="3:4" x14ac:dyDescent="0.25">
      <c r="C2181" s="1"/>
      <c r="D2181" s="1"/>
    </row>
    <row r="2182" spans="3:4" x14ac:dyDescent="0.25">
      <c r="C2182" s="1"/>
      <c r="D2182" s="1"/>
    </row>
    <row r="2183" spans="3:4" x14ac:dyDescent="0.25">
      <c r="C2183" s="1"/>
      <c r="D2183" s="1"/>
    </row>
    <row r="2184" spans="3:4" x14ac:dyDescent="0.25">
      <c r="C2184" s="1"/>
      <c r="D2184" s="1"/>
    </row>
    <row r="2185" spans="3:4" x14ac:dyDescent="0.25">
      <c r="C2185" s="1"/>
      <c r="D2185" s="1"/>
    </row>
    <row r="2186" spans="3:4" x14ac:dyDescent="0.25">
      <c r="C2186" s="1"/>
      <c r="D2186" s="1"/>
    </row>
    <row r="2187" spans="3:4" x14ac:dyDescent="0.25">
      <c r="C2187" s="1"/>
      <c r="D2187" s="1"/>
    </row>
    <row r="2188" spans="3:4" x14ac:dyDescent="0.25">
      <c r="C2188" s="1"/>
      <c r="D2188" s="1"/>
    </row>
    <row r="2189" spans="3:4" x14ac:dyDescent="0.25">
      <c r="C2189" s="1"/>
      <c r="D2189" s="1"/>
    </row>
    <row r="2190" spans="3:4" x14ac:dyDescent="0.25">
      <c r="C2190" s="1"/>
      <c r="D2190" s="1"/>
    </row>
    <row r="2191" spans="3:4" x14ac:dyDescent="0.25">
      <c r="C2191" s="1"/>
      <c r="D2191" s="1"/>
    </row>
    <row r="2192" spans="3:4" x14ac:dyDescent="0.25">
      <c r="C2192" s="1"/>
      <c r="D2192" s="1"/>
    </row>
    <row r="2193" spans="3:4" x14ac:dyDescent="0.25">
      <c r="C2193" s="1"/>
      <c r="D2193" s="1"/>
    </row>
    <row r="2194" spans="3:4" x14ac:dyDescent="0.25">
      <c r="C2194" s="1"/>
      <c r="D2194" s="1"/>
    </row>
    <row r="2195" spans="3:4" x14ac:dyDescent="0.25">
      <c r="C2195" s="1"/>
      <c r="D2195" s="1"/>
    </row>
    <row r="2196" spans="3:4" x14ac:dyDescent="0.25">
      <c r="C2196" s="1"/>
      <c r="D2196" s="1"/>
    </row>
    <row r="2197" spans="3:4" x14ac:dyDescent="0.25">
      <c r="C2197" s="1"/>
      <c r="D2197" s="1"/>
    </row>
    <row r="2198" spans="3:4" x14ac:dyDescent="0.25">
      <c r="C2198" s="1"/>
      <c r="D2198" s="1"/>
    </row>
    <row r="2199" spans="3:4" x14ac:dyDescent="0.25">
      <c r="C2199" s="1"/>
      <c r="D2199" s="1"/>
    </row>
    <row r="2200" spans="3:4" x14ac:dyDescent="0.25">
      <c r="C2200" s="1"/>
      <c r="D2200" s="1"/>
    </row>
    <row r="2201" spans="3:4" x14ac:dyDescent="0.25">
      <c r="C2201" s="1"/>
      <c r="D2201" s="1"/>
    </row>
    <row r="2202" spans="3:4" x14ac:dyDescent="0.25">
      <c r="C2202" s="1"/>
      <c r="D2202" s="1"/>
    </row>
    <row r="2203" spans="3:4" x14ac:dyDescent="0.25">
      <c r="C2203" s="1"/>
      <c r="D2203" s="1"/>
    </row>
    <row r="2204" spans="3:4" x14ac:dyDescent="0.25">
      <c r="C2204" s="1"/>
      <c r="D2204" s="1"/>
    </row>
    <row r="2205" spans="3:4" x14ac:dyDescent="0.25">
      <c r="C2205" s="1"/>
      <c r="D2205" s="1"/>
    </row>
    <row r="2206" spans="3:4" x14ac:dyDescent="0.25">
      <c r="C2206" s="1"/>
      <c r="D2206" s="1"/>
    </row>
    <row r="2207" spans="3:4" x14ac:dyDescent="0.25">
      <c r="C2207" s="1"/>
      <c r="D2207" s="1"/>
    </row>
    <row r="2208" spans="3:4" x14ac:dyDescent="0.25">
      <c r="C2208" s="1"/>
      <c r="D2208" s="1"/>
    </row>
    <row r="2209" spans="3:4" x14ac:dyDescent="0.25">
      <c r="C2209" s="1"/>
      <c r="D2209" s="1"/>
    </row>
    <row r="2210" spans="3:4" x14ac:dyDescent="0.25">
      <c r="C2210" s="1"/>
      <c r="D2210" s="1"/>
    </row>
    <row r="2211" spans="3:4" x14ac:dyDescent="0.25">
      <c r="C2211" s="1"/>
      <c r="D2211" s="1"/>
    </row>
    <row r="2212" spans="3:4" x14ac:dyDescent="0.25">
      <c r="C2212" s="1"/>
      <c r="D2212" s="1"/>
    </row>
    <row r="2213" spans="3:4" x14ac:dyDescent="0.25">
      <c r="C2213" s="1"/>
      <c r="D2213" s="1"/>
    </row>
    <row r="2214" spans="3:4" x14ac:dyDescent="0.25">
      <c r="C2214" s="1"/>
      <c r="D2214" s="1"/>
    </row>
    <row r="2215" spans="3:4" x14ac:dyDescent="0.25">
      <c r="C2215" s="1"/>
      <c r="D2215" s="1"/>
    </row>
    <row r="2216" spans="3:4" x14ac:dyDescent="0.25">
      <c r="C2216" s="1"/>
      <c r="D2216" s="1"/>
    </row>
    <row r="2217" spans="3:4" x14ac:dyDescent="0.25">
      <c r="C2217" s="1"/>
      <c r="D2217" s="1"/>
    </row>
    <row r="2218" spans="3:4" x14ac:dyDescent="0.25">
      <c r="C2218" s="1"/>
      <c r="D2218" s="1"/>
    </row>
    <row r="2219" spans="3:4" x14ac:dyDescent="0.25">
      <c r="C2219" s="1"/>
      <c r="D2219" s="1"/>
    </row>
    <row r="2220" spans="3:4" x14ac:dyDescent="0.25">
      <c r="C2220" s="1"/>
      <c r="D2220" s="1"/>
    </row>
    <row r="2221" spans="3:4" x14ac:dyDescent="0.25">
      <c r="C2221" s="1"/>
      <c r="D2221" s="1"/>
    </row>
    <row r="2222" spans="3:4" x14ac:dyDescent="0.25">
      <c r="C2222" s="1"/>
      <c r="D2222" s="1"/>
    </row>
    <row r="2223" spans="3:4" x14ac:dyDescent="0.25">
      <c r="C2223" s="1"/>
      <c r="D2223" s="1"/>
    </row>
    <row r="2224" spans="3:4" x14ac:dyDescent="0.25">
      <c r="C2224" s="1"/>
      <c r="D2224" s="1"/>
    </row>
    <row r="2225" spans="3:4" x14ac:dyDescent="0.25">
      <c r="C2225" s="1"/>
      <c r="D2225" s="1"/>
    </row>
    <row r="2226" spans="3:4" x14ac:dyDescent="0.25">
      <c r="C2226" s="1"/>
      <c r="D2226" s="1"/>
    </row>
    <row r="2227" spans="3:4" x14ac:dyDescent="0.25">
      <c r="C2227" s="1"/>
      <c r="D2227" s="1"/>
    </row>
    <row r="2228" spans="3:4" x14ac:dyDescent="0.25">
      <c r="C2228" s="1"/>
      <c r="D2228" s="1"/>
    </row>
    <row r="2229" spans="3:4" x14ac:dyDescent="0.25">
      <c r="C2229" s="1"/>
      <c r="D2229" s="1"/>
    </row>
    <row r="2230" spans="3:4" x14ac:dyDescent="0.25">
      <c r="C2230" s="1"/>
      <c r="D2230" s="1"/>
    </row>
    <row r="2231" spans="3:4" x14ac:dyDescent="0.25">
      <c r="C2231" s="1"/>
      <c r="D2231" s="1"/>
    </row>
    <row r="2232" spans="3:4" x14ac:dyDescent="0.25">
      <c r="C2232" s="1"/>
      <c r="D2232" s="1"/>
    </row>
    <row r="2233" spans="3:4" x14ac:dyDescent="0.25">
      <c r="C2233" s="1"/>
      <c r="D2233" s="1"/>
    </row>
    <row r="2234" spans="3:4" x14ac:dyDescent="0.25">
      <c r="C2234" s="1"/>
      <c r="D2234" s="1"/>
    </row>
    <row r="2235" spans="3:4" x14ac:dyDescent="0.25">
      <c r="C2235" s="1"/>
      <c r="D2235" s="1"/>
    </row>
    <row r="2236" spans="3:4" x14ac:dyDescent="0.25">
      <c r="C2236" s="1"/>
      <c r="D2236" s="1"/>
    </row>
    <row r="2237" spans="3:4" x14ac:dyDescent="0.25">
      <c r="C2237" s="1"/>
      <c r="D2237" s="1"/>
    </row>
    <row r="2238" spans="3:4" x14ac:dyDescent="0.25">
      <c r="C2238" s="1"/>
      <c r="D2238" s="1"/>
    </row>
    <row r="2239" spans="3:4" x14ac:dyDescent="0.25">
      <c r="C2239" s="1"/>
      <c r="D2239" s="1"/>
    </row>
    <row r="2240" spans="3:4" x14ac:dyDescent="0.25">
      <c r="C2240" s="1"/>
      <c r="D2240" s="1"/>
    </row>
    <row r="2241" spans="3:4" x14ac:dyDescent="0.25">
      <c r="C2241" s="1"/>
      <c r="D2241" s="1"/>
    </row>
    <row r="2242" spans="3:4" x14ac:dyDescent="0.25">
      <c r="C2242" s="1"/>
      <c r="D2242" s="1"/>
    </row>
    <row r="2243" spans="3:4" x14ac:dyDescent="0.25">
      <c r="C2243" s="1"/>
      <c r="D2243" s="1"/>
    </row>
    <row r="2244" spans="3:4" x14ac:dyDescent="0.25">
      <c r="C2244" s="1"/>
      <c r="D2244" s="1"/>
    </row>
    <row r="2245" spans="3:4" x14ac:dyDescent="0.25">
      <c r="C2245" s="1"/>
      <c r="D2245" s="1"/>
    </row>
    <row r="2246" spans="3:4" x14ac:dyDescent="0.25">
      <c r="C2246" s="1"/>
      <c r="D2246" s="1"/>
    </row>
    <row r="2247" spans="3:4" x14ac:dyDescent="0.25">
      <c r="C2247" s="1"/>
      <c r="D2247" s="1"/>
    </row>
    <row r="2248" spans="3:4" x14ac:dyDescent="0.25">
      <c r="C2248" s="1"/>
      <c r="D2248" s="1"/>
    </row>
    <row r="2249" spans="3:4" x14ac:dyDescent="0.25">
      <c r="C2249" s="1"/>
      <c r="D2249" s="1"/>
    </row>
    <row r="2250" spans="3:4" x14ac:dyDescent="0.25">
      <c r="C2250" s="1"/>
      <c r="D2250" s="1"/>
    </row>
    <row r="2251" spans="3:4" x14ac:dyDescent="0.25">
      <c r="C2251" s="1"/>
      <c r="D2251" s="1"/>
    </row>
    <row r="2252" spans="3:4" x14ac:dyDescent="0.25">
      <c r="C2252" s="1"/>
      <c r="D2252" s="1"/>
    </row>
    <row r="2253" spans="3:4" x14ac:dyDescent="0.25">
      <c r="C2253" s="1"/>
      <c r="D2253" s="1"/>
    </row>
    <row r="2254" spans="3:4" x14ac:dyDescent="0.25">
      <c r="C2254" s="1"/>
      <c r="D2254" s="1"/>
    </row>
    <row r="2255" spans="3:4" x14ac:dyDescent="0.25">
      <c r="C2255" s="1"/>
      <c r="D2255" s="1"/>
    </row>
    <row r="2256" spans="3:4" x14ac:dyDescent="0.25">
      <c r="C2256" s="1"/>
      <c r="D2256" s="1"/>
    </row>
    <row r="2257" spans="3:4" x14ac:dyDescent="0.25">
      <c r="C2257" s="1"/>
      <c r="D2257" s="1"/>
    </row>
    <row r="2258" spans="3:4" x14ac:dyDescent="0.25">
      <c r="C2258" s="1"/>
      <c r="D2258" s="1"/>
    </row>
    <row r="2259" spans="3:4" x14ac:dyDescent="0.25">
      <c r="C2259" s="1"/>
      <c r="D2259" s="1"/>
    </row>
    <row r="2260" spans="3:4" x14ac:dyDescent="0.25">
      <c r="C2260" s="1"/>
      <c r="D2260" s="1"/>
    </row>
    <row r="2261" spans="3:4" x14ac:dyDescent="0.25">
      <c r="C2261" s="1"/>
      <c r="D2261" s="1"/>
    </row>
    <row r="2262" spans="3:4" x14ac:dyDescent="0.25">
      <c r="C2262" s="1"/>
      <c r="D2262" s="1"/>
    </row>
    <row r="2263" spans="3:4" x14ac:dyDescent="0.25">
      <c r="C2263" s="1"/>
      <c r="D2263" s="1"/>
    </row>
    <row r="2264" spans="3:4" x14ac:dyDescent="0.25">
      <c r="C2264" s="1"/>
      <c r="D2264" s="1"/>
    </row>
    <row r="2265" spans="3:4" x14ac:dyDescent="0.25">
      <c r="C2265" s="1"/>
      <c r="D2265" s="1"/>
    </row>
    <row r="2266" spans="3:4" x14ac:dyDescent="0.25">
      <c r="C2266" s="1"/>
      <c r="D2266" s="1"/>
    </row>
    <row r="2267" spans="3:4" x14ac:dyDescent="0.25">
      <c r="C2267" s="1"/>
      <c r="D2267" s="1"/>
    </row>
    <row r="2268" spans="3:4" x14ac:dyDescent="0.25">
      <c r="C2268" s="1"/>
      <c r="D2268" s="1"/>
    </row>
    <row r="2269" spans="3:4" x14ac:dyDescent="0.25">
      <c r="C2269" s="1"/>
      <c r="D2269" s="1"/>
    </row>
    <row r="2270" spans="3:4" x14ac:dyDescent="0.25">
      <c r="C2270" s="1"/>
      <c r="D2270" s="1"/>
    </row>
    <row r="2271" spans="3:4" x14ac:dyDescent="0.25">
      <c r="C2271" s="1"/>
      <c r="D2271" s="1"/>
    </row>
    <row r="2272" spans="3:4" x14ac:dyDescent="0.25">
      <c r="C2272" s="1"/>
      <c r="D2272" s="1"/>
    </row>
    <row r="2273" spans="3:4" x14ac:dyDescent="0.25">
      <c r="C2273" s="1"/>
      <c r="D2273" s="1"/>
    </row>
    <row r="2274" spans="3:4" x14ac:dyDescent="0.25">
      <c r="C2274" s="1"/>
      <c r="D2274" s="1"/>
    </row>
    <row r="2275" spans="3:4" x14ac:dyDescent="0.25">
      <c r="C2275" s="1"/>
      <c r="D2275" s="1"/>
    </row>
    <row r="2276" spans="3:4" x14ac:dyDescent="0.25">
      <c r="C2276" s="1"/>
      <c r="D2276" s="1"/>
    </row>
    <row r="2277" spans="3:4" x14ac:dyDescent="0.25">
      <c r="C2277" s="1"/>
      <c r="D2277" s="1"/>
    </row>
    <row r="2278" spans="3:4" x14ac:dyDescent="0.25">
      <c r="C2278" s="1"/>
      <c r="D2278" s="1"/>
    </row>
    <row r="2279" spans="3:4" x14ac:dyDescent="0.25">
      <c r="C2279" s="1"/>
      <c r="D2279" s="1"/>
    </row>
    <row r="2280" spans="3:4" x14ac:dyDescent="0.25">
      <c r="C2280" s="1"/>
      <c r="D2280" s="1"/>
    </row>
    <row r="2281" spans="3:4" x14ac:dyDescent="0.25">
      <c r="C2281" s="1"/>
      <c r="D2281" s="1"/>
    </row>
    <row r="2282" spans="3:4" x14ac:dyDescent="0.25">
      <c r="C2282" s="1"/>
      <c r="D2282" s="1"/>
    </row>
    <row r="2283" spans="3:4" x14ac:dyDescent="0.25">
      <c r="C2283" s="1"/>
      <c r="D2283" s="1"/>
    </row>
    <row r="2284" spans="3:4" x14ac:dyDescent="0.25">
      <c r="C2284" s="1"/>
      <c r="D2284" s="1"/>
    </row>
    <row r="2285" spans="3:4" x14ac:dyDescent="0.25">
      <c r="C2285" s="1"/>
      <c r="D2285" s="1"/>
    </row>
    <row r="2286" spans="3:4" x14ac:dyDescent="0.25">
      <c r="C2286" s="1"/>
      <c r="D2286" s="1"/>
    </row>
    <row r="2287" spans="3:4" x14ac:dyDescent="0.25">
      <c r="C2287" s="1"/>
      <c r="D2287" s="1"/>
    </row>
    <row r="2288" spans="3:4" x14ac:dyDescent="0.25">
      <c r="C2288" s="1"/>
      <c r="D2288" s="1"/>
    </row>
    <row r="2289" spans="3:4" x14ac:dyDescent="0.25">
      <c r="C2289" s="1"/>
      <c r="D2289" s="1"/>
    </row>
    <row r="2290" spans="3:4" x14ac:dyDescent="0.25">
      <c r="C2290" s="1"/>
      <c r="D2290" s="1"/>
    </row>
    <row r="2291" spans="3:4" x14ac:dyDescent="0.25">
      <c r="C2291" s="1"/>
      <c r="D2291" s="1"/>
    </row>
    <row r="2292" spans="3:4" x14ac:dyDescent="0.25">
      <c r="C2292" s="1"/>
      <c r="D2292" s="1"/>
    </row>
    <row r="2293" spans="3:4" x14ac:dyDescent="0.25">
      <c r="C2293" s="1"/>
      <c r="D2293" s="1"/>
    </row>
    <row r="2294" spans="3:4" x14ac:dyDescent="0.25">
      <c r="C2294" s="1"/>
      <c r="D2294" s="1"/>
    </row>
    <row r="2295" spans="3:4" x14ac:dyDescent="0.25">
      <c r="C2295" s="1"/>
      <c r="D2295" s="1"/>
    </row>
    <row r="2296" spans="3:4" x14ac:dyDescent="0.25">
      <c r="C2296" s="1"/>
      <c r="D2296" s="1"/>
    </row>
    <row r="2297" spans="3:4" x14ac:dyDescent="0.25">
      <c r="C2297" s="1"/>
      <c r="D2297" s="1"/>
    </row>
    <row r="2298" spans="3:4" x14ac:dyDescent="0.25">
      <c r="C2298" s="1"/>
      <c r="D2298" s="1"/>
    </row>
    <row r="2299" spans="3:4" x14ac:dyDescent="0.25">
      <c r="C2299" s="1"/>
      <c r="D2299" s="1"/>
    </row>
    <row r="2300" spans="3:4" x14ac:dyDescent="0.25">
      <c r="C2300" s="1"/>
      <c r="D2300" s="1"/>
    </row>
    <row r="2301" spans="3:4" x14ac:dyDescent="0.25">
      <c r="C2301" s="1"/>
      <c r="D2301" s="1"/>
    </row>
    <row r="2302" spans="3:4" x14ac:dyDescent="0.25">
      <c r="C2302" s="1"/>
      <c r="D2302" s="1"/>
    </row>
    <row r="2303" spans="3:4" x14ac:dyDescent="0.25">
      <c r="C2303" s="1"/>
      <c r="D2303" s="1"/>
    </row>
    <row r="2304" spans="3:4" x14ac:dyDescent="0.25">
      <c r="C2304" s="1"/>
      <c r="D2304" s="1"/>
    </row>
    <row r="2305" spans="3:4" x14ac:dyDescent="0.25">
      <c r="C2305" s="1"/>
      <c r="D2305" s="1"/>
    </row>
    <row r="2306" spans="3:4" x14ac:dyDescent="0.25">
      <c r="C2306" s="1"/>
      <c r="D2306" s="1"/>
    </row>
    <row r="2307" spans="3:4" x14ac:dyDescent="0.25">
      <c r="C2307" s="1"/>
      <c r="D2307" s="1"/>
    </row>
    <row r="2308" spans="3:4" x14ac:dyDescent="0.25">
      <c r="C2308" s="1"/>
      <c r="D2308" s="1"/>
    </row>
    <row r="2309" spans="3:4" x14ac:dyDescent="0.25">
      <c r="C2309" s="1"/>
      <c r="D2309" s="1"/>
    </row>
    <row r="2310" spans="3:4" x14ac:dyDescent="0.25">
      <c r="C2310" s="1"/>
      <c r="D2310" s="1"/>
    </row>
    <row r="2311" spans="3:4" x14ac:dyDescent="0.25">
      <c r="C2311" s="1"/>
      <c r="D2311" s="1"/>
    </row>
    <row r="2312" spans="3:4" x14ac:dyDescent="0.25">
      <c r="C2312" s="1"/>
      <c r="D2312" s="1"/>
    </row>
    <row r="2313" spans="3:4" x14ac:dyDescent="0.25">
      <c r="C2313" s="1"/>
      <c r="D2313" s="1"/>
    </row>
    <row r="2314" spans="3:4" x14ac:dyDescent="0.25">
      <c r="C2314" s="1"/>
      <c r="D2314" s="1"/>
    </row>
    <row r="2315" spans="3:4" x14ac:dyDescent="0.25">
      <c r="C2315" s="1"/>
      <c r="D2315" s="1"/>
    </row>
    <row r="2316" spans="3:4" x14ac:dyDescent="0.25">
      <c r="C2316" s="1"/>
      <c r="D2316" s="1"/>
    </row>
    <row r="2317" spans="3:4" x14ac:dyDescent="0.25">
      <c r="C2317" s="1"/>
      <c r="D2317" s="1"/>
    </row>
    <row r="2318" spans="3:4" x14ac:dyDescent="0.25">
      <c r="C2318" s="1"/>
      <c r="D2318" s="1"/>
    </row>
    <row r="2319" spans="3:4" x14ac:dyDescent="0.25">
      <c r="C2319" s="1"/>
      <c r="D2319" s="1"/>
    </row>
    <row r="2320" spans="3:4" x14ac:dyDescent="0.25">
      <c r="C2320" s="1"/>
      <c r="D2320" s="1"/>
    </row>
    <row r="2321" spans="3:4" x14ac:dyDescent="0.25">
      <c r="C2321" s="1"/>
      <c r="D2321" s="1"/>
    </row>
    <row r="2322" spans="3:4" x14ac:dyDescent="0.25">
      <c r="C2322" s="1"/>
      <c r="D2322" s="1"/>
    </row>
    <row r="2323" spans="3:4" x14ac:dyDescent="0.25">
      <c r="C2323" s="1"/>
      <c r="D2323" s="1"/>
    </row>
    <row r="2324" spans="3:4" x14ac:dyDescent="0.25">
      <c r="C2324" s="1"/>
      <c r="D2324" s="1"/>
    </row>
    <row r="2325" spans="3:4" x14ac:dyDescent="0.25">
      <c r="C2325" s="1"/>
      <c r="D2325" s="1"/>
    </row>
    <row r="2326" spans="3:4" x14ac:dyDescent="0.25">
      <c r="C2326" s="1"/>
      <c r="D2326" s="1"/>
    </row>
    <row r="2327" spans="3:4" x14ac:dyDescent="0.25">
      <c r="C2327" s="1"/>
      <c r="D2327" s="1"/>
    </row>
    <row r="2328" spans="3:4" x14ac:dyDescent="0.25">
      <c r="C2328" s="1"/>
      <c r="D2328" s="1"/>
    </row>
    <row r="2329" spans="3:4" x14ac:dyDescent="0.25">
      <c r="C2329" s="1"/>
      <c r="D2329" s="1"/>
    </row>
    <row r="2330" spans="3:4" x14ac:dyDescent="0.25">
      <c r="C2330" s="1"/>
      <c r="D2330" s="1"/>
    </row>
    <row r="2331" spans="3:4" x14ac:dyDescent="0.25">
      <c r="C2331" s="1"/>
      <c r="D2331" s="1"/>
    </row>
    <row r="2332" spans="3:4" x14ac:dyDescent="0.25">
      <c r="C2332" s="1"/>
      <c r="D2332" s="1"/>
    </row>
    <row r="2333" spans="3:4" x14ac:dyDescent="0.25">
      <c r="C2333" s="1"/>
      <c r="D2333" s="1"/>
    </row>
    <row r="2334" spans="3:4" x14ac:dyDescent="0.25">
      <c r="C2334" s="1"/>
      <c r="D2334" s="1"/>
    </row>
    <row r="2335" spans="3:4" x14ac:dyDescent="0.25">
      <c r="C2335" s="1"/>
      <c r="D2335" s="1"/>
    </row>
    <row r="2336" spans="3:4" x14ac:dyDescent="0.25">
      <c r="C2336" s="1"/>
      <c r="D2336" s="1"/>
    </row>
    <row r="2337" spans="3:4" x14ac:dyDescent="0.25">
      <c r="C2337" s="1"/>
      <c r="D2337" s="1"/>
    </row>
    <row r="2338" spans="3:4" x14ac:dyDescent="0.25">
      <c r="C2338" s="1"/>
      <c r="D2338" s="1"/>
    </row>
    <row r="2339" spans="3:4" x14ac:dyDescent="0.25">
      <c r="C2339" s="1"/>
      <c r="D2339" s="1"/>
    </row>
    <row r="2340" spans="3:4" x14ac:dyDescent="0.25">
      <c r="C2340" s="1"/>
      <c r="D2340" s="1"/>
    </row>
    <row r="2341" spans="3:4" x14ac:dyDescent="0.25">
      <c r="C2341" s="1"/>
      <c r="D2341" s="1"/>
    </row>
    <row r="2342" spans="3:4" x14ac:dyDescent="0.25">
      <c r="C2342" s="1"/>
      <c r="D2342" s="1"/>
    </row>
    <row r="2343" spans="3:4" x14ac:dyDescent="0.25">
      <c r="C2343" s="1"/>
      <c r="D2343" s="1"/>
    </row>
    <row r="2344" spans="3:4" x14ac:dyDescent="0.25">
      <c r="C2344" s="1"/>
      <c r="D2344" s="1"/>
    </row>
    <row r="2345" spans="3:4" x14ac:dyDescent="0.25">
      <c r="C2345" s="1"/>
      <c r="D2345" s="1"/>
    </row>
    <row r="2346" spans="3:4" x14ac:dyDescent="0.25">
      <c r="C2346" s="1"/>
      <c r="D2346" s="1"/>
    </row>
    <row r="2347" spans="3:4" x14ac:dyDescent="0.25">
      <c r="C2347" s="1"/>
      <c r="D2347" s="1"/>
    </row>
    <row r="2348" spans="3:4" x14ac:dyDescent="0.25">
      <c r="C2348" s="1"/>
      <c r="D2348" s="1"/>
    </row>
    <row r="2349" spans="3:4" x14ac:dyDescent="0.25">
      <c r="C2349" s="1"/>
      <c r="D2349" s="1"/>
    </row>
    <row r="2350" spans="3:4" x14ac:dyDescent="0.25">
      <c r="C2350" s="1"/>
      <c r="D2350" s="1"/>
    </row>
    <row r="2351" spans="3:4" x14ac:dyDescent="0.25">
      <c r="C2351" s="1"/>
      <c r="D2351" s="1"/>
    </row>
    <row r="2352" spans="3:4" x14ac:dyDescent="0.25">
      <c r="C2352" s="1"/>
      <c r="D2352" s="1"/>
    </row>
    <row r="2353" spans="3:4" x14ac:dyDescent="0.25">
      <c r="C2353" s="1"/>
      <c r="D2353" s="1"/>
    </row>
    <row r="2354" spans="3:4" x14ac:dyDescent="0.25">
      <c r="C2354" s="1"/>
      <c r="D2354" s="1"/>
    </row>
    <row r="2355" spans="3:4" x14ac:dyDescent="0.25">
      <c r="C2355" s="1"/>
      <c r="D2355" s="1"/>
    </row>
    <row r="2356" spans="3:4" x14ac:dyDescent="0.25">
      <c r="C2356" s="1"/>
      <c r="D2356" s="1"/>
    </row>
    <row r="2357" spans="3:4" x14ac:dyDescent="0.25">
      <c r="C2357" s="1"/>
      <c r="D2357" s="1"/>
    </row>
    <row r="2358" spans="3:4" x14ac:dyDescent="0.25">
      <c r="C2358" s="1"/>
      <c r="D2358" s="1"/>
    </row>
    <row r="2359" spans="3:4" x14ac:dyDescent="0.25">
      <c r="C2359" s="1"/>
      <c r="D2359" s="1"/>
    </row>
    <row r="2360" spans="3:4" x14ac:dyDescent="0.25">
      <c r="C2360" s="1"/>
      <c r="D2360" s="1"/>
    </row>
    <row r="2361" spans="3:4" x14ac:dyDescent="0.25">
      <c r="C2361" s="1"/>
      <c r="D2361" s="1"/>
    </row>
    <row r="2362" spans="3:4" x14ac:dyDescent="0.25">
      <c r="C2362" s="1"/>
      <c r="D2362" s="1"/>
    </row>
    <row r="2363" spans="3:4" x14ac:dyDescent="0.25">
      <c r="C2363" s="1"/>
      <c r="D2363" s="1"/>
    </row>
    <row r="2364" spans="3:4" x14ac:dyDescent="0.25">
      <c r="C2364" s="1"/>
      <c r="D2364" s="1"/>
    </row>
    <row r="2365" spans="3:4" x14ac:dyDescent="0.25">
      <c r="C2365" s="1"/>
      <c r="D2365" s="1"/>
    </row>
    <row r="2366" spans="3:4" x14ac:dyDescent="0.25">
      <c r="C2366" s="1"/>
      <c r="D2366" s="1"/>
    </row>
    <row r="2367" spans="3:4" x14ac:dyDescent="0.25">
      <c r="C2367" s="1"/>
      <c r="D2367" s="1"/>
    </row>
    <row r="2368" spans="3:4" x14ac:dyDescent="0.25">
      <c r="C2368" s="1"/>
      <c r="D2368" s="1"/>
    </row>
    <row r="2369" spans="3:4" x14ac:dyDescent="0.25">
      <c r="C2369" s="1"/>
      <c r="D2369" s="1"/>
    </row>
    <row r="2370" spans="3:4" x14ac:dyDescent="0.25">
      <c r="C2370" s="1"/>
      <c r="D2370" s="1"/>
    </row>
    <row r="2371" spans="3:4" x14ac:dyDescent="0.25">
      <c r="C2371" s="1"/>
      <c r="D2371" s="1"/>
    </row>
    <row r="2372" spans="3:4" x14ac:dyDescent="0.25">
      <c r="C2372" s="1"/>
      <c r="D2372" s="1"/>
    </row>
    <row r="2373" spans="3:4" x14ac:dyDescent="0.25">
      <c r="C2373" s="1"/>
      <c r="D2373" s="1"/>
    </row>
    <row r="2374" spans="3:4" x14ac:dyDescent="0.25">
      <c r="C2374" s="1"/>
      <c r="D2374" s="1"/>
    </row>
    <row r="2375" spans="3:4" x14ac:dyDescent="0.25">
      <c r="C2375" s="1"/>
      <c r="D2375" s="1"/>
    </row>
    <row r="2376" spans="3:4" x14ac:dyDescent="0.25">
      <c r="C2376" s="1"/>
      <c r="D2376" s="1"/>
    </row>
    <row r="2377" spans="3:4" x14ac:dyDescent="0.25">
      <c r="C2377" s="1"/>
      <c r="D2377" s="1"/>
    </row>
    <row r="2378" spans="3:4" x14ac:dyDescent="0.25">
      <c r="C2378" s="1"/>
      <c r="D2378" s="1"/>
    </row>
    <row r="2379" spans="3:4" x14ac:dyDescent="0.25">
      <c r="C2379" s="1"/>
      <c r="D2379" s="1"/>
    </row>
    <row r="2380" spans="3:4" x14ac:dyDescent="0.25">
      <c r="C2380" s="1"/>
      <c r="D2380" s="1"/>
    </row>
    <row r="2381" spans="3:4" x14ac:dyDescent="0.25">
      <c r="C2381" s="1"/>
      <c r="D2381" s="1"/>
    </row>
    <row r="2382" spans="3:4" x14ac:dyDescent="0.25">
      <c r="C2382" s="1"/>
      <c r="D2382" s="1"/>
    </row>
    <row r="2383" spans="3:4" x14ac:dyDescent="0.25">
      <c r="C2383" s="1"/>
      <c r="D2383" s="1"/>
    </row>
    <row r="2384" spans="3:4" x14ac:dyDescent="0.25">
      <c r="C2384" s="1"/>
      <c r="D2384" s="1"/>
    </row>
    <row r="2385" spans="3:4" x14ac:dyDescent="0.25">
      <c r="C2385" s="1"/>
      <c r="D2385" s="1"/>
    </row>
    <row r="2386" spans="3:4" x14ac:dyDescent="0.25">
      <c r="C2386" s="1"/>
      <c r="D2386" s="1"/>
    </row>
    <row r="2387" spans="3:4" x14ac:dyDescent="0.25">
      <c r="C2387" s="1"/>
      <c r="D2387" s="1"/>
    </row>
    <row r="2388" spans="3:4" x14ac:dyDescent="0.25">
      <c r="C2388" s="1"/>
      <c r="D2388" s="1"/>
    </row>
    <row r="2389" spans="3:4" x14ac:dyDescent="0.25">
      <c r="C2389" s="1"/>
      <c r="D2389" s="1"/>
    </row>
    <row r="2390" spans="3:4" x14ac:dyDescent="0.25">
      <c r="C2390" s="1"/>
      <c r="D2390" s="1"/>
    </row>
    <row r="2391" spans="3:4" x14ac:dyDescent="0.25">
      <c r="C2391" s="1"/>
      <c r="D2391" s="1"/>
    </row>
    <row r="2392" spans="3:4" x14ac:dyDescent="0.25">
      <c r="C2392" s="1"/>
      <c r="D2392" s="1"/>
    </row>
    <row r="2393" spans="3:4" x14ac:dyDescent="0.25">
      <c r="C2393" s="1"/>
      <c r="D2393" s="1"/>
    </row>
    <row r="2394" spans="3:4" x14ac:dyDescent="0.25">
      <c r="C2394" s="1"/>
      <c r="D2394" s="1"/>
    </row>
    <row r="2395" spans="3:4" x14ac:dyDescent="0.25">
      <c r="C2395" s="1"/>
      <c r="D2395" s="1"/>
    </row>
    <row r="2396" spans="3:4" x14ac:dyDescent="0.25">
      <c r="C2396" s="1"/>
      <c r="D2396" s="1"/>
    </row>
    <row r="2397" spans="3:4" x14ac:dyDescent="0.25">
      <c r="C2397" s="1"/>
      <c r="D2397" s="1"/>
    </row>
    <row r="2398" spans="3:4" x14ac:dyDescent="0.25">
      <c r="C2398" s="1"/>
      <c r="D2398" s="1"/>
    </row>
    <row r="2399" spans="3:4" x14ac:dyDescent="0.25">
      <c r="C2399" s="1"/>
      <c r="D2399" s="1"/>
    </row>
    <row r="2400" spans="3:4" x14ac:dyDescent="0.25">
      <c r="C2400" s="1"/>
      <c r="D2400" s="1"/>
    </row>
    <row r="2401" spans="3:4" x14ac:dyDescent="0.25">
      <c r="C2401" s="1"/>
      <c r="D2401" s="1"/>
    </row>
    <row r="2402" spans="3:4" x14ac:dyDescent="0.25">
      <c r="C2402" s="1"/>
      <c r="D2402" s="1"/>
    </row>
    <row r="2403" spans="3:4" x14ac:dyDescent="0.25">
      <c r="C2403" s="1"/>
      <c r="D2403" s="1"/>
    </row>
    <row r="2404" spans="3:4" x14ac:dyDescent="0.25">
      <c r="C2404" s="1"/>
      <c r="D2404" s="1"/>
    </row>
    <row r="2405" spans="3:4" x14ac:dyDescent="0.25">
      <c r="C2405" s="1"/>
      <c r="D2405" s="1"/>
    </row>
    <row r="2406" spans="3:4" x14ac:dyDescent="0.25">
      <c r="C2406" s="1"/>
      <c r="D2406" s="1"/>
    </row>
    <row r="2407" spans="3:4" x14ac:dyDescent="0.25">
      <c r="C2407" s="1"/>
      <c r="D2407" s="1"/>
    </row>
    <row r="2408" spans="3:4" x14ac:dyDescent="0.25">
      <c r="C2408" s="1"/>
      <c r="D2408" s="1"/>
    </row>
    <row r="2409" spans="3:4" x14ac:dyDescent="0.25">
      <c r="C2409" s="1"/>
      <c r="D2409" s="1"/>
    </row>
    <row r="2410" spans="3:4" x14ac:dyDescent="0.25">
      <c r="C2410" s="1"/>
      <c r="D2410" s="1"/>
    </row>
    <row r="2411" spans="3:4" x14ac:dyDescent="0.25">
      <c r="C2411" s="1"/>
      <c r="D2411" s="1"/>
    </row>
    <row r="2412" spans="3:4" x14ac:dyDescent="0.25">
      <c r="C2412" s="1"/>
      <c r="D2412" s="1"/>
    </row>
    <row r="2413" spans="3:4" x14ac:dyDescent="0.25">
      <c r="C2413" s="1"/>
      <c r="D2413" s="1"/>
    </row>
    <row r="2414" spans="3:4" x14ac:dyDescent="0.25">
      <c r="C2414" s="1"/>
      <c r="D2414" s="1"/>
    </row>
    <row r="2415" spans="3:4" x14ac:dyDescent="0.25">
      <c r="C2415" s="1"/>
      <c r="D2415" s="1"/>
    </row>
    <row r="2416" spans="3:4" x14ac:dyDescent="0.25">
      <c r="C2416" s="1"/>
      <c r="D2416" s="1"/>
    </row>
    <row r="2417" spans="3:4" x14ac:dyDescent="0.25">
      <c r="C2417" s="1"/>
      <c r="D2417" s="1"/>
    </row>
    <row r="2418" spans="3:4" x14ac:dyDescent="0.25">
      <c r="C2418" s="1"/>
      <c r="D2418" s="1"/>
    </row>
    <row r="2419" spans="3:4" x14ac:dyDescent="0.25">
      <c r="C2419" s="1"/>
      <c r="D2419" s="1"/>
    </row>
    <row r="2420" spans="3:4" x14ac:dyDescent="0.25">
      <c r="C2420" s="1"/>
      <c r="D2420" s="1"/>
    </row>
    <row r="2421" spans="3:4" x14ac:dyDescent="0.25">
      <c r="C2421" s="1"/>
      <c r="D2421" s="1"/>
    </row>
    <row r="2422" spans="3:4" x14ac:dyDescent="0.25">
      <c r="C2422" s="1"/>
      <c r="D2422" s="1"/>
    </row>
    <row r="2423" spans="3:4" x14ac:dyDescent="0.25">
      <c r="C2423" s="1"/>
      <c r="D2423" s="1"/>
    </row>
    <row r="2424" spans="3:4" x14ac:dyDescent="0.25">
      <c r="C2424" s="1"/>
      <c r="D2424" s="1"/>
    </row>
    <row r="2425" spans="3:4" x14ac:dyDescent="0.25">
      <c r="C2425" s="1"/>
      <c r="D2425" s="1"/>
    </row>
    <row r="2426" spans="3:4" x14ac:dyDescent="0.25">
      <c r="C2426" s="1"/>
      <c r="D2426" s="1"/>
    </row>
    <row r="2427" spans="3:4" x14ac:dyDescent="0.25">
      <c r="C2427" s="1"/>
      <c r="D2427" s="1"/>
    </row>
    <row r="2428" spans="3:4" x14ac:dyDescent="0.25">
      <c r="C2428" s="1"/>
      <c r="D2428" s="1"/>
    </row>
    <row r="2429" spans="3:4" x14ac:dyDescent="0.25">
      <c r="C2429" s="1"/>
      <c r="D2429" s="1"/>
    </row>
    <row r="2430" spans="3:4" x14ac:dyDescent="0.25">
      <c r="C2430" s="1"/>
      <c r="D2430" s="1"/>
    </row>
    <row r="2431" spans="3:4" x14ac:dyDescent="0.25">
      <c r="C2431" s="1"/>
      <c r="D2431" s="1"/>
    </row>
    <row r="2432" spans="3:4" x14ac:dyDescent="0.25">
      <c r="C2432" s="1"/>
      <c r="D2432" s="1"/>
    </row>
    <row r="2433" spans="3:4" x14ac:dyDescent="0.25">
      <c r="C2433" s="1"/>
      <c r="D2433" s="1"/>
    </row>
    <row r="2434" spans="3:4" x14ac:dyDescent="0.25">
      <c r="C2434" s="1"/>
      <c r="D2434" s="1"/>
    </row>
    <row r="2435" spans="3:4" x14ac:dyDescent="0.25">
      <c r="C2435" s="1"/>
      <c r="D2435" s="1"/>
    </row>
    <row r="2436" spans="3:4" x14ac:dyDescent="0.25">
      <c r="C2436" s="1"/>
      <c r="D2436" s="1"/>
    </row>
    <row r="2437" spans="3:4" x14ac:dyDescent="0.25">
      <c r="C2437" s="1"/>
      <c r="D2437" s="1"/>
    </row>
    <row r="2438" spans="3:4" x14ac:dyDescent="0.25">
      <c r="C2438" s="1"/>
      <c r="D2438" s="1"/>
    </row>
    <row r="2439" spans="3:4" x14ac:dyDescent="0.25">
      <c r="C2439" s="1"/>
      <c r="D2439" s="1"/>
    </row>
    <row r="2440" spans="3:4" x14ac:dyDescent="0.25">
      <c r="C2440" s="1"/>
      <c r="D2440" s="1"/>
    </row>
    <row r="2441" spans="3:4" x14ac:dyDescent="0.25">
      <c r="C2441" s="1"/>
      <c r="D2441" s="1"/>
    </row>
    <row r="2442" spans="3:4" x14ac:dyDescent="0.25">
      <c r="C2442" s="1"/>
      <c r="D2442" s="1"/>
    </row>
    <row r="2443" spans="3:4" x14ac:dyDescent="0.25">
      <c r="C2443" s="1"/>
      <c r="D2443" s="1"/>
    </row>
    <row r="2444" spans="3:4" x14ac:dyDescent="0.25">
      <c r="C2444" s="1"/>
      <c r="D2444" s="1"/>
    </row>
    <row r="2445" spans="3:4" x14ac:dyDescent="0.25">
      <c r="C2445" s="1"/>
      <c r="D2445" s="1"/>
    </row>
    <row r="2446" spans="3:4" x14ac:dyDescent="0.25">
      <c r="C2446" s="1"/>
      <c r="D2446" s="1"/>
    </row>
    <row r="2447" spans="3:4" x14ac:dyDescent="0.25">
      <c r="C2447" s="1"/>
      <c r="D2447" s="1"/>
    </row>
    <row r="2448" spans="3:4" x14ac:dyDescent="0.25">
      <c r="C2448" s="1"/>
      <c r="D2448" s="1"/>
    </row>
    <row r="2449" spans="3:4" x14ac:dyDescent="0.25">
      <c r="C2449" s="1"/>
      <c r="D2449" s="1"/>
    </row>
    <row r="2450" spans="3:4" x14ac:dyDescent="0.25">
      <c r="C2450" s="1"/>
      <c r="D2450" s="1"/>
    </row>
    <row r="2451" spans="3:4" x14ac:dyDescent="0.25">
      <c r="C2451" s="1"/>
      <c r="D2451" s="1"/>
    </row>
    <row r="2452" spans="3:4" x14ac:dyDescent="0.25">
      <c r="C2452" s="1"/>
      <c r="D2452" s="1"/>
    </row>
    <row r="2453" spans="3:4" x14ac:dyDescent="0.25">
      <c r="C2453" s="1"/>
      <c r="D2453" s="1"/>
    </row>
    <row r="2454" spans="3:4" x14ac:dyDescent="0.25">
      <c r="C2454" s="1"/>
      <c r="D2454" s="1"/>
    </row>
    <row r="2455" spans="3:4" x14ac:dyDescent="0.25">
      <c r="C2455" s="1"/>
      <c r="D2455" s="1"/>
    </row>
    <row r="2456" spans="3:4" x14ac:dyDescent="0.25">
      <c r="C2456" s="1"/>
      <c r="D2456" s="1"/>
    </row>
    <row r="2457" spans="3:4" x14ac:dyDescent="0.25">
      <c r="C2457" s="1"/>
      <c r="D2457" s="1"/>
    </row>
    <row r="2458" spans="3:4" x14ac:dyDescent="0.25">
      <c r="C2458" s="1"/>
      <c r="D2458" s="1"/>
    </row>
    <row r="2459" spans="3:4" x14ac:dyDescent="0.25">
      <c r="C2459" s="1"/>
      <c r="D2459" s="1"/>
    </row>
    <row r="2460" spans="3:4" x14ac:dyDescent="0.25">
      <c r="C2460" s="1"/>
      <c r="D2460" s="1"/>
    </row>
    <row r="2461" spans="3:4" x14ac:dyDescent="0.25">
      <c r="C2461" s="1"/>
      <c r="D2461" s="1"/>
    </row>
    <row r="2462" spans="3:4" x14ac:dyDescent="0.25">
      <c r="C2462" s="1"/>
      <c r="D2462" s="1"/>
    </row>
    <row r="2463" spans="3:4" x14ac:dyDescent="0.25">
      <c r="C2463" s="1"/>
      <c r="D2463" s="1"/>
    </row>
    <row r="2464" spans="3:4" x14ac:dyDescent="0.25">
      <c r="C2464" s="1"/>
      <c r="D2464" s="1"/>
    </row>
    <row r="2465" spans="3:4" x14ac:dyDescent="0.25">
      <c r="C2465" s="1"/>
      <c r="D2465" s="1"/>
    </row>
    <row r="2466" spans="3:4" x14ac:dyDescent="0.25">
      <c r="C2466" s="1"/>
      <c r="D2466" s="1"/>
    </row>
    <row r="2467" spans="3:4" x14ac:dyDescent="0.25">
      <c r="C2467" s="1"/>
      <c r="D2467" s="1"/>
    </row>
    <row r="2468" spans="3:4" x14ac:dyDescent="0.25">
      <c r="C2468" s="1"/>
      <c r="D2468" s="1"/>
    </row>
    <row r="2469" spans="3:4" x14ac:dyDescent="0.25">
      <c r="C2469" s="1"/>
      <c r="D2469" s="1"/>
    </row>
    <row r="2470" spans="3:4" x14ac:dyDescent="0.25">
      <c r="C2470" s="1"/>
      <c r="D2470" s="1"/>
    </row>
    <row r="2471" spans="3:4" x14ac:dyDescent="0.25">
      <c r="C2471" s="1"/>
      <c r="D2471" s="1"/>
    </row>
    <row r="2472" spans="3:4" x14ac:dyDescent="0.25">
      <c r="C2472" s="1"/>
      <c r="D2472" s="1"/>
    </row>
    <row r="2473" spans="3:4" x14ac:dyDescent="0.25">
      <c r="C2473" s="1"/>
      <c r="D2473" s="1"/>
    </row>
    <row r="2474" spans="3:4" x14ac:dyDescent="0.25">
      <c r="C2474" s="1"/>
      <c r="D2474" s="1"/>
    </row>
    <row r="2475" spans="3:4" x14ac:dyDescent="0.25">
      <c r="C2475" s="1"/>
      <c r="D2475" s="1"/>
    </row>
    <row r="2476" spans="3:4" x14ac:dyDescent="0.25">
      <c r="C2476" s="1"/>
      <c r="D2476" s="1"/>
    </row>
    <row r="2477" spans="3:4" x14ac:dyDescent="0.25">
      <c r="C2477" s="1"/>
      <c r="D2477" s="1"/>
    </row>
    <row r="2478" spans="3:4" x14ac:dyDescent="0.25">
      <c r="C2478" s="1"/>
      <c r="D2478" s="1"/>
    </row>
    <row r="2479" spans="3:4" x14ac:dyDescent="0.25">
      <c r="C2479" s="1"/>
      <c r="D2479" s="1"/>
    </row>
    <row r="2480" spans="3:4" x14ac:dyDescent="0.25">
      <c r="C2480" s="1"/>
      <c r="D2480" s="1"/>
    </row>
    <row r="2481" spans="3:4" x14ac:dyDescent="0.25">
      <c r="C2481" s="1"/>
      <c r="D2481" s="1"/>
    </row>
    <row r="2482" spans="3:4" x14ac:dyDescent="0.25">
      <c r="C2482" s="1"/>
      <c r="D2482" s="1"/>
    </row>
    <row r="2483" spans="3:4" x14ac:dyDescent="0.25">
      <c r="C2483" s="1"/>
      <c r="D2483" s="1"/>
    </row>
    <row r="2484" spans="3:4" x14ac:dyDescent="0.25">
      <c r="C2484" s="1"/>
      <c r="D2484" s="1"/>
    </row>
    <row r="2485" spans="3:4" x14ac:dyDescent="0.25">
      <c r="C2485" s="1"/>
      <c r="D2485" s="1"/>
    </row>
    <row r="2486" spans="3:4" x14ac:dyDescent="0.25">
      <c r="C2486" s="1"/>
      <c r="D2486" s="1"/>
    </row>
    <row r="2487" spans="3:4" x14ac:dyDescent="0.25">
      <c r="C2487" s="1"/>
      <c r="D2487" s="1"/>
    </row>
    <row r="2488" spans="3:4" x14ac:dyDescent="0.25">
      <c r="C2488" s="1"/>
      <c r="D2488" s="1"/>
    </row>
    <row r="2489" spans="3:4" x14ac:dyDescent="0.25">
      <c r="C2489" s="1"/>
      <c r="D2489" s="1"/>
    </row>
    <row r="2490" spans="3:4" x14ac:dyDescent="0.25">
      <c r="C2490" s="1"/>
      <c r="D2490" s="1"/>
    </row>
    <row r="2491" spans="3:4" x14ac:dyDescent="0.25">
      <c r="C2491" s="1"/>
      <c r="D2491" s="1"/>
    </row>
    <row r="2492" spans="3:4" x14ac:dyDescent="0.25">
      <c r="C2492" s="1"/>
      <c r="D2492" s="1"/>
    </row>
    <row r="2493" spans="3:4" x14ac:dyDescent="0.25">
      <c r="C2493" s="1"/>
      <c r="D2493" s="1"/>
    </row>
    <row r="2494" spans="3:4" x14ac:dyDescent="0.25">
      <c r="C2494" s="1"/>
      <c r="D2494" s="1"/>
    </row>
    <row r="2495" spans="3:4" x14ac:dyDescent="0.25">
      <c r="C2495" s="1"/>
      <c r="D2495" s="1"/>
    </row>
    <row r="2496" spans="3:4" x14ac:dyDescent="0.25">
      <c r="C2496" s="1"/>
      <c r="D2496" s="1"/>
    </row>
    <row r="2497" spans="3:4" x14ac:dyDescent="0.25">
      <c r="C2497" s="1"/>
      <c r="D2497" s="1"/>
    </row>
    <row r="2498" spans="3:4" x14ac:dyDescent="0.25">
      <c r="C2498" s="1"/>
      <c r="D2498" s="1"/>
    </row>
    <row r="2499" spans="3:4" x14ac:dyDescent="0.25">
      <c r="C2499" s="1"/>
      <c r="D2499" s="1"/>
    </row>
    <row r="2500" spans="3:4" x14ac:dyDescent="0.25">
      <c r="C2500" s="1"/>
      <c r="D2500" s="1"/>
    </row>
    <row r="2501" spans="3:4" x14ac:dyDescent="0.25">
      <c r="C2501" s="1"/>
      <c r="D2501" s="1"/>
    </row>
    <row r="2502" spans="3:4" x14ac:dyDescent="0.25">
      <c r="C2502" s="1"/>
      <c r="D2502" s="1"/>
    </row>
    <row r="2503" spans="3:4" x14ac:dyDescent="0.25">
      <c r="C2503" s="1"/>
      <c r="D2503" s="1"/>
    </row>
    <row r="2504" spans="3:4" x14ac:dyDescent="0.25">
      <c r="C2504" s="1"/>
      <c r="D2504" s="1"/>
    </row>
    <row r="2505" spans="3:4" x14ac:dyDescent="0.25">
      <c r="C2505" s="1"/>
      <c r="D2505" s="1"/>
    </row>
    <row r="2506" spans="3:4" x14ac:dyDescent="0.25">
      <c r="C2506" s="1"/>
      <c r="D2506" s="1"/>
    </row>
    <row r="2507" spans="3:4" x14ac:dyDescent="0.25">
      <c r="C2507" s="1"/>
      <c r="D2507" s="1"/>
    </row>
    <row r="2508" spans="3:4" x14ac:dyDescent="0.25">
      <c r="C2508" s="1"/>
      <c r="D2508" s="1"/>
    </row>
    <row r="2509" spans="3:4" x14ac:dyDescent="0.25">
      <c r="C2509" s="1"/>
      <c r="D2509" s="1"/>
    </row>
    <row r="2510" spans="3:4" x14ac:dyDescent="0.25">
      <c r="C2510" s="1"/>
      <c r="D2510" s="1"/>
    </row>
    <row r="2511" spans="3:4" x14ac:dyDescent="0.25">
      <c r="C2511" s="1"/>
      <c r="D2511" s="1"/>
    </row>
    <row r="2512" spans="3:4" x14ac:dyDescent="0.25">
      <c r="C2512" s="1"/>
      <c r="D2512" s="1"/>
    </row>
    <row r="2513" spans="3:4" x14ac:dyDescent="0.25">
      <c r="C2513" s="1"/>
      <c r="D2513" s="1"/>
    </row>
    <row r="2514" spans="3:4" x14ac:dyDescent="0.25">
      <c r="C2514" s="1"/>
      <c r="D2514" s="1"/>
    </row>
    <row r="2515" spans="3:4" x14ac:dyDescent="0.25">
      <c r="C2515" s="1"/>
      <c r="D2515" s="1"/>
    </row>
    <row r="2516" spans="3:4" x14ac:dyDescent="0.25">
      <c r="C2516" s="1"/>
      <c r="D2516" s="1"/>
    </row>
    <row r="2517" spans="3:4" x14ac:dyDescent="0.25">
      <c r="C2517" s="1"/>
      <c r="D2517" s="1"/>
    </row>
    <row r="2518" spans="3:4" x14ac:dyDescent="0.25">
      <c r="C2518" s="1"/>
      <c r="D2518" s="1"/>
    </row>
    <row r="2519" spans="3:4" x14ac:dyDescent="0.25">
      <c r="C2519" s="1"/>
      <c r="D2519" s="1"/>
    </row>
    <row r="2520" spans="3:4" x14ac:dyDescent="0.25">
      <c r="C2520" s="1"/>
      <c r="D2520" s="1"/>
    </row>
    <row r="2521" spans="3:4" x14ac:dyDescent="0.25">
      <c r="C2521" s="1"/>
      <c r="D2521" s="1"/>
    </row>
    <row r="2522" spans="3:4" x14ac:dyDescent="0.25">
      <c r="C2522" s="1"/>
      <c r="D2522" s="1"/>
    </row>
    <row r="2523" spans="3:4" x14ac:dyDescent="0.25">
      <c r="C2523" s="1"/>
      <c r="D2523" s="1"/>
    </row>
    <row r="2524" spans="3:4" x14ac:dyDescent="0.25">
      <c r="C2524" s="1"/>
      <c r="D2524" s="1"/>
    </row>
    <row r="2525" spans="3:4" x14ac:dyDescent="0.25">
      <c r="C2525" s="1"/>
      <c r="D2525" s="1"/>
    </row>
    <row r="2526" spans="3:4" x14ac:dyDescent="0.25">
      <c r="C2526" s="1"/>
      <c r="D2526" s="1"/>
    </row>
    <row r="2527" spans="3:4" x14ac:dyDescent="0.25">
      <c r="C2527" s="1"/>
      <c r="D2527" s="1"/>
    </row>
    <row r="2528" spans="3:4" x14ac:dyDescent="0.25">
      <c r="C2528" s="1"/>
      <c r="D2528" s="1"/>
    </row>
    <row r="2529" spans="3:4" x14ac:dyDescent="0.25">
      <c r="C2529" s="1"/>
      <c r="D2529" s="1"/>
    </row>
    <row r="2530" spans="3:4" x14ac:dyDescent="0.25">
      <c r="C2530" s="1"/>
      <c r="D2530" s="1"/>
    </row>
    <row r="2531" spans="3:4" x14ac:dyDescent="0.25">
      <c r="C2531" s="1"/>
      <c r="D2531" s="1"/>
    </row>
    <row r="2532" spans="3:4" x14ac:dyDescent="0.25">
      <c r="C2532" s="1"/>
      <c r="D2532" s="1"/>
    </row>
    <row r="2533" spans="3:4" x14ac:dyDescent="0.25">
      <c r="C2533" s="1"/>
      <c r="D2533" s="1"/>
    </row>
    <row r="2534" spans="3:4" x14ac:dyDescent="0.25">
      <c r="C2534" s="1"/>
      <c r="D2534" s="1"/>
    </row>
    <row r="2535" spans="3:4" x14ac:dyDescent="0.25">
      <c r="C2535" s="1"/>
      <c r="D2535" s="1"/>
    </row>
    <row r="2536" spans="3:4" x14ac:dyDescent="0.25">
      <c r="C2536" s="1"/>
      <c r="D2536" s="1"/>
    </row>
    <row r="2537" spans="3:4" x14ac:dyDescent="0.25">
      <c r="C2537" s="1"/>
      <c r="D2537" s="1"/>
    </row>
    <row r="2538" spans="3:4" x14ac:dyDescent="0.25">
      <c r="C2538" s="1"/>
      <c r="D2538" s="1"/>
    </row>
    <row r="2539" spans="3:4" x14ac:dyDescent="0.25">
      <c r="C2539" s="1"/>
      <c r="D2539" s="1"/>
    </row>
    <row r="2540" spans="3:4" x14ac:dyDescent="0.25">
      <c r="C2540" s="1"/>
      <c r="D2540" s="1"/>
    </row>
    <row r="2541" spans="3:4" x14ac:dyDescent="0.25">
      <c r="C2541" s="1"/>
      <c r="D2541" s="1"/>
    </row>
    <row r="2542" spans="3:4" x14ac:dyDescent="0.25">
      <c r="C2542" s="1"/>
      <c r="D2542" s="1"/>
    </row>
    <row r="2543" spans="3:4" x14ac:dyDescent="0.25">
      <c r="C2543" s="1"/>
      <c r="D2543" s="1"/>
    </row>
    <row r="2544" spans="3:4" x14ac:dyDescent="0.25">
      <c r="C2544" s="1"/>
      <c r="D2544" s="1"/>
    </row>
    <row r="2545" spans="3:4" x14ac:dyDescent="0.25">
      <c r="C2545" s="1"/>
      <c r="D2545" s="1"/>
    </row>
    <row r="2546" spans="3:4" x14ac:dyDescent="0.25">
      <c r="C2546" s="1"/>
      <c r="D2546" s="1"/>
    </row>
    <row r="2547" spans="3:4" x14ac:dyDescent="0.25">
      <c r="C2547" s="1"/>
      <c r="D2547" s="1"/>
    </row>
    <row r="2548" spans="3:4" x14ac:dyDescent="0.25">
      <c r="C2548" s="1"/>
      <c r="D2548" s="1"/>
    </row>
    <row r="2549" spans="3:4" x14ac:dyDescent="0.25">
      <c r="C2549" s="1"/>
      <c r="D2549" s="1"/>
    </row>
    <row r="2550" spans="3:4" x14ac:dyDescent="0.25">
      <c r="C2550" s="1"/>
      <c r="D2550" s="1"/>
    </row>
    <row r="2551" spans="3:4" x14ac:dyDescent="0.25">
      <c r="C2551" s="1"/>
      <c r="D2551" s="1"/>
    </row>
    <row r="2552" spans="3:4" x14ac:dyDescent="0.25">
      <c r="C2552" s="1"/>
      <c r="D2552" s="1"/>
    </row>
    <row r="2553" spans="3:4" x14ac:dyDescent="0.25">
      <c r="C2553" s="1"/>
      <c r="D2553" s="1"/>
    </row>
    <row r="2554" spans="3:4" x14ac:dyDescent="0.25">
      <c r="C2554" s="1"/>
      <c r="D2554" s="1"/>
    </row>
    <row r="2555" spans="3:4" x14ac:dyDescent="0.25">
      <c r="C2555" s="1"/>
      <c r="D2555" s="1"/>
    </row>
    <row r="2556" spans="3:4" x14ac:dyDescent="0.25">
      <c r="C2556" s="1"/>
      <c r="D2556" s="1"/>
    </row>
    <row r="2557" spans="3:4" x14ac:dyDescent="0.25">
      <c r="C2557" s="1"/>
      <c r="D2557" s="1"/>
    </row>
    <row r="2558" spans="3:4" x14ac:dyDescent="0.25">
      <c r="C2558" s="1"/>
      <c r="D2558" s="1"/>
    </row>
    <row r="2559" spans="3:4" x14ac:dyDescent="0.25">
      <c r="C2559" s="1"/>
      <c r="D2559" s="1"/>
    </row>
    <row r="2560" spans="3:4" x14ac:dyDescent="0.25">
      <c r="C2560" s="1"/>
      <c r="D2560" s="1"/>
    </row>
    <row r="2561" spans="3:4" x14ac:dyDescent="0.25">
      <c r="C2561" s="1"/>
      <c r="D2561" s="1"/>
    </row>
    <row r="2562" spans="3:4" x14ac:dyDescent="0.25">
      <c r="C2562" s="1"/>
      <c r="D2562" s="1"/>
    </row>
    <row r="2563" spans="3:4" x14ac:dyDescent="0.25">
      <c r="C2563" s="1"/>
      <c r="D2563" s="1"/>
    </row>
    <row r="2564" spans="3:4" x14ac:dyDescent="0.25">
      <c r="C2564" s="1"/>
      <c r="D2564" s="1"/>
    </row>
    <row r="2565" spans="3:4" x14ac:dyDescent="0.25">
      <c r="C2565" s="1"/>
      <c r="D2565" s="1"/>
    </row>
    <row r="2566" spans="3:4" x14ac:dyDescent="0.25">
      <c r="C2566" s="1"/>
      <c r="D2566" s="1"/>
    </row>
    <row r="2567" spans="3:4" x14ac:dyDescent="0.25">
      <c r="C2567" s="1"/>
      <c r="D2567" s="1"/>
    </row>
    <row r="2568" spans="3:4" x14ac:dyDescent="0.25">
      <c r="C2568" s="1"/>
      <c r="D2568" s="1"/>
    </row>
    <row r="2569" spans="3:4" x14ac:dyDescent="0.25">
      <c r="C2569" s="1"/>
      <c r="D2569" s="1"/>
    </row>
    <row r="2570" spans="3:4" x14ac:dyDescent="0.25">
      <c r="C2570" s="1"/>
      <c r="D2570" s="1"/>
    </row>
    <row r="2571" spans="3:4" x14ac:dyDescent="0.25">
      <c r="C2571" s="1"/>
      <c r="D2571" s="1"/>
    </row>
    <row r="2572" spans="3:4" x14ac:dyDescent="0.25">
      <c r="C2572" s="1"/>
      <c r="D2572" s="1"/>
    </row>
    <row r="2573" spans="3:4" x14ac:dyDescent="0.25">
      <c r="C2573" s="1"/>
      <c r="D2573" s="1"/>
    </row>
    <row r="2574" spans="3:4" x14ac:dyDescent="0.25">
      <c r="C2574" s="1"/>
      <c r="D2574" s="1"/>
    </row>
    <row r="2575" spans="3:4" x14ac:dyDescent="0.25">
      <c r="C2575" s="1"/>
      <c r="D2575" s="1"/>
    </row>
    <row r="2576" spans="3:4" x14ac:dyDescent="0.25">
      <c r="C2576" s="1"/>
      <c r="D2576" s="1"/>
    </row>
    <row r="2577" spans="3:4" x14ac:dyDescent="0.25">
      <c r="C2577" s="1"/>
      <c r="D2577" s="1"/>
    </row>
    <row r="2578" spans="3:4" x14ac:dyDescent="0.25">
      <c r="C2578" s="1"/>
      <c r="D2578" s="1"/>
    </row>
    <row r="2579" spans="3:4" x14ac:dyDescent="0.25">
      <c r="C2579" s="1"/>
      <c r="D2579" s="1"/>
    </row>
    <row r="2580" spans="3:4" x14ac:dyDescent="0.25">
      <c r="C2580" s="1"/>
      <c r="D2580" s="1"/>
    </row>
    <row r="2581" spans="3:4" x14ac:dyDescent="0.25">
      <c r="C2581" s="1"/>
      <c r="D2581" s="1"/>
    </row>
    <row r="2582" spans="3:4" x14ac:dyDescent="0.25">
      <c r="C2582" s="1"/>
      <c r="D2582" s="1"/>
    </row>
    <row r="2583" spans="3:4" x14ac:dyDescent="0.25">
      <c r="C2583" s="1"/>
      <c r="D2583" s="1"/>
    </row>
    <row r="2584" spans="3:4" x14ac:dyDescent="0.25">
      <c r="C2584" s="1"/>
      <c r="D2584" s="1"/>
    </row>
    <row r="2585" spans="3:4" x14ac:dyDescent="0.25">
      <c r="C2585" s="1"/>
      <c r="D2585" s="1"/>
    </row>
    <row r="2586" spans="3:4" x14ac:dyDescent="0.25">
      <c r="C2586" s="1"/>
      <c r="D2586" s="1"/>
    </row>
    <row r="2587" spans="3:4" x14ac:dyDescent="0.25">
      <c r="C2587" s="1"/>
      <c r="D2587" s="1"/>
    </row>
    <row r="2588" spans="3:4" x14ac:dyDescent="0.25">
      <c r="C2588" s="1"/>
      <c r="D2588" s="1"/>
    </row>
    <row r="2589" spans="3:4" x14ac:dyDescent="0.25">
      <c r="C2589" s="1"/>
      <c r="D2589" s="1"/>
    </row>
    <row r="2590" spans="3:4" x14ac:dyDescent="0.25">
      <c r="C2590" s="1"/>
      <c r="D2590" s="1"/>
    </row>
    <row r="2591" spans="3:4" x14ac:dyDescent="0.25">
      <c r="C2591" s="1"/>
      <c r="D2591" s="1"/>
    </row>
    <row r="2592" spans="3:4" x14ac:dyDescent="0.25">
      <c r="C2592" s="1"/>
      <c r="D2592" s="1"/>
    </row>
    <row r="2593" spans="3:4" x14ac:dyDescent="0.25">
      <c r="C2593" s="1"/>
      <c r="D2593" s="1"/>
    </row>
    <row r="2594" spans="3:4" x14ac:dyDescent="0.25">
      <c r="C2594" s="1"/>
      <c r="D2594" s="1"/>
    </row>
    <row r="2595" spans="3:4" x14ac:dyDescent="0.25">
      <c r="C2595" s="1"/>
      <c r="D2595" s="1"/>
    </row>
    <row r="2596" spans="3:4" x14ac:dyDescent="0.25">
      <c r="C2596" s="1"/>
      <c r="D2596" s="1"/>
    </row>
    <row r="2597" spans="3:4" x14ac:dyDescent="0.25">
      <c r="C2597" s="1"/>
      <c r="D2597" s="1"/>
    </row>
    <row r="2598" spans="3:4" x14ac:dyDescent="0.25">
      <c r="C2598" s="1"/>
      <c r="D2598" s="1"/>
    </row>
    <row r="2599" spans="3:4" x14ac:dyDescent="0.25">
      <c r="C2599" s="1"/>
      <c r="D2599" s="1"/>
    </row>
    <row r="2600" spans="3:4" x14ac:dyDescent="0.25">
      <c r="C2600" s="1"/>
      <c r="D2600" s="1"/>
    </row>
    <row r="2601" spans="3:4" x14ac:dyDescent="0.25">
      <c r="C2601" s="1"/>
      <c r="D2601" s="1"/>
    </row>
    <row r="2602" spans="3:4" x14ac:dyDescent="0.25">
      <c r="C2602" s="1"/>
      <c r="D2602" s="1"/>
    </row>
    <row r="2603" spans="3:4" x14ac:dyDescent="0.25">
      <c r="C2603" s="1"/>
      <c r="D2603" s="1"/>
    </row>
    <row r="2604" spans="3:4" x14ac:dyDescent="0.25">
      <c r="C2604" s="1"/>
      <c r="D2604" s="1"/>
    </row>
    <row r="2605" spans="3:4" x14ac:dyDescent="0.25">
      <c r="C2605" s="1"/>
      <c r="D2605" s="1"/>
    </row>
    <row r="2606" spans="3:4" x14ac:dyDescent="0.25">
      <c r="C2606" s="1"/>
      <c r="D2606" s="1"/>
    </row>
    <row r="2607" spans="3:4" x14ac:dyDescent="0.25">
      <c r="C2607" s="1"/>
      <c r="D2607" s="1"/>
    </row>
    <row r="2608" spans="3:4" x14ac:dyDescent="0.25">
      <c r="C2608" s="1"/>
      <c r="D2608" s="1"/>
    </row>
    <row r="2609" spans="3:4" x14ac:dyDescent="0.25">
      <c r="C2609" s="1"/>
      <c r="D2609" s="1"/>
    </row>
    <row r="2610" spans="3:4" x14ac:dyDescent="0.25">
      <c r="C2610" s="1"/>
      <c r="D2610" s="1"/>
    </row>
    <row r="2611" spans="3:4" x14ac:dyDescent="0.25">
      <c r="C2611" s="1"/>
      <c r="D2611" s="1"/>
    </row>
    <row r="2612" spans="3:4" x14ac:dyDescent="0.25">
      <c r="C2612" s="1"/>
      <c r="D2612" s="1"/>
    </row>
    <row r="2613" spans="3:4" x14ac:dyDescent="0.25">
      <c r="C2613" s="1"/>
      <c r="D2613" s="1"/>
    </row>
    <row r="2614" spans="3:4" x14ac:dyDescent="0.25">
      <c r="C2614" s="1"/>
      <c r="D2614" s="1"/>
    </row>
    <row r="2615" spans="3:4" x14ac:dyDescent="0.25">
      <c r="C2615" s="1"/>
      <c r="D2615" s="1"/>
    </row>
    <row r="2616" spans="3:4" x14ac:dyDescent="0.25">
      <c r="C2616" s="1"/>
      <c r="D2616" s="1"/>
    </row>
    <row r="2617" spans="3:4" x14ac:dyDescent="0.25">
      <c r="C2617" s="1"/>
      <c r="D2617" s="1"/>
    </row>
    <row r="2618" spans="3:4" x14ac:dyDescent="0.25">
      <c r="C2618" s="1"/>
      <c r="D2618" s="1"/>
    </row>
    <row r="2619" spans="3:4" x14ac:dyDescent="0.25">
      <c r="C2619" s="1"/>
      <c r="D2619" s="1"/>
    </row>
    <row r="2620" spans="3:4" x14ac:dyDescent="0.25">
      <c r="C2620" s="1"/>
      <c r="D2620" s="1"/>
    </row>
    <row r="2621" spans="3:4" x14ac:dyDescent="0.25">
      <c r="C2621" s="1"/>
      <c r="D2621" s="1"/>
    </row>
    <row r="2622" spans="3:4" x14ac:dyDescent="0.25">
      <c r="C2622" s="1"/>
      <c r="D2622" s="1"/>
    </row>
    <row r="2623" spans="3:4" x14ac:dyDescent="0.25">
      <c r="C2623" s="1"/>
      <c r="D2623" s="1"/>
    </row>
    <row r="2624" spans="3:4" x14ac:dyDescent="0.25">
      <c r="C2624" s="1"/>
      <c r="D2624" s="1"/>
    </row>
    <row r="2625" spans="3:4" x14ac:dyDescent="0.25">
      <c r="C2625" s="1"/>
      <c r="D2625" s="1"/>
    </row>
    <row r="2626" spans="3:4" x14ac:dyDescent="0.25">
      <c r="C2626" s="1"/>
      <c r="D2626" s="1"/>
    </row>
    <row r="2627" spans="3:4" x14ac:dyDescent="0.25">
      <c r="C2627" s="1"/>
      <c r="D2627" s="1"/>
    </row>
    <row r="2628" spans="3:4" x14ac:dyDescent="0.25">
      <c r="C2628" s="1"/>
      <c r="D2628" s="1"/>
    </row>
    <row r="2629" spans="3:4" x14ac:dyDescent="0.25">
      <c r="C2629" s="1"/>
      <c r="D2629" s="1"/>
    </row>
    <row r="2630" spans="3:4" x14ac:dyDescent="0.25">
      <c r="C2630" s="1"/>
      <c r="D2630" s="1"/>
    </row>
    <row r="2631" spans="3:4" x14ac:dyDescent="0.25">
      <c r="C2631" s="1"/>
      <c r="D2631" s="1"/>
    </row>
    <row r="2632" spans="3:4" x14ac:dyDescent="0.25">
      <c r="C2632" s="1"/>
      <c r="D2632" s="1"/>
    </row>
    <row r="2633" spans="3:4" x14ac:dyDescent="0.25">
      <c r="C2633" s="1"/>
      <c r="D2633" s="1"/>
    </row>
    <row r="2634" spans="3:4" x14ac:dyDescent="0.25">
      <c r="C2634" s="1"/>
      <c r="D2634" s="1"/>
    </row>
    <row r="2635" spans="3:4" x14ac:dyDescent="0.25">
      <c r="C2635" s="1"/>
      <c r="D2635" s="1"/>
    </row>
    <row r="2636" spans="3:4" x14ac:dyDescent="0.25">
      <c r="C2636" s="1"/>
      <c r="D2636" s="1"/>
    </row>
    <row r="2637" spans="3:4" x14ac:dyDescent="0.25">
      <c r="C2637" s="1"/>
      <c r="D2637" s="1"/>
    </row>
    <row r="2638" spans="3:4" x14ac:dyDescent="0.25">
      <c r="C2638" s="1"/>
      <c r="D2638" s="1"/>
    </row>
    <row r="2639" spans="3:4" x14ac:dyDescent="0.25">
      <c r="C2639" s="1"/>
      <c r="D2639" s="1"/>
    </row>
    <row r="2640" spans="3:4" x14ac:dyDescent="0.25">
      <c r="C2640" s="1"/>
      <c r="D2640" s="1"/>
    </row>
    <row r="2641" spans="3:4" x14ac:dyDescent="0.25">
      <c r="C2641" s="1"/>
      <c r="D2641" s="1"/>
    </row>
    <row r="2642" spans="3:4" x14ac:dyDescent="0.25">
      <c r="C2642" s="1"/>
      <c r="D2642" s="1"/>
    </row>
    <row r="2643" spans="3:4" x14ac:dyDescent="0.25">
      <c r="C2643" s="1"/>
      <c r="D2643" s="1"/>
    </row>
    <row r="2644" spans="3:4" x14ac:dyDescent="0.25">
      <c r="C2644" s="1"/>
      <c r="D2644" s="1"/>
    </row>
    <row r="2645" spans="3:4" x14ac:dyDescent="0.25">
      <c r="C2645" s="1"/>
      <c r="D2645" s="1"/>
    </row>
    <row r="2646" spans="3:4" x14ac:dyDescent="0.25">
      <c r="C2646" s="1"/>
      <c r="D2646" s="1"/>
    </row>
    <row r="2647" spans="3:4" x14ac:dyDescent="0.25">
      <c r="C2647" s="1"/>
      <c r="D2647" s="1"/>
    </row>
    <row r="2648" spans="3:4" x14ac:dyDescent="0.25">
      <c r="C2648" s="1"/>
      <c r="D2648" s="1"/>
    </row>
    <row r="2649" spans="3:4" x14ac:dyDescent="0.25">
      <c r="C2649" s="1"/>
      <c r="D2649" s="1"/>
    </row>
    <row r="2650" spans="3:4" x14ac:dyDescent="0.25">
      <c r="C2650" s="1"/>
      <c r="D2650" s="1"/>
    </row>
    <row r="2651" spans="3:4" x14ac:dyDescent="0.25">
      <c r="C2651" s="1"/>
      <c r="D2651" s="1"/>
    </row>
    <row r="2652" spans="3:4" x14ac:dyDescent="0.25">
      <c r="C2652" s="1"/>
      <c r="D2652" s="1"/>
    </row>
    <row r="2653" spans="3:4" x14ac:dyDescent="0.25">
      <c r="C2653" s="1"/>
      <c r="D2653" s="1"/>
    </row>
    <row r="2654" spans="3:4" x14ac:dyDescent="0.25">
      <c r="C2654" s="1"/>
      <c r="D2654" s="1"/>
    </row>
    <row r="2655" spans="3:4" x14ac:dyDescent="0.25">
      <c r="C2655" s="1"/>
      <c r="D2655" s="1"/>
    </row>
    <row r="2656" spans="3:4" x14ac:dyDescent="0.25">
      <c r="C2656" s="1"/>
      <c r="D2656" s="1"/>
    </row>
    <row r="2657" spans="3:4" x14ac:dyDescent="0.25">
      <c r="C2657" s="1"/>
      <c r="D2657" s="1"/>
    </row>
    <row r="2658" spans="3:4" x14ac:dyDescent="0.25">
      <c r="C2658" s="1"/>
      <c r="D2658" s="1"/>
    </row>
    <row r="2659" spans="3:4" x14ac:dyDescent="0.25">
      <c r="C2659" s="1"/>
      <c r="D2659" s="1"/>
    </row>
    <row r="2660" spans="3:4" x14ac:dyDescent="0.25">
      <c r="C2660" s="1"/>
      <c r="D2660" s="1"/>
    </row>
    <row r="2661" spans="3:4" x14ac:dyDescent="0.25">
      <c r="C2661" s="1"/>
      <c r="D2661" s="1"/>
    </row>
    <row r="2662" spans="3:4" x14ac:dyDescent="0.25">
      <c r="C2662" s="1"/>
      <c r="D2662" s="1"/>
    </row>
    <row r="2663" spans="3:4" x14ac:dyDescent="0.25">
      <c r="C2663" s="1"/>
      <c r="D2663" s="1"/>
    </row>
    <row r="2664" spans="3:4" x14ac:dyDescent="0.25">
      <c r="C2664" s="1"/>
      <c r="D2664" s="1"/>
    </row>
    <row r="2665" spans="3:4" x14ac:dyDescent="0.25">
      <c r="C2665" s="1"/>
      <c r="D2665" s="1"/>
    </row>
    <row r="2666" spans="3:4" x14ac:dyDescent="0.25">
      <c r="C2666" s="1"/>
      <c r="D2666" s="1"/>
    </row>
    <row r="2667" spans="3:4" x14ac:dyDescent="0.25">
      <c r="C2667" s="1"/>
      <c r="D2667" s="1"/>
    </row>
    <row r="2668" spans="3:4" x14ac:dyDescent="0.25">
      <c r="C2668" s="1"/>
      <c r="D2668" s="1"/>
    </row>
    <row r="2669" spans="3:4" x14ac:dyDescent="0.25">
      <c r="C2669" s="1"/>
      <c r="D2669" s="1"/>
    </row>
    <row r="2670" spans="3:4" x14ac:dyDescent="0.25">
      <c r="C2670" s="1"/>
      <c r="D2670" s="1"/>
    </row>
    <row r="2671" spans="3:4" x14ac:dyDescent="0.25">
      <c r="C2671" s="1"/>
      <c r="D2671" s="1"/>
    </row>
    <row r="2672" spans="3:4" x14ac:dyDescent="0.25">
      <c r="C2672" s="1"/>
      <c r="D2672" s="1"/>
    </row>
    <row r="2673" spans="3:4" x14ac:dyDescent="0.25">
      <c r="C2673" s="1"/>
      <c r="D2673" s="1"/>
    </row>
    <row r="2674" spans="3:4" x14ac:dyDescent="0.25">
      <c r="C2674" s="1"/>
      <c r="D2674" s="1"/>
    </row>
    <row r="2675" spans="3:4" x14ac:dyDescent="0.25">
      <c r="C2675" s="1"/>
      <c r="D2675" s="1"/>
    </row>
    <row r="2676" spans="3:4" x14ac:dyDescent="0.25">
      <c r="C2676" s="1"/>
      <c r="D2676" s="1"/>
    </row>
    <row r="2677" spans="3:4" x14ac:dyDescent="0.25">
      <c r="C2677" s="1"/>
      <c r="D2677" s="1"/>
    </row>
    <row r="2678" spans="3:4" x14ac:dyDescent="0.25">
      <c r="C2678" s="1"/>
      <c r="D2678" s="1"/>
    </row>
    <row r="2679" spans="3:4" x14ac:dyDescent="0.25">
      <c r="C2679" s="1"/>
      <c r="D2679" s="1"/>
    </row>
    <row r="2680" spans="3:4" x14ac:dyDescent="0.25">
      <c r="C2680" s="1"/>
      <c r="D2680" s="1"/>
    </row>
    <row r="2681" spans="3:4" x14ac:dyDescent="0.25">
      <c r="C2681" s="1"/>
      <c r="D2681" s="1"/>
    </row>
    <row r="2682" spans="3:4" x14ac:dyDescent="0.25">
      <c r="C2682" s="1"/>
      <c r="D2682" s="1"/>
    </row>
    <row r="2683" spans="3:4" x14ac:dyDescent="0.25">
      <c r="C2683" s="1"/>
      <c r="D2683" s="1"/>
    </row>
    <row r="2684" spans="3:4" x14ac:dyDescent="0.25">
      <c r="C2684" s="1"/>
      <c r="D2684" s="1"/>
    </row>
    <row r="2685" spans="3:4" x14ac:dyDescent="0.25">
      <c r="C2685" s="1"/>
      <c r="D2685" s="1"/>
    </row>
    <row r="2686" spans="3:4" x14ac:dyDescent="0.25">
      <c r="C2686" s="1"/>
      <c r="D2686" s="1"/>
    </row>
    <row r="2687" spans="3:4" x14ac:dyDescent="0.25">
      <c r="C2687" s="1"/>
      <c r="D2687" s="1"/>
    </row>
    <row r="2688" spans="3:4" x14ac:dyDescent="0.25">
      <c r="C2688" s="1"/>
      <c r="D2688" s="1"/>
    </row>
    <row r="2689" spans="3:4" x14ac:dyDescent="0.25">
      <c r="C2689" s="1"/>
      <c r="D2689" s="1"/>
    </row>
    <row r="2690" spans="3:4" x14ac:dyDescent="0.25">
      <c r="C2690" s="1"/>
      <c r="D2690" s="1"/>
    </row>
    <row r="2691" spans="3:4" x14ac:dyDescent="0.25">
      <c r="C2691" s="1"/>
      <c r="D2691" s="1"/>
    </row>
    <row r="2692" spans="3:4" x14ac:dyDescent="0.25">
      <c r="C2692" s="1"/>
      <c r="D2692" s="1"/>
    </row>
    <row r="2693" spans="3:4" x14ac:dyDescent="0.25">
      <c r="C2693" s="1"/>
      <c r="D2693" s="1"/>
    </row>
    <row r="2694" spans="3:4" x14ac:dyDescent="0.25">
      <c r="C2694" s="1"/>
      <c r="D2694" s="1"/>
    </row>
    <row r="2695" spans="3:4" x14ac:dyDescent="0.25">
      <c r="C2695" s="1"/>
      <c r="D2695" s="1"/>
    </row>
    <row r="2696" spans="3:4" x14ac:dyDescent="0.25">
      <c r="C2696" s="1"/>
      <c r="D2696" s="1"/>
    </row>
    <row r="2697" spans="3:4" x14ac:dyDescent="0.25">
      <c r="C2697" s="1"/>
      <c r="D2697" s="1"/>
    </row>
    <row r="2698" spans="3:4" x14ac:dyDescent="0.25">
      <c r="C2698" s="1"/>
      <c r="D2698" s="1"/>
    </row>
    <row r="2699" spans="3:4" x14ac:dyDescent="0.25">
      <c r="C2699" s="1"/>
      <c r="D2699" s="1"/>
    </row>
    <row r="2700" spans="3:4" x14ac:dyDescent="0.25">
      <c r="C2700" s="1"/>
      <c r="D2700" s="1"/>
    </row>
    <row r="2701" spans="3:4" x14ac:dyDescent="0.25">
      <c r="C2701" s="1"/>
      <c r="D2701" s="1"/>
    </row>
    <row r="2702" spans="3:4" x14ac:dyDescent="0.25">
      <c r="C2702" s="1"/>
      <c r="D2702" s="1"/>
    </row>
    <row r="2703" spans="3:4" x14ac:dyDescent="0.25">
      <c r="C2703" s="1"/>
      <c r="D2703" s="1"/>
    </row>
    <row r="2704" spans="3:4" x14ac:dyDescent="0.25">
      <c r="C2704" s="1"/>
      <c r="D2704" s="1"/>
    </row>
    <row r="2705" spans="3:4" x14ac:dyDescent="0.25">
      <c r="C2705" s="1"/>
      <c r="D2705" s="1"/>
    </row>
    <row r="2706" spans="3:4" x14ac:dyDescent="0.25">
      <c r="C2706" s="1"/>
      <c r="D2706" s="1"/>
    </row>
    <row r="2707" spans="3:4" x14ac:dyDescent="0.25">
      <c r="C2707" s="1"/>
      <c r="D2707" s="1"/>
    </row>
    <row r="2708" spans="3:4" x14ac:dyDescent="0.25">
      <c r="C2708" s="1"/>
      <c r="D2708" s="1"/>
    </row>
    <row r="2709" spans="3:4" x14ac:dyDescent="0.25">
      <c r="C2709" s="1"/>
      <c r="D2709" s="1"/>
    </row>
    <row r="2710" spans="3:4" x14ac:dyDescent="0.25">
      <c r="C2710" s="1"/>
      <c r="D2710" s="1"/>
    </row>
    <row r="2711" spans="3:4" x14ac:dyDescent="0.25">
      <c r="C2711" s="1"/>
      <c r="D2711" s="1"/>
    </row>
    <row r="2712" spans="3:4" x14ac:dyDescent="0.25">
      <c r="C2712" s="1"/>
      <c r="D2712" s="1"/>
    </row>
    <row r="2713" spans="3:4" x14ac:dyDescent="0.25">
      <c r="C2713" s="1"/>
      <c r="D2713" s="1"/>
    </row>
    <row r="2714" spans="3:4" x14ac:dyDescent="0.25">
      <c r="C2714" s="1"/>
      <c r="D2714" s="1"/>
    </row>
    <row r="2715" spans="3:4" x14ac:dyDescent="0.25">
      <c r="C2715" s="1"/>
      <c r="D2715" s="1"/>
    </row>
    <row r="2716" spans="3:4" x14ac:dyDescent="0.25">
      <c r="C2716" s="1"/>
      <c r="D2716" s="1"/>
    </row>
    <row r="2717" spans="3:4" x14ac:dyDescent="0.25">
      <c r="C2717" s="1"/>
      <c r="D2717" s="1"/>
    </row>
    <row r="2718" spans="3:4" x14ac:dyDescent="0.25">
      <c r="C2718" s="1"/>
      <c r="D2718" s="1"/>
    </row>
    <row r="2719" spans="3:4" x14ac:dyDescent="0.25">
      <c r="C2719" s="1"/>
      <c r="D2719" s="1"/>
    </row>
    <row r="2720" spans="3:4" x14ac:dyDescent="0.25">
      <c r="C2720" s="1"/>
      <c r="D2720" s="1"/>
    </row>
    <row r="2721" spans="3:4" x14ac:dyDescent="0.25">
      <c r="C2721" s="1"/>
      <c r="D2721" s="1"/>
    </row>
    <row r="2722" spans="3:4" x14ac:dyDescent="0.25">
      <c r="C2722" s="1"/>
      <c r="D2722" s="1"/>
    </row>
    <row r="2723" spans="3:4" x14ac:dyDescent="0.25">
      <c r="C2723" s="1"/>
      <c r="D2723" s="1"/>
    </row>
    <row r="2724" spans="3:4" x14ac:dyDescent="0.25">
      <c r="C2724" s="1"/>
      <c r="D2724" s="1"/>
    </row>
    <row r="2725" spans="3:4" x14ac:dyDescent="0.25">
      <c r="C2725" s="1"/>
      <c r="D2725" s="1"/>
    </row>
    <row r="2726" spans="3:4" x14ac:dyDescent="0.25">
      <c r="C2726" s="1"/>
      <c r="D2726" s="1"/>
    </row>
    <row r="2727" spans="3:4" x14ac:dyDescent="0.25">
      <c r="C2727" s="1"/>
      <c r="D2727" s="1"/>
    </row>
    <row r="2728" spans="3:4" x14ac:dyDescent="0.25">
      <c r="C2728" s="1"/>
      <c r="D2728" s="1"/>
    </row>
    <row r="2729" spans="3:4" x14ac:dyDescent="0.25">
      <c r="C2729" s="1"/>
      <c r="D2729" s="1"/>
    </row>
    <row r="2730" spans="3:4" x14ac:dyDescent="0.25">
      <c r="C2730" s="1"/>
      <c r="D2730" s="1"/>
    </row>
    <row r="2731" spans="3:4" x14ac:dyDescent="0.25">
      <c r="C2731" s="1"/>
      <c r="D2731" s="1"/>
    </row>
    <row r="2732" spans="3:4" x14ac:dyDescent="0.25">
      <c r="C2732" s="1"/>
      <c r="D2732" s="1"/>
    </row>
    <row r="2733" spans="3:4" x14ac:dyDescent="0.25">
      <c r="C2733" s="1"/>
      <c r="D2733" s="1"/>
    </row>
    <row r="2734" spans="3:4" x14ac:dyDescent="0.25">
      <c r="C2734" s="1"/>
      <c r="D2734" s="1"/>
    </row>
    <row r="2735" spans="3:4" x14ac:dyDescent="0.25">
      <c r="C2735" s="1"/>
      <c r="D2735" s="1"/>
    </row>
    <row r="2736" spans="3:4" x14ac:dyDescent="0.25">
      <c r="C2736" s="1"/>
      <c r="D2736" s="1"/>
    </row>
    <row r="2737" spans="3:4" x14ac:dyDescent="0.25">
      <c r="C2737" s="1"/>
      <c r="D2737" s="1"/>
    </row>
    <row r="2738" spans="3:4" x14ac:dyDescent="0.25">
      <c r="C2738" s="1"/>
      <c r="D2738" s="1"/>
    </row>
    <row r="2739" spans="3:4" x14ac:dyDescent="0.25">
      <c r="C2739" s="1"/>
      <c r="D2739" s="1"/>
    </row>
    <row r="2740" spans="3:4" x14ac:dyDescent="0.25">
      <c r="C2740" s="1"/>
      <c r="D2740" s="1"/>
    </row>
    <row r="2741" spans="3:4" x14ac:dyDescent="0.25">
      <c r="C2741" s="1"/>
      <c r="D2741" s="1"/>
    </row>
    <row r="2742" spans="3:4" x14ac:dyDescent="0.25">
      <c r="C2742" s="1"/>
      <c r="D2742" s="1"/>
    </row>
    <row r="2743" spans="3:4" x14ac:dyDescent="0.25">
      <c r="C2743" s="1"/>
      <c r="D2743" s="1"/>
    </row>
    <row r="2744" spans="3:4" x14ac:dyDescent="0.25">
      <c r="C2744" s="1"/>
      <c r="D2744" s="1"/>
    </row>
    <row r="2745" spans="3:4" x14ac:dyDescent="0.25">
      <c r="C2745" s="1"/>
      <c r="D2745" s="1"/>
    </row>
    <row r="2746" spans="3:4" x14ac:dyDescent="0.25">
      <c r="C2746" s="1"/>
      <c r="D2746" s="1"/>
    </row>
    <row r="2747" spans="3:4" x14ac:dyDescent="0.25">
      <c r="C2747" s="1"/>
      <c r="D2747" s="1"/>
    </row>
    <row r="2748" spans="3:4" x14ac:dyDescent="0.25">
      <c r="C2748" s="1"/>
      <c r="D2748" s="1"/>
    </row>
    <row r="2749" spans="3:4" x14ac:dyDescent="0.25">
      <c r="C2749" s="1"/>
      <c r="D2749" s="1"/>
    </row>
    <row r="2750" spans="3:4" x14ac:dyDescent="0.25">
      <c r="C2750" s="1"/>
      <c r="D2750" s="1"/>
    </row>
    <row r="2751" spans="3:4" x14ac:dyDescent="0.25">
      <c r="C2751" s="1"/>
      <c r="D2751" s="1"/>
    </row>
    <row r="2752" spans="3:4" x14ac:dyDescent="0.25">
      <c r="C2752" s="1"/>
      <c r="D2752" s="1"/>
    </row>
    <row r="2753" spans="3:4" x14ac:dyDescent="0.25">
      <c r="C2753" s="1"/>
      <c r="D2753" s="1"/>
    </row>
    <row r="2754" spans="3:4" x14ac:dyDescent="0.25">
      <c r="C2754" s="1"/>
      <c r="D2754" s="1"/>
    </row>
    <row r="2755" spans="3:4" x14ac:dyDescent="0.25">
      <c r="C2755" s="1"/>
      <c r="D2755" s="1"/>
    </row>
    <row r="2756" spans="3:4" x14ac:dyDescent="0.25">
      <c r="C2756" s="1"/>
      <c r="D2756" s="1"/>
    </row>
    <row r="2757" spans="3:4" x14ac:dyDescent="0.25">
      <c r="C2757" s="1"/>
      <c r="D2757" s="1"/>
    </row>
    <row r="2758" spans="3:4" x14ac:dyDescent="0.25">
      <c r="C2758" s="1"/>
      <c r="D2758" s="1"/>
    </row>
    <row r="2759" spans="3:4" x14ac:dyDescent="0.25">
      <c r="C2759" s="1"/>
      <c r="D2759" s="1"/>
    </row>
    <row r="2760" spans="3:4" x14ac:dyDescent="0.25">
      <c r="C2760" s="1"/>
      <c r="D2760" s="1"/>
    </row>
    <row r="2761" spans="3:4" x14ac:dyDescent="0.25">
      <c r="C2761" s="1"/>
      <c r="D2761" s="1"/>
    </row>
    <row r="2762" spans="3:4" x14ac:dyDescent="0.25">
      <c r="C2762" s="1"/>
      <c r="D2762" s="1"/>
    </row>
    <row r="2763" spans="3:4" x14ac:dyDescent="0.25">
      <c r="C2763" s="1"/>
      <c r="D2763" s="1"/>
    </row>
    <row r="2764" spans="3:4" x14ac:dyDescent="0.25">
      <c r="C2764" s="1"/>
      <c r="D2764" s="1"/>
    </row>
    <row r="2765" spans="3:4" x14ac:dyDescent="0.25">
      <c r="C2765" s="1"/>
      <c r="D2765" s="1"/>
    </row>
    <row r="2766" spans="3:4" x14ac:dyDescent="0.25">
      <c r="C2766" s="1"/>
      <c r="D2766" s="1"/>
    </row>
    <row r="2767" spans="3:4" x14ac:dyDescent="0.25">
      <c r="C2767" s="1"/>
      <c r="D2767" s="1"/>
    </row>
    <row r="2768" spans="3:4" x14ac:dyDescent="0.25">
      <c r="C2768" s="1"/>
      <c r="D2768" s="1"/>
    </row>
    <row r="2769" spans="3:4" x14ac:dyDescent="0.25">
      <c r="C2769" s="1"/>
      <c r="D2769" s="1"/>
    </row>
    <row r="2770" spans="3:4" x14ac:dyDescent="0.25">
      <c r="C2770" s="1"/>
      <c r="D2770" s="1"/>
    </row>
    <row r="2771" spans="3:4" x14ac:dyDescent="0.25">
      <c r="C2771" s="1"/>
      <c r="D2771" s="1"/>
    </row>
    <row r="2772" spans="3:4" x14ac:dyDescent="0.25">
      <c r="C2772" s="1"/>
      <c r="D2772" s="1"/>
    </row>
    <row r="2773" spans="3:4" x14ac:dyDescent="0.25">
      <c r="C2773" s="1"/>
      <c r="D2773" s="1"/>
    </row>
    <row r="2774" spans="3:4" x14ac:dyDescent="0.25">
      <c r="C2774" s="1"/>
      <c r="D2774" s="1"/>
    </row>
    <row r="2775" spans="3:4" x14ac:dyDescent="0.25">
      <c r="C2775" s="1"/>
      <c r="D2775" s="1"/>
    </row>
    <row r="2776" spans="3:4" x14ac:dyDescent="0.25">
      <c r="C2776" s="1"/>
      <c r="D2776" s="1"/>
    </row>
    <row r="2777" spans="3:4" x14ac:dyDescent="0.25">
      <c r="C2777" s="1"/>
      <c r="D2777" s="1"/>
    </row>
    <row r="2778" spans="3:4" x14ac:dyDescent="0.25">
      <c r="C2778" s="1"/>
      <c r="D2778" s="1"/>
    </row>
    <row r="2779" spans="3:4" x14ac:dyDescent="0.25">
      <c r="C2779" s="1"/>
      <c r="D2779" s="1"/>
    </row>
    <row r="2780" spans="3:4" x14ac:dyDescent="0.25">
      <c r="C2780" s="1"/>
      <c r="D2780" s="1"/>
    </row>
    <row r="2781" spans="3:4" x14ac:dyDescent="0.25">
      <c r="C2781" s="1"/>
      <c r="D2781" s="1"/>
    </row>
    <row r="2782" spans="3:4" x14ac:dyDescent="0.25">
      <c r="C2782" s="1"/>
      <c r="D2782" s="1"/>
    </row>
    <row r="2783" spans="3:4" x14ac:dyDescent="0.25">
      <c r="C2783" s="1"/>
      <c r="D2783" s="1"/>
    </row>
    <row r="2784" spans="3:4" x14ac:dyDescent="0.25">
      <c r="C2784" s="1"/>
      <c r="D2784" s="1"/>
    </row>
    <row r="2785" spans="3:4" x14ac:dyDescent="0.25">
      <c r="C2785" s="1"/>
      <c r="D2785" s="1"/>
    </row>
    <row r="2786" spans="3:4" x14ac:dyDescent="0.25">
      <c r="C2786" s="1"/>
      <c r="D2786" s="1"/>
    </row>
    <row r="2787" spans="3:4" x14ac:dyDescent="0.25">
      <c r="C2787" s="1"/>
      <c r="D2787" s="1"/>
    </row>
    <row r="2788" spans="3:4" x14ac:dyDescent="0.25">
      <c r="C2788" s="1"/>
      <c r="D2788" s="1"/>
    </row>
    <row r="2789" spans="3:4" x14ac:dyDescent="0.25">
      <c r="C2789" s="1"/>
      <c r="D2789" s="1"/>
    </row>
    <row r="2790" spans="3:4" x14ac:dyDescent="0.25">
      <c r="C2790" s="1"/>
      <c r="D2790" s="1"/>
    </row>
    <row r="2791" spans="3:4" x14ac:dyDescent="0.25">
      <c r="C2791" s="1"/>
      <c r="D2791" s="1"/>
    </row>
    <row r="2792" spans="3:4" x14ac:dyDescent="0.25">
      <c r="C2792" s="1"/>
      <c r="D2792" s="1"/>
    </row>
    <row r="2793" spans="3:4" x14ac:dyDescent="0.25">
      <c r="C2793" s="1"/>
      <c r="D2793" s="1"/>
    </row>
    <row r="2794" spans="3:4" x14ac:dyDescent="0.25">
      <c r="C2794" s="1"/>
      <c r="D2794" s="1"/>
    </row>
    <row r="2795" spans="3:4" x14ac:dyDescent="0.25">
      <c r="C2795" s="1"/>
      <c r="D2795" s="1"/>
    </row>
    <row r="2796" spans="3:4" x14ac:dyDescent="0.25">
      <c r="C2796" s="1"/>
      <c r="D2796" s="1"/>
    </row>
    <row r="2797" spans="3:4" x14ac:dyDescent="0.25">
      <c r="C2797" s="1"/>
      <c r="D2797" s="1"/>
    </row>
    <row r="2798" spans="3:4" x14ac:dyDescent="0.25">
      <c r="C2798" s="1"/>
      <c r="D2798" s="1"/>
    </row>
    <row r="2799" spans="3:4" x14ac:dyDescent="0.25">
      <c r="C2799" s="1"/>
      <c r="D2799" s="1"/>
    </row>
    <row r="2800" spans="3:4" x14ac:dyDescent="0.25">
      <c r="C2800" s="1"/>
      <c r="D2800" s="1"/>
    </row>
    <row r="2801" spans="3:4" x14ac:dyDescent="0.25">
      <c r="C2801" s="1"/>
      <c r="D2801" s="1"/>
    </row>
    <row r="2802" spans="3:4" x14ac:dyDescent="0.25">
      <c r="C2802" s="1"/>
      <c r="D2802" s="1"/>
    </row>
    <row r="2803" spans="3:4" x14ac:dyDescent="0.25">
      <c r="C2803" s="1"/>
      <c r="D2803" s="1"/>
    </row>
    <row r="2804" spans="3:4" x14ac:dyDescent="0.25">
      <c r="C2804" s="1"/>
      <c r="D2804" s="1"/>
    </row>
    <row r="2805" spans="3:4" x14ac:dyDescent="0.25">
      <c r="C2805" s="1"/>
      <c r="D2805" s="1"/>
    </row>
    <row r="2806" spans="3:4" x14ac:dyDescent="0.25">
      <c r="C2806" s="1"/>
      <c r="D2806" s="1"/>
    </row>
    <row r="2807" spans="3:4" x14ac:dyDescent="0.25">
      <c r="C2807" s="1"/>
      <c r="D2807" s="1"/>
    </row>
    <row r="2808" spans="3:4" x14ac:dyDescent="0.25">
      <c r="C2808" s="1"/>
      <c r="D2808" s="1"/>
    </row>
    <row r="2809" spans="3:4" x14ac:dyDescent="0.25">
      <c r="C2809" s="1"/>
      <c r="D2809" s="1"/>
    </row>
    <row r="2810" spans="3:4" x14ac:dyDescent="0.25">
      <c r="C2810" s="1"/>
      <c r="D2810" s="1"/>
    </row>
    <row r="2811" spans="3:4" x14ac:dyDescent="0.25">
      <c r="C2811" s="1"/>
      <c r="D2811" s="1"/>
    </row>
    <row r="2812" spans="3:4" x14ac:dyDescent="0.25">
      <c r="C2812" s="1"/>
      <c r="D2812" s="1"/>
    </row>
    <row r="2813" spans="3:4" x14ac:dyDescent="0.25">
      <c r="C2813" s="1"/>
      <c r="D2813" s="1"/>
    </row>
    <row r="2814" spans="3:4" x14ac:dyDescent="0.25">
      <c r="C2814" s="1"/>
      <c r="D2814" s="1"/>
    </row>
    <row r="2815" spans="3:4" x14ac:dyDescent="0.25">
      <c r="C2815" s="1"/>
      <c r="D2815" s="1"/>
    </row>
    <row r="2816" spans="3:4" x14ac:dyDescent="0.25">
      <c r="C2816" s="1"/>
      <c r="D2816" s="1"/>
    </row>
    <row r="2817" spans="3:4" x14ac:dyDescent="0.25">
      <c r="C2817" s="1"/>
      <c r="D2817" s="1"/>
    </row>
    <row r="2818" spans="3:4" x14ac:dyDescent="0.25">
      <c r="C2818" s="1"/>
      <c r="D2818" s="1"/>
    </row>
    <row r="2819" spans="3:4" x14ac:dyDescent="0.25">
      <c r="C2819" s="1"/>
      <c r="D2819" s="1"/>
    </row>
    <row r="2820" spans="3:4" x14ac:dyDescent="0.25">
      <c r="C2820" s="1"/>
      <c r="D2820" s="1"/>
    </row>
    <row r="2821" spans="3:4" x14ac:dyDescent="0.25">
      <c r="C2821" s="1"/>
      <c r="D2821" s="1"/>
    </row>
    <row r="2822" spans="3:4" x14ac:dyDescent="0.25">
      <c r="C2822" s="1"/>
      <c r="D2822" s="1"/>
    </row>
    <row r="2823" spans="3:4" x14ac:dyDescent="0.25">
      <c r="C2823" s="1"/>
      <c r="D2823" s="1"/>
    </row>
    <row r="2824" spans="3:4" x14ac:dyDescent="0.25">
      <c r="C2824" s="1"/>
      <c r="D2824" s="1"/>
    </row>
    <row r="2825" spans="3:4" x14ac:dyDescent="0.25">
      <c r="C2825" s="1"/>
      <c r="D2825" s="1"/>
    </row>
    <row r="2826" spans="3:4" x14ac:dyDescent="0.25">
      <c r="C2826" s="1"/>
      <c r="D2826" s="1"/>
    </row>
    <row r="2827" spans="3:4" x14ac:dyDescent="0.25">
      <c r="C2827" s="1"/>
      <c r="D2827" s="1"/>
    </row>
    <row r="2828" spans="3:4" x14ac:dyDescent="0.25">
      <c r="C2828" s="1"/>
      <c r="D2828" s="1"/>
    </row>
    <row r="2829" spans="3:4" x14ac:dyDescent="0.25">
      <c r="C2829" s="1"/>
      <c r="D2829" s="1"/>
    </row>
    <row r="2830" spans="3:4" x14ac:dyDescent="0.25">
      <c r="C2830" s="1"/>
      <c r="D2830" s="1"/>
    </row>
    <row r="2831" spans="3:4" x14ac:dyDescent="0.25">
      <c r="C2831" s="1"/>
      <c r="D2831" s="1"/>
    </row>
    <row r="2832" spans="3:4" x14ac:dyDescent="0.25">
      <c r="C2832" s="1"/>
      <c r="D2832" s="1"/>
    </row>
    <row r="2833" spans="3:4" x14ac:dyDescent="0.25">
      <c r="C2833" s="1"/>
      <c r="D2833" s="1"/>
    </row>
    <row r="2834" spans="3:4" x14ac:dyDescent="0.25">
      <c r="C2834" s="1"/>
      <c r="D2834" s="1"/>
    </row>
    <row r="2835" spans="3:4" x14ac:dyDescent="0.25">
      <c r="C2835" s="1"/>
      <c r="D2835" s="1"/>
    </row>
    <row r="2836" spans="3:4" x14ac:dyDescent="0.25">
      <c r="C2836" s="1"/>
      <c r="D2836" s="1"/>
    </row>
    <row r="2837" spans="3:4" x14ac:dyDescent="0.25">
      <c r="C2837" s="1"/>
      <c r="D2837" s="1"/>
    </row>
    <row r="2838" spans="3:4" x14ac:dyDescent="0.25">
      <c r="C2838" s="1"/>
      <c r="D2838" s="1"/>
    </row>
    <row r="2839" spans="3:4" x14ac:dyDescent="0.25">
      <c r="C2839" s="1"/>
      <c r="D2839" s="1"/>
    </row>
    <row r="2840" spans="3:4" x14ac:dyDescent="0.25">
      <c r="C2840" s="1"/>
      <c r="D2840" s="1"/>
    </row>
    <row r="2841" spans="3:4" x14ac:dyDescent="0.25">
      <c r="C2841" s="1"/>
      <c r="D2841" s="1"/>
    </row>
    <row r="2842" spans="3:4" x14ac:dyDescent="0.25">
      <c r="C2842" s="1"/>
      <c r="D2842" s="1"/>
    </row>
    <row r="2843" spans="3:4" x14ac:dyDescent="0.25">
      <c r="C2843" s="1"/>
      <c r="D2843" s="1"/>
    </row>
    <row r="2844" spans="3:4" x14ac:dyDescent="0.25">
      <c r="C2844" s="1"/>
      <c r="D2844" s="1"/>
    </row>
    <row r="2845" spans="3:4" x14ac:dyDescent="0.25">
      <c r="C2845" s="1"/>
      <c r="D2845" s="1"/>
    </row>
    <row r="2846" spans="3:4" x14ac:dyDescent="0.25">
      <c r="C2846" s="1"/>
      <c r="D2846" s="1"/>
    </row>
    <row r="2847" spans="3:4" x14ac:dyDescent="0.25">
      <c r="C2847" s="1"/>
      <c r="D2847" s="1"/>
    </row>
    <row r="2848" spans="3:4" x14ac:dyDescent="0.25">
      <c r="C2848" s="1"/>
      <c r="D2848" s="1"/>
    </row>
    <row r="2849" spans="3:4" x14ac:dyDescent="0.25">
      <c r="C2849" s="1"/>
      <c r="D2849" s="1"/>
    </row>
    <row r="2850" spans="3:4" x14ac:dyDescent="0.25">
      <c r="C2850" s="1"/>
      <c r="D2850" s="1"/>
    </row>
    <row r="2851" spans="3:4" x14ac:dyDescent="0.25">
      <c r="C2851" s="1"/>
      <c r="D2851" s="1"/>
    </row>
    <row r="2852" spans="3:4" x14ac:dyDescent="0.25">
      <c r="C2852" s="1"/>
      <c r="D2852" s="1"/>
    </row>
    <row r="2853" spans="3:4" x14ac:dyDescent="0.25">
      <c r="C2853" s="1"/>
      <c r="D2853" s="1"/>
    </row>
    <row r="2854" spans="3:4" x14ac:dyDescent="0.25">
      <c r="C2854" s="1"/>
      <c r="D2854" s="1"/>
    </row>
    <row r="2855" spans="3:4" x14ac:dyDescent="0.25">
      <c r="C2855" s="1"/>
      <c r="D2855" s="1"/>
    </row>
    <row r="2856" spans="3:4" x14ac:dyDescent="0.25">
      <c r="C2856" s="1"/>
      <c r="D2856" s="1"/>
    </row>
    <row r="2857" spans="3:4" x14ac:dyDescent="0.25">
      <c r="C2857" s="1"/>
      <c r="D2857" s="1"/>
    </row>
    <row r="2858" spans="3:4" x14ac:dyDescent="0.25">
      <c r="C2858" s="1"/>
      <c r="D2858" s="1"/>
    </row>
    <row r="2859" spans="3:4" x14ac:dyDescent="0.25">
      <c r="C2859" s="1"/>
      <c r="D2859" s="1"/>
    </row>
    <row r="2860" spans="3:4" x14ac:dyDescent="0.25">
      <c r="C2860" s="1"/>
      <c r="D2860" s="1"/>
    </row>
    <row r="2861" spans="3:4" x14ac:dyDescent="0.25">
      <c r="C2861" s="1"/>
      <c r="D2861" s="1"/>
    </row>
    <row r="2862" spans="3:4" x14ac:dyDescent="0.25">
      <c r="C2862" s="1"/>
      <c r="D2862" s="1"/>
    </row>
    <row r="2863" spans="3:4" x14ac:dyDescent="0.25">
      <c r="C2863" s="1"/>
      <c r="D2863" s="1"/>
    </row>
    <row r="2864" spans="3:4" x14ac:dyDescent="0.25">
      <c r="C2864" s="1"/>
      <c r="D2864" s="1"/>
    </row>
    <row r="2865" spans="3:4" x14ac:dyDescent="0.25">
      <c r="C2865" s="1"/>
      <c r="D2865" s="1"/>
    </row>
    <row r="2866" spans="3:4" x14ac:dyDescent="0.25">
      <c r="C2866" s="1"/>
      <c r="D2866" s="1"/>
    </row>
    <row r="2867" spans="3:4" x14ac:dyDescent="0.25">
      <c r="C2867" s="1"/>
      <c r="D2867" s="1"/>
    </row>
    <row r="2868" spans="3:4" x14ac:dyDescent="0.25">
      <c r="C2868" s="1"/>
      <c r="D2868" s="1"/>
    </row>
    <row r="2869" spans="3:4" x14ac:dyDescent="0.25">
      <c r="C2869" s="1"/>
      <c r="D2869" s="1"/>
    </row>
    <row r="2870" spans="3:4" x14ac:dyDescent="0.25">
      <c r="C2870" s="1"/>
      <c r="D2870" s="1"/>
    </row>
    <row r="2871" spans="3:4" x14ac:dyDescent="0.25">
      <c r="C2871" s="1"/>
      <c r="D2871" s="1"/>
    </row>
    <row r="2872" spans="3:4" x14ac:dyDescent="0.25">
      <c r="C2872" s="1"/>
      <c r="D2872" s="1"/>
    </row>
    <row r="2873" spans="3:4" x14ac:dyDescent="0.25">
      <c r="C2873" s="1"/>
      <c r="D2873" s="1"/>
    </row>
    <row r="2874" spans="3:4" x14ac:dyDescent="0.25">
      <c r="C2874" s="1"/>
      <c r="D2874" s="1"/>
    </row>
    <row r="2875" spans="3:4" x14ac:dyDescent="0.25">
      <c r="C2875" s="1"/>
      <c r="D2875" s="1"/>
    </row>
    <row r="2876" spans="3:4" x14ac:dyDescent="0.25">
      <c r="C2876" s="1"/>
      <c r="D2876" s="1"/>
    </row>
    <row r="2877" spans="3:4" x14ac:dyDescent="0.25">
      <c r="C2877" s="1"/>
      <c r="D2877" s="1"/>
    </row>
    <row r="2878" spans="3:4" x14ac:dyDescent="0.25">
      <c r="C2878" s="1"/>
      <c r="D2878" s="1"/>
    </row>
    <row r="2879" spans="3:4" x14ac:dyDescent="0.25">
      <c r="C2879" s="1"/>
      <c r="D2879" s="1"/>
    </row>
    <row r="2880" spans="3:4" x14ac:dyDescent="0.25">
      <c r="C2880" s="1"/>
      <c r="D2880" s="1"/>
    </row>
    <row r="2881" spans="3:4" x14ac:dyDescent="0.25">
      <c r="C2881" s="1"/>
      <c r="D2881" s="1"/>
    </row>
    <row r="2882" spans="3:4" x14ac:dyDescent="0.25">
      <c r="C2882" s="1"/>
      <c r="D2882" s="1"/>
    </row>
    <row r="2883" spans="3:4" x14ac:dyDescent="0.25">
      <c r="C2883" s="1"/>
      <c r="D2883" s="1"/>
    </row>
    <row r="2884" spans="3:4" x14ac:dyDescent="0.25">
      <c r="C2884" s="1"/>
      <c r="D2884" s="1"/>
    </row>
    <row r="2885" spans="3:4" x14ac:dyDescent="0.25">
      <c r="C2885" s="1"/>
      <c r="D2885" s="1"/>
    </row>
    <row r="2886" spans="3:4" x14ac:dyDescent="0.25">
      <c r="C2886" s="1"/>
      <c r="D2886" s="1"/>
    </row>
    <row r="2887" spans="3:4" x14ac:dyDescent="0.25">
      <c r="C2887" s="1"/>
      <c r="D2887" s="1"/>
    </row>
    <row r="2888" spans="3:4" x14ac:dyDescent="0.25">
      <c r="C2888" s="1"/>
      <c r="D2888" s="1"/>
    </row>
    <row r="2889" spans="3:4" x14ac:dyDescent="0.25">
      <c r="C2889" s="1"/>
      <c r="D2889" s="1"/>
    </row>
    <row r="2890" spans="3:4" x14ac:dyDescent="0.25">
      <c r="C2890" s="1"/>
      <c r="D2890" s="1"/>
    </row>
    <row r="2891" spans="3:4" x14ac:dyDescent="0.25">
      <c r="C2891" s="1"/>
      <c r="D2891" s="1"/>
    </row>
    <row r="2892" spans="3:4" x14ac:dyDescent="0.25">
      <c r="C2892" s="1"/>
      <c r="D2892" s="1"/>
    </row>
    <row r="2893" spans="3:4" x14ac:dyDescent="0.25">
      <c r="C2893" s="1"/>
      <c r="D2893" s="1"/>
    </row>
    <row r="2894" spans="3:4" x14ac:dyDescent="0.25">
      <c r="C2894" s="1"/>
      <c r="D2894" s="1"/>
    </row>
    <row r="2895" spans="3:4" x14ac:dyDescent="0.25">
      <c r="C2895" s="1"/>
      <c r="D2895" s="1"/>
    </row>
    <row r="2896" spans="3:4" x14ac:dyDescent="0.25">
      <c r="C2896" s="1"/>
      <c r="D2896" s="1"/>
    </row>
    <row r="2897" spans="3:4" x14ac:dyDescent="0.25">
      <c r="C2897" s="1"/>
      <c r="D2897" s="1"/>
    </row>
    <row r="2898" spans="3:4" x14ac:dyDescent="0.25">
      <c r="C2898" s="1"/>
      <c r="D2898" s="1"/>
    </row>
    <row r="2899" spans="3:4" x14ac:dyDescent="0.25">
      <c r="C2899" s="1"/>
      <c r="D2899" s="1"/>
    </row>
    <row r="2900" spans="3:4" x14ac:dyDescent="0.25">
      <c r="C2900" s="1"/>
      <c r="D2900" s="1"/>
    </row>
    <row r="2901" spans="3:4" x14ac:dyDescent="0.25">
      <c r="C2901" s="1"/>
      <c r="D2901" s="1"/>
    </row>
    <row r="2902" spans="3:4" x14ac:dyDescent="0.25">
      <c r="C2902" s="1"/>
      <c r="D2902" s="1"/>
    </row>
    <row r="2903" spans="3:4" x14ac:dyDescent="0.25">
      <c r="C2903" s="1"/>
      <c r="D2903" s="1"/>
    </row>
    <row r="2904" spans="3:4" x14ac:dyDescent="0.25">
      <c r="C2904" s="1"/>
      <c r="D2904" s="1"/>
    </row>
    <row r="2905" spans="3:4" x14ac:dyDescent="0.25">
      <c r="C2905" s="1"/>
      <c r="D2905" s="1"/>
    </row>
    <row r="2906" spans="3:4" x14ac:dyDescent="0.25">
      <c r="C2906" s="1"/>
      <c r="D2906" s="1"/>
    </row>
    <row r="2907" spans="3:4" x14ac:dyDescent="0.25">
      <c r="C2907" s="1"/>
      <c r="D2907" s="1"/>
    </row>
    <row r="2908" spans="3:4" x14ac:dyDescent="0.25">
      <c r="C2908" s="1"/>
      <c r="D2908" s="1"/>
    </row>
    <row r="2909" spans="3:4" x14ac:dyDescent="0.25">
      <c r="C2909" s="1"/>
      <c r="D2909" s="1"/>
    </row>
    <row r="2910" spans="3:4" x14ac:dyDescent="0.25">
      <c r="C2910" s="1"/>
      <c r="D2910" s="1"/>
    </row>
    <row r="2911" spans="3:4" x14ac:dyDescent="0.25">
      <c r="C2911" s="1"/>
      <c r="D2911" s="1"/>
    </row>
    <row r="2912" spans="3:4" x14ac:dyDescent="0.25">
      <c r="C2912" s="1"/>
      <c r="D2912" s="1"/>
    </row>
    <row r="2913" spans="3:4" x14ac:dyDescent="0.25">
      <c r="C2913" s="1"/>
      <c r="D2913" s="1"/>
    </row>
    <row r="2914" spans="3:4" x14ac:dyDescent="0.25">
      <c r="C2914" s="1"/>
      <c r="D2914" s="1"/>
    </row>
    <row r="2915" spans="3:4" x14ac:dyDescent="0.25">
      <c r="C2915" s="1"/>
      <c r="D2915" s="1"/>
    </row>
    <row r="2916" spans="3:4" x14ac:dyDescent="0.25">
      <c r="C2916" s="1"/>
      <c r="D2916" s="1"/>
    </row>
    <row r="2917" spans="3:4" x14ac:dyDescent="0.25">
      <c r="C2917" s="1"/>
      <c r="D2917" s="1"/>
    </row>
    <row r="2918" spans="3:4" x14ac:dyDescent="0.25">
      <c r="C2918" s="1"/>
      <c r="D2918" s="1"/>
    </row>
    <row r="2919" spans="3:4" x14ac:dyDescent="0.25">
      <c r="C2919" s="1"/>
      <c r="D2919" s="1"/>
    </row>
    <row r="2920" spans="3:4" x14ac:dyDescent="0.25">
      <c r="C2920" s="1"/>
      <c r="D2920" s="1"/>
    </row>
    <row r="2921" spans="3:4" x14ac:dyDescent="0.25">
      <c r="C2921" s="1"/>
      <c r="D2921" s="1"/>
    </row>
    <row r="2922" spans="3:4" x14ac:dyDescent="0.25">
      <c r="C2922" s="1"/>
      <c r="D2922" s="1"/>
    </row>
    <row r="2923" spans="3:4" x14ac:dyDescent="0.25">
      <c r="C2923" s="1"/>
      <c r="D2923" s="1"/>
    </row>
    <row r="2924" spans="3:4" x14ac:dyDescent="0.25">
      <c r="C2924" s="1"/>
      <c r="D2924" s="1"/>
    </row>
    <row r="2925" spans="3:4" x14ac:dyDescent="0.25">
      <c r="C2925" s="1"/>
      <c r="D2925" s="1"/>
    </row>
    <row r="2926" spans="3:4" x14ac:dyDescent="0.25">
      <c r="C2926" s="1"/>
      <c r="D2926" s="1"/>
    </row>
    <row r="2927" spans="3:4" x14ac:dyDescent="0.25">
      <c r="C2927" s="1"/>
      <c r="D2927" s="1"/>
    </row>
    <row r="2928" spans="3:4" x14ac:dyDescent="0.25">
      <c r="C2928" s="1"/>
      <c r="D2928" s="1"/>
    </row>
    <row r="2929" spans="3:4" x14ac:dyDescent="0.25">
      <c r="C2929" s="1"/>
      <c r="D2929" s="1"/>
    </row>
    <row r="2930" spans="3:4" x14ac:dyDescent="0.25">
      <c r="C2930" s="1"/>
      <c r="D2930" s="1"/>
    </row>
    <row r="2931" spans="3:4" x14ac:dyDescent="0.25">
      <c r="C2931" s="1"/>
      <c r="D2931" s="1"/>
    </row>
    <row r="2932" spans="3:4" x14ac:dyDescent="0.25">
      <c r="C2932" s="1"/>
      <c r="D2932" s="1"/>
    </row>
    <row r="2933" spans="3:4" x14ac:dyDescent="0.25">
      <c r="C2933" s="1"/>
      <c r="D2933" s="1"/>
    </row>
    <row r="2934" spans="3:4" x14ac:dyDescent="0.25">
      <c r="C2934" s="1"/>
      <c r="D2934" s="1"/>
    </row>
    <row r="2935" spans="3:4" x14ac:dyDescent="0.25">
      <c r="C2935" s="1"/>
      <c r="D2935" s="1"/>
    </row>
    <row r="2936" spans="3:4" x14ac:dyDescent="0.25">
      <c r="C2936" s="1"/>
      <c r="D2936" s="1"/>
    </row>
    <row r="2937" spans="3:4" x14ac:dyDescent="0.25">
      <c r="C2937" s="1"/>
      <c r="D2937" s="1"/>
    </row>
    <row r="2938" spans="3:4" x14ac:dyDescent="0.25">
      <c r="C2938" s="1"/>
      <c r="D2938" s="1"/>
    </row>
    <row r="2939" spans="3:4" x14ac:dyDescent="0.25">
      <c r="C2939" s="1"/>
      <c r="D2939" s="1"/>
    </row>
    <row r="2940" spans="3:4" x14ac:dyDescent="0.25">
      <c r="C2940" s="1"/>
      <c r="D2940" s="1"/>
    </row>
    <row r="2941" spans="3:4" x14ac:dyDescent="0.25">
      <c r="C2941" s="1"/>
      <c r="D2941" s="1"/>
    </row>
    <row r="2942" spans="3:4" x14ac:dyDescent="0.25">
      <c r="C2942" s="1"/>
      <c r="D2942" s="1"/>
    </row>
    <row r="2943" spans="3:4" x14ac:dyDescent="0.25">
      <c r="C2943" s="1"/>
      <c r="D2943" s="1"/>
    </row>
    <row r="2944" spans="3:4" x14ac:dyDescent="0.25">
      <c r="C2944" s="1"/>
      <c r="D2944" s="1"/>
    </row>
    <row r="2945" spans="3:4" x14ac:dyDescent="0.25">
      <c r="C2945" s="1"/>
      <c r="D2945" s="1"/>
    </row>
    <row r="2946" spans="3:4" x14ac:dyDescent="0.25">
      <c r="C2946" s="1"/>
      <c r="D2946" s="1"/>
    </row>
    <row r="2947" spans="3:4" x14ac:dyDescent="0.25">
      <c r="C2947" s="1"/>
      <c r="D2947" s="1"/>
    </row>
    <row r="2948" spans="3:4" x14ac:dyDescent="0.25">
      <c r="C2948" s="1"/>
      <c r="D2948" s="1"/>
    </row>
    <row r="2949" spans="3:4" x14ac:dyDescent="0.25">
      <c r="C2949" s="1"/>
      <c r="D2949" s="1"/>
    </row>
    <row r="2950" spans="3:4" x14ac:dyDescent="0.25">
      <c r="C2950" s="1"/>
      <c r="D2950" s="1"/>
    </row>
    <row r="2951" spans="3:4" x14ac:dyDescent="0.25">
      <c r="C2951" s="1"/>
      <c r="D2951" s="1"/>
    </row>
    <row r="2952" spans="3:4" x14ac:dyDescent="0.25">
      <c r="C2952" s="1"/>
      <c r="D2952" s="1"/>
    </row>
    <row r="2953" spans="3:4" x14ac:dyDescent="0.25">
      <c r="C2953" s="1"/>
      <c r="D2953" s="1"/>
    </row>
    <row r="2954" spans="3:4" x14ac:dyDescent="0.25">
      <c r="C2954" s="1"/>
      <c r="D2954" s="1"/>
    </row>
    <row r="2955" spans="3:4" x14ac:dyDescent="0.25">
      <c r="C2955" s="1"/>
      <c r="D2955" s="1"/>
    </row>
    <row r="2956" spans="3:4" x14ac:dyDescent="0.25">
      <c r="C2956" s="1"/>
      <c r="D2956" s="1"/>
    </row>
    <row r="2957" spans="3:4" x14ac:dyDescent="0.25">
      <c r="C2957" s="1"/>
      <c r="D2957" s="1"/>
    </row>
    <row r="2958" spans="3:4" x14ac:dyDescent="0.25">
      <c r="C2958" s="1"/>
      <c r="D2958" s="1"/>
    </row>
    <row r="2959" spans="3:4" x14ac:dyDescent="0.25">
      <c r="C2959" s="1"/>
      <c r="D2959" s="1"/>
    </row>
    <row r="2960" spans="3:4" x14ac:dyDescent="0.25">
      <c r="C2960" s="1"/>
      <c r="D2960" s="1"/>
    </row>
    <row r="2961" spans="3:4" x14ac:dyDescent="0.25">
      <c r="C2961" s="1"/>
      <c r="D2961" s="1"/>
    </row>
    <row r="2962" spans="3:4" x14ac:dyDescent="0.25">
      <c r="C2962" s="1"/>
      <c r="D2962" s="1"/>
    </row>
    <row r="2963" spans="3:4" x14ac:dyDescent="0.25">
      <c r="C2963" s="1"/>
      <c r="D2963" s="1"/>
    </row>
    <row r="2964" spans="3:4" x14ac:dyDescent="0.25">
      <c r="C2964" s="1"/>
      <c r="D2964" s="1"/>
    </row>
    <row r="2965" spans="3:4" x14ac:dyDescent="0.25">
      <c r="C2965" s="1"/>
      <c r="D2965" s="1"/>
    </row>
    <row r="2966" spans="3:4" x14ac:dyDescent="0.25">
      <c r="C2966" s="1"/>
      <c r="D2966" s="1"/>
    </row>
    <row r="2967" spans="3:4" x14ac:dyDescent="0.25">
      <c r="C2967" s="1"/>
      <c r="D2967" s="1"/>
    </row>
    <row r="2968" spans="3:4" x14ac:dyDescent="0.25">
      <c r="C2968" s="1"/>
      <c r="D2968" s="1"/>
    </row>
    <row r="2969" spans="3:4" x14ac:dyDescent="0.25">
      <c r="C2969" s="1"/>
      <c r="D2969" s="1"/>
    </row>
    <row r="2970" spans="3:4" x14ac:dyDescent="0.25">
      <c r="C2970" s="1"/>
      <c r="D2970" s="1"/>
    </row>
    <row r="2971" spans="3:4" x14ac:dyDescent="0.25">
      <c r="C2971" s="1"/>
      <c r="D2971" s="1"/>
    </row>
    <row r="2972" spans="3:4" x14ac:dyDescent="0.25">
      <c r="C2972" s="1"/>
      <c r="D2972" s="1"/>
    </row>
    <row r="2973" spans="3:4" x14ac:dyDescent="0.25">
      <c r="C2973" s="1"/>
      <c r="D2973" s="1"/>
    </row>
    <row r="2974" spans="3:4" x14ac:dyDescent="0.25">
      <c r="C2974" s="1"/>
      <c r="D2974" s="1"/>
    </row>
    <row r="2975" spans="3:4" x14ac:dyDescent="0.25">
      <c r="C2975" s="1"/>
      <c r="D2975" s="1"/>
    </row>
    <row r="2976" spans="3:4" x14ac:dyDescent="0.25">
      <c r="C2976" s="1"/>
      <c r="D2976" s="1"/>
    </row>
    <row r="2977" spans="3:4" x14ac:dyDescent="0.25">
      <c r="C2977" s="1"/>
      <c r="D2977" s="1"/>
    </row>
    <row r="2978" spans="3:4" x14ac:dyDescent="0.25">
      <c r="C2978" s="1"/>
      <c r="D2978" s="1"/>
    </row>
    <row r="2979" spans="3:4" x14ac:dyDescent="0.25">
      <c r="C2979" s="1"/>
      <c r="D2979" s="1"/>
    </row>
    <row r="2980" spans="3:4" x14ac:dyDescent="0.25">
      <c r="C2980" s="1"/>
      <c r="D2980" s="1"/>
    </row>
    <row r="2981" spans="3:4" x14ac:dyDescent="0.25">
      <c r="C2981" s="1"/>
      <c r="D2981" s="1"/>
    </row>
    <row r="2982" spans="3:4" x14ac:dyDescent="0.25">
      <c r="C2982" s="1"/>
      <c r="D2982" s="1"/>
    </row>
    <row r="2983" spans="3:4" x14ac:dyDescent="0.25">
      <c r="C2983" s="1"/>
      <c r="D2983" s="1"/>
    </row>
    <row r="2984" spans="3:4" x14ac:dyDescent="0.25">
      <c r="C2984" s="1"/>
      <c r="D2984" s="1"/>
    </row>
    <row r="2985" spans="3:4" x14ac:dyDescent="0.25">
      <c r="C2985" s="1"/>
      <c r="D2985" s="1"/>
    </row>
    <row r="2986" spans="3:4" x14ac:dyDescent="0.25">
      <c r="C2986" s="1"/>
      <c r="D2986" s="1"/>
    </row>
    <row r="2987" spans="3:4" x14ac:dyDescent="0.25">
      <c r="C2987" s="1"/>
      <c r="D2987" s="1"/>
    </row>
    <row r="2988" spans="3:4" x14ac:dyDescent="0.25">
      <c r="C2988" s="1"/>
      <c r="D2988" s="1"/>
    </row>
    <row r="2989" spans="3:4" x14ac:dyDescent="0.25">
      <c r="C2989" s="1"/>
      <c r="D2989" s="1"/>
    </row>
    <row r="2990" spans="3:4" x14ac:dyDescent="0.25">
      <c r="C2990" s="1"/>
      <c r="D2990" s="1"/>
    </row>
    <row r="2991" spans="3:4" x14ac:dyDescent="0.25">
      <c r="C2991" s="1"/>
      <c r="D2991" s="1"/>
    </row>
    <row r="2992" spans="3:4" x14ac:dyDescent="0.25">
      <c r="C2992" s="1"/>
      <c r="D2992" s="1"/>
    </row>
    <row r="2993" spans="3:4" x14ac:dyDescent="0.25">
      <c r="C2993" s="1"/>
      <c r="D2993" s="1"/>
    </row>
    <row r="2994" spans="3:4" x14ac:dyDescent="0.25">
      <c r="C2994" s="1"/>
      <c r="D2994" s="1"/>
    </row>
    <row r="2995" spans="3:4" x14ac:dyDescent="0.25">
      <c r="C2995" s="1"/>
      <c r="D2995" s="1"/>
    </row>
    <row r="2996" spans="3:4" x14ac:dyDescent="0.25">
      <c r="C2996" s="1"/>
      <c r="D2996" s="1"/>
    </row>
    <row r="2997" spans="3:4" x14ac:dyDescent="0.25">
      <c r="C2997" s="1"/>
      <c r="D2997" s="1"/>
    </row>
    <row r="2998" spans="3:4" x14ac:dyDescent="0.25">
      <c r="C2998" s="1"/>
      <c r="D2998" s="1"/>
    </row>
    <row r="2999" spans="3:4" x14ac:dyDescent="0.25">
      <c r="C2999" s="1"/>
      <c r="D2999" s="1"/>
    </row>
    <row r="3000" spans="3:4" x14ac:dyDescent="0.25">
      <c r="C3000" s="1"/>
      <c r="D3000" s="1"/>
    </row>
    <row r="3001" spans="3:4" x14ac:dyDescent="0.25">
      <c r="C3001" s="1"/>
      <c r="D3001" s="1"/>
    </row>
    <row r="3002" spans="3:4" x14ac:dyDescent="0.25">
      <c r="C3002" s="1"/>
      <c r="D3002" s="1"/>
    </row>
    <row r="3003" spans="3:4" x14ac:dyDescent="0.25">
      <c r="C3003" s="1"/>
      <c r="D3003" s="1"/>
    </row>
    <row r="3004" spans="3:4" x14ac:dyDescent="0.25">
      <c r="C3004" s="1"/>
      <c r="D3004" s="1"/>
    </row>
    <row r="3005" spans="3:4" x14ac:dyDescent="0.25">
      <c r="C3005" s="1"/>
      <c r="D3005" s="1"/>
    </row>
    <row r="3006" spans="3:4" x14ac:dyDescent="0.25">
      <c r="C3006" s="1"/>
      <c r="D3006" s="1"/>
    </row>
    <row r="3007" spans="3:4" x14ac:dyDescent="0.25">
      <c r="C3007" s="1"/>
      <c r="D3007" s="1"/>
    </row>
    <row r="3008" spans="3:4" x14ac:dyDescent="0.25">
      <c r="C3008" s="1"/>
      <c r="D3008" s="1"/>
    </row>
    <row r="3009" spans="3:4" x14ac:dyDescent="0.25">
      <c r="C3009" s="1"/>
      <c r="D3009" s="1"/>
    </row>
    <row r="3010" spans="3:4" x14ac:dyDescent="0.25">
      <c r="C3010" s="1"/>
      <c r="D3010" s="1"/>
    </row>
    <row r="3011" spans="3:4" x14ac:dyDescent="0.25">
      <c r="C3011" s="1"/>
      <c r="D3011" s="1"/>
    </row>
    <row r="3012" spans="3:4" x14ac:dyDescent="0.25">
      <c r="C3012" s="1"/>
      <c r="D3012" s="1"/>
    </row>
    <row r="3013" spans="3:4" x14ac:dyDescent="0.25">
      <c r="C3013" s="1"/>
      <c r="D3013" s="1"/>
    </row>
    <row r="3014" spans="3:4" x14ac:dyDescent="0.25">
      <c r="C3014" s="1"/>
      <c r="D3014" s="1"/>
    </row>
    <row r="3015" spans="3:4" x14ac:dyDescent="0.25">
      <c r="C3015" s="1"/>
      <c r="D3015" s="1"/>
    </row>
    <row r="3016" spans="3:4" x14ac:dyDescent="0.25">
      <c r="C3016" s="1"/>
      <c r="D3016" s="1"/>
    </row>
    <row r="3017" spans="3:4" x14ac:dyDescent="0.25">
      <c r="C3017" s="1"/>
      <c r="D3017" s="1"/>
    </row>
    <row r="3018" spans="3:4" x14ac:dyDescent="0.25">
      <c r="C3018" s="1"/>
      <c r="D3018" s="1"/>
    </row>
    <row r="3019" spans="3:4" x14ac:dyDescent="0.25">
      <c r="C3019" s="1"/>
      <c r="D3019" s="1"/>
    </row>
    <row r="3020" spans="3:4" x14ac:dyDescent="0.25">
      <c r="C3020" s="1"/>
      <c r="D3020" s="1"/>
    </row>
    <row r="3021" spans="3:4" x14ac:dyDescent="0.25">
      <c r="C3021" s="1"/>
      <c r="D3021" s="1"/>
    </row>
    <row r="3022" spans="3:4" x14ac:dyDescent="0.25">
      <c r="C3022" s="1"/>
      <c r="D3022" s="1"/>
    </row>
    <row r="3023" spans="3:4" x14ac:dyDescent="0.25">
      <c r="C3023" s="1"/>
      <c r="D3023" s="1"/>
    </row>
    <row r="3024" spans="3:4" x14ac:dyDescent="0.25">
      <c r="C3024" s="1"/>
      <c r="D3024" s="1"/>
    </row>
    <row r="3025" spans="3:4" x14ac:dyDescent="0.25">
      <c r="C3025" s="1"/>
      <c r="D3025" s="1"/>
    </row>
    <row r="3026" spans="3:4" x14ac:dyDescent="0.25">
      <c r="C3026" s="1"/>
      <c r="D3026" s="1"/>
    </row>
    <row r="3027" spans="3:4" x14ac:dyDescent="0.25">
      <c r="C3027" s="1"/>
      <c r="D3027" s="1"/>
    </row>
    <row r="3028" spans="3:4" x14ac:dyDescent="0.25">
      <c r="C3028" s="1"/>
      <c r="D3028" s="1"/>
    </row>
    <row r="3029" spans="3:4" x14ac:dyDescent="0.25">
      <c r="C3029" s="1"/>
      <c r="D3029" s="1"/>
    </row>
    <row r="3030" spans="3:4" x14ac:dyDescent="0.25">
      <c r="C3030" s="1"/>
      <c r="D3030" s="1"/>
    </row>
    <row r="3031" spans="3:4" x14ac:dyDescent="0.25">
      <c r="C3031" s="1"/>
      <c r="D3031" s="1"/>
    </row>
    <row r="3032" spans="3:4" x14ac:dyDescent="0.25">
      <c r="C3032" s="1"/>
      <c r="D3032" s="1"/>
    </row>
    <row r="3033" spans="3:4" x14ac:dyDescent="0.25">
      <c r="C3033" s="1"/>
      <c r="D3033" s="1"/>
    </row>
    <row r="3034" spans="3:4" x14ac:dyDescent="0.25">
      <c r="C3034" s="1"/>
      <c r="D3034" s="1"/>
    </row>
    <row r="3035" spans="3:4" x14ac:dyDescent="0.25">
      <c r="C3035" s="1"/>
      <c r="D3035" s="1"/>
    </row>
    <row r="3036" spans="3:4" x14ac:dyDescent="0.25">
      <c r="C3036" s="1"/>
      <c r="D3036" s="1"/>
    </row>
    <row r="3037" spans="3:4" x14ac:dyDescent="0.25">
      <c r="C3037" s="1"/>
      <c r="D3037" s="1"/>
    </row>
    <row r="3038" spans="3:4" x14ac:dyDescent="0.25">
      <c r="C3038" s="1"/>
      <c r="D3038" s="1"/>
    </row>
    <row r="3039" spans="3:4" x14ac:dyDescent="0.25">
      <c r="C3039" s="1"/>
      <c r="D3039" s="1"/>
    </row>
    <row r="3040" spans="3:4" x14ac:dyDescent="0.25">
      <c r="C3040" s="1"/>
      <c r="D3040" s="1"/>
    </row>
    <row r="3041" spans="3:4" x14ac:dyDescent="0.25">
      <c r="C3041" s="1"/>
      <c r="D3041" s="1"/>
    </row>
    <row r="3042" spans="3:4" x14ac:dyDescent="0.25">
      <c r="C3042" s="1"/>
      <c r="D3042" s="1"/>
    </row>
    <row r="3043" spans="3:4" x14ac:dyDescent="0.25">
      <c r="C3043" s="1"/>
      <c r="D3043" s="1"/>
    </row>
    <row r="3044" spans="3:4" x14ac:dyDescent="0.25">
      <c r="C3044" s="1"/>
      <c r="D3044" s="1"/>
    </row>
    <row r="3045" spans="3:4" x14ac:dyDescent="0.25">
      <c r="C3045" s="1"/>
      <c r="D3045" s="1"/>
    </row>
    <row r="3046" spans="3:4" x14ac:dyDescent="0.25">
      <c r="C3046" s="1"/>
      <c r="D3046" s="1"/>
    </row>
    <row r="3047" spans="3:4" x14ac:dyDescent="0.25">
      <c r="C3047" s="1"/>
      <c r="D3047" s="1"/>
    </row>
    <row r="3048" spans="3:4" x14ac:dyDescent="0.25">
      <c r="C3048" s="1"/>
      <c r="D3048" s="1"/>
    </row>
    <row r="3049" spans="3:4" x14ac:dyDescent="0.25">
      <c r="C3049" s="1"/>
      <c r="D3049" s="1"/>
    </row>
    <row r="3050" spans="3:4" x14ac:dyDescent="0.25">
      <c r="C3050" s="1"/>
      <c r="D3050" s="1"/>
    </row>
    <row r="3051" spans="3:4" x14ac:dyDescent="0.25">
      <c r="C3051" s="1"/>
      <c r="D3051" s="1"/>
    </row>
    <row r="3052" spans="3:4" x14ac:dyDescent="0.25">
      <c r="C3052" s="1"/>
      <c r="D3052" s="1"/>
    </row>
    <row r="3053" spans="3:4" x14ac:dyDescent="0.25">
      <c r="C3053" s="1"/>
      <c r="D3053" s="1"/>
    </row>
    <row r="3054" spans="3:4" x14ac:dyDescent="0.25">
      <c r="C3054" s="1"/>
      <c r="D3054" s="1"/>
    </row>
    <row r="3055" spans="3:4" x14ac:dyDescent="0.25">
      <c r="C3055" s="1"/>
      <c r="D3055" s="1"/>
    </row>
    <row r="3056" spans="3:4" x14ac:dyDescent="0.25">
      <c r="C3056" s="1"/>
      <c r="D3056" s="1"/>
    </row>
    <row r="3057" spans="3:4" x14ac:dyDescent="0.25">
      <c r="C3057" s="1"/>
      <c r="D3057" s="1"/>
    </row>
    <row r="3058" spans="3:4" x14ac:dyDescent="0.25">
      <c r="C3058" s="1"/>
      <c r="D3058" s="1"/>
    </row>
    <row r="3059" spans="3:4" x14ac:dyDescent="0.25">
      <c r="C3059" s="1"/>
      <c r="D3059" s="1"/>
    </row>
    <row r="3060" spans="3:4" x14ac:dyDescent="0.25">
      <c r="C3060" s="1"/>
      <c r="D3060" s="1"/>
    </row>
    <row r="3061" spans="3:4" x14ac:dyDescent="0.25">
      <c r="C3061" s="1"/>
      <c r="D3061" s="1"/>
    </row>
    <row r="3062" spans="3:4" x14ac:dyDescent="0.25">
      <c r="C3062" s="1"/>
      <c r="D3062" s="1"/>
    </row>
    <row r="3063" spans="3:4" x14ac:dyDescent="0.25">
      <c r="C3063" s="1"/>
      <c r="D3063" s="1"/>
    </row>
    <row r="3064" spans="3:4" x14ac:dyDescent="0.25">
      <c r="C3064" s="1"/>
      <c r="D3064" s="1"/>
    </row>
    <row r="3065" spans="3:4" x14ac:dyDescent="0.25">
      <c r="C3065" s="1"/>
      <c r="D3065" s="1"/>
    </row>
    <row r="3066" spans="3:4" x14ac:dyDescent="0.25">
      <c r="C3066" s="1"/>
      <c r="D3066" s="1"/>
    </row>
    <row r="3067" spans="3:4" x14ac:dyDescent="0.25">
      <c r="C3067" s="1"/>
      <c r="D3067" s="1"/>
    </row>
    <row r="3068" spans="3:4" x14ac:dyDescent="0.25">
      <c r="C3068" s="1"/>
      <c r="D3068" s="1"/>
    </row>
    <row r="3069" spans="3:4" x14ac:dyDescent="0.25">
      <c r="C3069" s="1"/>
      <c r="D3069" s="1"/>
    </row>
    <row r="3070" spans="3:4" x14ac:dyDescent="0.25">
      <c r="C3070" s="1"/>
      <c r="D3070" s="1"/>
    </row>
    <row r="3071" spans="3:4" x14ac:dyDescent="0.25">
      <c r="C3071" s="1"/>
      <c r="D3071" s="1"/>
    </row>
    <row r="3072" spans="3:4" x14ac:dyDescent="0.25">
      <c r="C3072" s="1"/>
      <c r="D3072" s="1"/>
    </row>
    <row r="3073" spans="3:4" x14ac:dyDescent="0.25">
      <c r="C3073" s="1"/>
      <c r="D3073" s="1"/>
    </row>
    <row r="3074" spans="3:4" x14ac:dyDescent="0.25">
      <c r="C3074" s="1"/>
      <c r="D3074" s="1"/>
    </row>
    <row r="3075" spans="3:4" x14ac:dyDescent="0.25">
      <c r="C3075" s="1"/>
      <c r="D3075" s="1"/>
    </row>
    <row r="3076" spans="3:4" x14ac:dyDescent="0.25">
      <c r="C3076" s="1"/>
      <c r="D3076" s="1"/>
    </row>
    <row r="3077" spans="3:4" x14ac:dyDescent="0.25">
      <c r="C3077" s="1"/>
      <c r="D3077" s="1"/>
    </row>
    <row r="3078" spans="3:4" x14ac:dyDescent="0.25">
      <c r="C3078" s="1"/>
      <c r="D3078" s="1"/>
    </row>
    <row r="3079" spans="3:4" x14ac:dyDescent="0.25">
      <c r="C3079" s="1"/>
      <c r="D3079" s="1"/>
    </row>
    <row r="3080" spans="3:4" x14ac:dyDescent="0.25">
      <c r="C3080" s="1"/>
      <c r="D3080" s="1"/>
    </row>
    <row r="3081" spans="3:4" x14ac:dyDescent="0.25">
      <c r="C3081" s="1"/>
      <c r="D3081" s="1"/>
    </row>
    <row r="3082" spans="3:4" x14ac:dyDescent="0.25">
      <c r="C3082" s="1"/>
      <c r="D3082" s="1"/>
    </row>
    <row r="3083" spans="3:4" x14ac:dyDescent="0.25">
      <c r="C3083" s="1"/>
      <c r="D3083" s="1"/>
    </row>
    <row r="3084" spans="3:4" x14ac:dyDescent="0.25">
      <c r="C3084" s="1"/>
      <c r="D3084" s="1"/>
    </row>
    <row r="3085" spans="3:4" x14ac:dyDescent="0.25">
      <c r="C3085" s="1"/>
      <c r="D3085" s="1"/>
    </row>
    <row r="3086" spans="3:4" x14ac:dyDescent="0.25">
      <c r="C3086" s="1"/>
      <c r="D3086" s="1"/>
    </row>
    <row r="3087" spans="3:4" x14ac:dyDescent="0.25">
      <c r="C3087" s="1"/>
      <c r="D3087" s="1"/>
    </row>
    <row r="3088" spans="3:4" x14ac:dyDescent="0.25">
      <c r="C3088" s="1"/>
      <c r="D3088" s="1"/>
    </row>
    <row r="3089" spans="3:4" x14ac:dyDescent="0.25">
      <c r="C3089" s="1"/>
      <c r="D3089" s="1"/>
    </row>
    <row r="3090" spans="3:4" x14ac:dyDescent="0.25">
      <c r="C3090" s="1"/>
      <c r="D3090" s="1"/>
    </row>
    <row r="3091" spans="3:4" x14ac:dyDescent="0.25">
      <c r="C3091" s="1"/>
      <c r="D3091" s="1"/>
    </row>
    <row r="3092" spans="3:4" x14ac:dyDescent="0.25">
      <c r="C3092" s="1"/>
      <c r="D3092" s="1"/>
    </row>
    <row r="3093" spans="3:4" x14ac:dyDescent="0.25">
      <c r="C3093" s="1"/>
      <c r="D3093" s="1"/>
    </row>
    <row r="3094" spans="3:4" x14ac:dyDescent="0.25">
      <c r="C3094" s="1"/>
      <c r="D3094" s="1"/>
    </row>
    <row r="3095" spans="3:4" x14ac:dyDescent="0.25">
      <c r="C3095" s="1"/>
      <c r="D3095" s="1"/>
    </row>
    <row r="3096" spans="3:4" x14ac:dyDescent="0.25">
      <c r="C3096" s="1"/>
      <c r="D3096" s="1"/>
    </row>
    <row r="3097" spans="3:4" x14ac:dyDescent="0.25">
      <c r="C3097" s="1"/>
      <c r="D3097" s="1"/>
    </row>
    <row r="3098" spans="3:4" x14ac:dyDescent="0.25">
      <c r="C3098" s="1"/>
      <c r="D3098" s="1"/>
    </row>
    <row r="3099" spans="3:4" x14ac:dyDescent="0.25">
      <c r="C3099" s="1"/>
      <c r="D3099" s="1"/>
    </row>
    <row r="3100" spans="3:4" x14ac:dyDescent="0.25">
      <c r="C3100" s="1"/>
      <c r="D3100" s="1"/>
    </row>
    <row r="3101" spans="3:4" x14ac:dyDescent="0.25">
      <c r="C3101" s="1"/>
      <c r="D3101" s="1"/>
    </row>
    <row r="3102" spans="3:4" x14ac:dyDescent="0.25">
      <c r="C3102" s="1"/>
      <c r="D3102" s="1"/>
    </row>
    <row r="3103" spans="3:4" x14ac:dyDescent="0.25">
      <c r="C3103" s="1"/>
      <c r="D3103" s="1"/>
    </row>
    <row r="3104" spans="3:4" x14ac:dyDescent="0.25">
      <c r="C3104" s="1"/>
      <c r="D3104" s="1"/>
    </row>
    <row r="3105" spans="3:4" x14ac:dyDescent="0.25">
      <c r="C3105" s="1"/>
      <c r="D3105" s="1"/>
    </row>
    <row r="3106" spans="3:4" x14ac:dyDescent="0.25">
      <c r="C3106" s="1"/>
      <c r="D3106" s="1"/>
    </row>
    <row r="3107" spans="3:4" x14ac:dyDescent="0.25">
      <c r="C3107" s="1"/>
      <c r="D3107" s="1"/>
    </row>
    <row r="3108" spans="3:4" x14ac:dyDescent="0.25">
      <c r="C3108" s="1"/>
      <c r="D3108" s="1"/>
    </row>
    <row r="3109" spans="3:4" x14ac:dyDescent="0.25">
      <c r="C3109" s="1"/>
      <c r="D3109" s="1"/>
    </row>
    <row r="3110" spans="3:4" x14ac:dyDescent="0.25">
      <c r="C3110" s="1"/>
      <c r="D3110" s="1"/>
    </row>
    <row r="3111" spans="3:4" x14ac:dyDescent="0.25">
      <c r="C3111" s="1"/>
      <c r="D3111" s="1"/>
    </row>
    <row r="3112" spans="3:4" x14ac:dyDescent="0.25">
      <c r="C3112" s="1"/>
      <c r="D3112" s="1"/>
    </row>
    <row r="3113" spans="3:4" x14ac:dyDescent="0.25">
      <c r="C3113" s="1"/>
      <c r="D3113" s="1"/>
    </row>
    <row r="3114" spans="3:4" x14ac:dyDescent="0.25">
      <c r="C3114" s="1"/>
      <c r="D3114" s="1"/>
    </row>
    <row r="3115" spans="3:4" x14ac:dyDescent="0.25">
      <c r="C3115" s="1"/>
      <c r="D3115" s="1"/>
    </row>
    <row r="3116" spans="3:4" x14ac:dyDescent="0.25">
      <c r="C3116" s="1"/>
      <c r="D3116" s="1"/>
    </row>
    <row r="3117" spans="3:4" x14ac:dyDescent="0.25">
      <c r="C3117" s="1"/>
      <c r="D3117" s="1"/>
    </row>
    <row r="3118" spans="3:4" x14ac:dyDescent="0.25">
      <c r="C3118" s="1"/>
      <c r="D3118" s="1"/>
    </row>
    <row r="3119" spans="3:4" x14ac:dyDescent="0.25">
      <c r="C3119" s="1"/>
      <c r="D3119" s="1"/>
    </row>
    <row r="3120" spans="3:4" x14ac:dyDescent="0.25">
      <c r="C3120" s="1"/>
      <c r="D3120" s="1"/>
    </row>
    <row r="3121" spans="3:4" x14ac:dyDescent="0.25">
      <c r="C3121" s="1"/>
      <c r="D3121" s="1"/>
    </row>
    <row r="3122" spans="3:4" x14ac:dyDescent="0.25">
      <c r="C3122" s="1"/>
      <c r="D3122" s="1"/>
    </row>
    <row r="3123" spans="3:4" x14ac:dyDescent="0.25">
      <c r="C3123" s="1"/>
      <c r="D3123" s="1"/>
    </row>
    <row r="3124" spans="3:4" x14ac:dyDescent="0.25">
      <c r="C3124" s="1"/>
      <c r="D3124" s="1"/>
    </row>
    <row r="3125" spans="3:4" x14ac:dyDescent="0.25">
      <c r="C3125" s="1"/>
      <c r="D3125" s="1"/>
    </row>
    <row r="3126" spans="3:4" x14ac:dyDescent="0.25">
      <c r="C3126" s="1"/>
      <c r="D3126" s="1"/>
    </row>
    <row r="3127" spans="3:4" x14ac:dyDescent="0.25">
      <c r="C3127" s="1"/>
      <c r="D3127" s="1"/>
    </row>
    <row r="3128" spans="3:4" x14ac:dyDescent="0.25">
      <c r="C3128" s="1"/>
      <c r="D3128" s="1"/>
    </row>
    <row r="3129" spans="3:4" x14ac:dyDescent="0.25">
      <c r="C3129" s="1"/>
      <c r="D3129" s="1"/>
    </row>
    <row r="3130" spans="3:4" x14ac:dyDescent="0.25">
      <c r="C3130" s="1"/>
      <c r="D3130" s="1"/>
    </row>
    <row r="3131" spans="3:4" x14ac:dyDescent="0.25">
      <c r="C3131" s="1"/>
      <c r="D3131" s="1"/>
    </row>
    <row r="3132" spans="3:4" x14ac:dyDescent="0.25">
      <c r="C3132" s="1"/>
      <c r="D3132" s="1"/>
    </row>
    <row r="3133" spans="3:4" x14ac:dyDescent="0.25">
      <c r="C3133" s="1"/>
      <c r="D3133" s="1"/>
    </row>
    <row r="3134" spans="3:4" x14ac:dyDescent="0.25">
      <c r="C3134" s="1"/>
      <c r="D3134" s="1"/>
    </row>
    <row r="3135" spans="3:4" x14ac:dyDescent="0.25">
      <c r="C3135" s="1"/>
      <c r="D3135" s="1"/>
    </row>
    <row r="3136" spans="3:4" x14ac:dyDescent="0.25">
      <c r="C3136" s="1"/>
      <c r="D3136" s="1"/>
    </row>
    <row r="3137" spans="3:4" x14ac:dyDescent="0.25">
      <c r="C3137" s="1"/>
      <c r="D3137" s="1"/>
    </row>
    <row r="3138" spans="3:4" x14ac:dyDescent="0.25">
      <c r="C3138" s="1"/>
      <c r="D3138" s="1"/>
    </row>
    <row r="3139" spans="3:4" x14ac:dyDescent="0.25">
      <c r="C3139" s="1"/>
      <c r="D3139" s="1"/>
    </row>
    <row r="3140" spans="3:4" x14ac:dyDescent="0.25">
      <c r="C3140" s="1"/>
      <c r="D3140" s="1"/>
    </row>
    <row r="3141" spans="3:4" x14ac:dyDescent="0.25">
      <c r="C3141" s="1"/>
      <c r="D3141" s="1"/>
    </row>
    <row r="3142" spans="3:4" x14ac:dyDescent="0.25">
      <c r="C3142" s="1"/>
      <c r="D3142" s="1"/>
    </row>
    <row r="3143" spans="3:4" x14ac:dyDescent="0.25">
      <c r="C3143" s="1"/>
      <c r="D3143" s="1"/>
    </row>
    <row r="3144" spans="3:4" x14ac:dyDescent="0.25">
      <c r="C3144" s="1"/>
      <c r="D3144" s="1"/>
    </row>
    <row r="3145" spans="3:4" x14ac:dyDescent="0.25">
      <c r="C3145" s="1"/>
      <c r="D3145" s="1"/>
    </row>
    <row r="3146" spans="3:4" x14ac:dyDescent="0.25">
      <c r="C3146" s="1"/>
      <c r="D3146" s="1"/>
    </row>
    <row r="3147" spans="3:4" x14ac:dyDescent="0.25">
      <c r="C3147" s="1"/>
      <c r="D3147" s="1"/>
    </row>
    <row r="3148" spans="3:4" x14ac:dyDescent="0.25">
      <c r="C3148" s="1"/>
      <c r="D3148" s="1"/>
    </row>
    <row r="3149" spans="3:4" x14ac:dyDescent="0.25">
      <c r="C3149" s="1"/>
      <c r="D3149" s="1"/>
    </row>
    <row r="3150" spans="3:4" x14ac:dyDescent="0.25">
      <c r="C3150" s="1"/>
      <c r="D3150" s="1"/>
    </row>
    <row r="3151" spans="3:4" x14ac:dyDescent="0.25">
      <c r="C3151" s="1"/>
      <c r="D3151" s="1"/>
    </row>
    <row r="3152" spans="3:4" x14ac:dyDescent="0.25">
      <c r="C3152" s="1"/>
      <c r="D3152" s="1"/>
    </row>
    <row r="3153" spans="3:4" x14ac:dyDescent="0.25">
      <c r="C3153" s="1"/>
      <c r="D3153" s="1"/>
    </row>
    <row r="3154" spans="3:4" x14ac:dyDescent="0.25">
      <c r="C3154" s="1"/>
      <c r="D3154" s="1"/>
    </row>
    <row r="3155" spans="3:4" x14ac:dyDescent="0.25">
      <c r="C3155" s="1"/>
      <c r="D3155" s="1"/>
    </row>
    <row r="3156" spans="3:4" x14ac:dyDescent="0.25">
      <c r="C3156" s="1"/>
      <c r="D3156" s="1"/>
    </row>
    <row r="3157" spans="3:4" x14ac:dyDescent="0.25">
      <c r="C3157" s="1"/>
      <c r="D3157" s="1"/>
    </row>
    <row r="3158" spans="3:4" x14ac:dyDescent="0.25">
      <c r="C3158" s="1"/>
      <c r="D3158" s="1"/>
    </row>
    <row r="3159" spans="3:4" x14ac:dyDescent="0.25">
      <c r="C3159" s="1"/>
      <c r="D3159" s="1"/>
    </row>
    <row r="3160" spans="3:4" x14ac:dyDescent="0.25">
      <c r="C3160" s="1"/>
      <c r="D3160" s="1"/>
    </row>
    <row r="3161" spans="3:4" x14ac:dyDescent="0.25">
      <c r="C3161" s="1"/>
      <c r="D3161" s="1"/>
    </row>
    <row r="3162" spans="3:4" x14ac:dyDescent="0.25">
      <c r="C3162" s="1"/>
      <c r="D3162" s="1"/>
    </row>
    <row r="3163" spans="3:4" x14ac:dyDescent="0.25">
      <c r="C3163" s="1"/>
      <c r="D3163" s="1"/>
    </row>
    <row r="3164" spans="3:4" x14ac:dyDescent="0.25">
      <c r="C3164" s="1"/>
      <c r="D3164" s="1"/>
    </row>
    <row r="3165" spans="3:4" x14ac:dyDescent="0.25">
      <c r="C3165" s="1"/>
      <c r="D3165" s="1"/>
    </row>
    <row r="3166" spans="3:4" x14ac:dyDescent="0.25">
      <c r="C3166" s="1"/>
      <c r="D3166" s="1"/>
    </row>
    <row r="3167" spans="3:4" x14ac:dyDescent="0.25">
      <c r="C3167" s="1"/>
      <c r="D3167" s="1"/>
    </row>
    <row r="3168" spans="3:4" x14ac:dyDescent="0.25">
      <c r="C3168" s="1"/>
      <c r="D3168" s="1"/>
    </row>
    <row r="3169" spans="3:4" x14ac:dyDescent="0.25">
      <c r="C3169" s="1"/>
      <c r="D3169" s="1"/>
    </row>
    <row r="3170" spans="3:4" x14ac:dyDescent="0.25">
      <c r="C3170" s="1"/>
      <c r="D3170" s="1"/>
    </row>
    <row r="3171" spans="3:4" x14ac:dyDescent="0.25">
      <c r="C3171" s="1"/>
      <c r="D3171" s="1"/>
    </row>
    <row r="3172" spans="3:4" x14ac:dyDescent="0.25">
      <c r="C3172" s="1"/>
      <c r="D3172" s="1"/>
    </row>
    <row r="3173" spans="3:4" x14ac:dyDescent="0.25">
      <c r="C3173" s="1"/>
      <c r="D3173" s="1"/>
    </row>
    <row r="3174" spans="3:4" x14ac:dyDescent="0.25">
      <c r="C3174" s="1"/>
      <c r="D3174" s="1"/>
    </row>
    <row r="3175" spans="3:4" x14ac:dyDescent="0.25">
      <c r="C3175" s="1"/>
      <c r="D3175" s="1"/>
    </row>
    <row r="3176" spans="3:4" x14ac:dyDescent="0.25">
      <c r="C3176" s="1"/>
      <c r="D3176" s="1"/>
    </row>
    <row r="3177" spans="3:4" x14ac:dyDescent="0.25">
      <c r="C3177" s="1"/>
      <c r="D3177" s="1"/>
    </row>
    <row r="3178" spans="3:4" x14ac:dyDescent="0.25">
      <c r="C3178" s="1"/>
      <c r="D3178" s="1"/>
    </row>
    <row r="3179" spans="3:4" x14ac:dyDescent="0.25">
      <c r="C3179" s="1"/>
      <c r="D3179" s="1"/>
    </row>
    <row r="3180" spans="3:4" x14ac:dyDescent="0.25">
      <c r="C3180" s="1"/>
      <c r="D3180" s="1"/>
    </row>
    <row r="3181" spans="3:4" x14ac:dyDescent="0.25">
      <c r="C3181" s="1"/>
      <c r="D3181" s="1"/>
    </row>
    <row r="3182" spans="3:4" x14ac:dyDescent="0.25">
      <c r="C3182" s="1"/>
      <c r="D3182" s="1"/>
    </row>
    <row r="3183" spans="3:4" x14ac:dyDescent="0.25">
      <c r="C3183" s="1"/>
      <c r="D3183" s="1"/>
    </row>
    <row r="3184" spans="3:4" x14ac:dyDescent="0.25">
      <c r="C3184" s="1"/>
      <c r="D3184" s="1"/>
    </row>
    <row r="3185" spans="3:4" x14ac:dyDescent="0.25">
      <c r="C3185" s="1"/>
      <c r="D3185" s="1"/>
    </row>
    <row r="3186" spans="3:4" x14ac:dyDescent="0.25">
      <c r="C3186" s="1"/>
      <c r="D3186" s="1"/>
    </row>
    <row r="3187" spans="3:4" x14ac:dyDescent="0.25">
      <c r="C3187" s="1"/>
      <c r="D3187" s="1"/>
    </row>
    <row r="3188" spans="3:4" x14ac:dyDescent="0.25">
      <c r="C3188" s="1"/>
      <c r="D3188" s="1"/>
    </row>
    <row r="3189" spans="3:4" x14ac:dyDescent="0.25">
      <c r="C3189" s="1"/>
      <c r="D3189" s="1"/>
    </row>
    <row r="3190" spans="3:4" x14ac:dyDescent="0.25">
      <c r="C3190" s="1"/>
      <c r="D3190" s="1"/>
    </row>
    <row r="3191" spans="3:4" x14ac:dyDescent="0.25">
      <c r="C3191" s="1"/>
      <c r="D3191" s="1"/>
    </row>
    <row r="3192" spans="3:4" x14ac:dyDescent="0.25">
      <c r="C3192" s="1"/>
      <c r="D3192" s="1"/>
    </row>
    <row r="3193" spans="3:4" x14ac:dyDescent="0.25">
      <c r="C3193" s="1"/>
      <c r="D3193" s="1"/>
    </row>
    <row r="3194" spans="3:4" x14ac:dyDescent="0.25">
      <c r="C3194" s="1"/>
      <c r="D3194" s="1"/>
    </row>
    <row r="3195" spans="3:4" x14ac:dyDescent="0.25">
      <c r="C3195" s="1"/>
      <c r="D3195" s="1"/>
    </row>
    <row r="3196" spans="3:4" x14ac:dyDescent="0.25">
      <c r="C3196" s="1"/>
      <c r="D3196" s="1"/>
    </row>
    <row r="3197" spans="3:4" x14ac:dyDescent="0.25">
      <c r="C3197" s="1"/>
      <c r="D3197" s="1"/>
    </row>
    <row r="3198" spans="3:4" x14ac:dyDescent="0.25">
      <c r="C3198" s="1"/>
      <c r="D3198" s="1"/>
    </row>
    <row r="3199" spans="3:4" x14ac:dyDescent="0.25">
      <c r="C3199" s="1"/>
      <c r="D3199" s="1"/>
    </row>
    <row r="3200" spans="3:4" x14ac:dyDescent="0.25">
      <c r="C3200" s="1"/>
      <c r="D3200" s="1"/>
    </row>
    <row r="3201" spans="3:4" x14ac:dyDescent="0.25">
      <c r="C3201" s="1"/>
      <c r="D3201" s="1"/>
    </row>
    <row r="3202" spans="3:4" x14ac:dyDescent="0.25">
      <c r="C3202" s="1"/>
      <c r="D3202" s="1"/>
    </row>
    <row r="3203" spans="3:4" x14ac:dyDescent="0.25">
      <c r="C3203" s="1"/>
      <c r="D3203" s="1"/>
    </row>
    <row r="3204" spans="3:4" x14ac:dyDescent="0.25">
      <c r="C3204" s="1"/>
      <c r="D3204" s="1"/>
    </row>
    <row r="3205" spans="3:4" x14ac:dyDescent="0.25">
      <c r="C3205" s="1"/>
      <c r="D3205" s="1"/>
    </row>
    <row r="3206" spans="3:4" x14ac:dyDescent="0.25">
      <c r="C3206" s="1"/>
      <c r="D3206" s="1"/>
    </row>
    <row r="3207" spans="3:4" x14ac:dyDescent="0.25">
      <c r="C3207" s="1"/>
      <c r="D3207" s="1"/>
    </row>
    <row r="3208" spans="3:4" x14ac:dyDescent="0.25">
      <c r="C3208" s="1"/>
      <c r="D3208" s="1"/>
    </row>
    <row r="3209" spans="3:4" x14ac:dyDescent="0.25">
      <c r="C3209" s="1"/>
      <c r="D3209" s="1"/>
    </row>
    <row r="3210" spans="3:4" x14ac:dyDescent="0.25">
      <c r="C3210" s="1"/>
      <c r="D3210" s="1"/>
    </row>
    <row r="3211" spans="3:4" x14ac:dyDescent="0.25">
      <c r="C3211" s="1"/>
      <c r="D3211" s="1"/>
    </row>
    <row r="3212" spans="3:4" x14ac:dyDescent="0.25">
      <c r="C3212" s="1"/>
      <c r="D3212" s="1"/>
    </row>
    <row r="3213" spans="3:4" x14ac:dyDescent="0.25">
      <c r="C3213" s="1"/>
      <c r="D3213" s="1"/>
    </row>
    <row r="3214" spans="3:4" x14ac:dyDescent="0.25">
      <c r="C3214" s="1"/>
      <c r="D3214" s="1"/>
    </row>
    <row r="3215" spans="3:4" x14ac:dyDescent="0.25">
      <c r="C3215" s="1"/>
      <c r="D3215" s="1"/>
    </row>
    <row r="3216" spans="3:4" x14ac:dyDescent="0.25">
      <c r="C3216" s="1"/>
      <c r="D3216" s="1"/>
    </row>
    <row r="3217" spans="3:4" x14ac:dyDescent="0.25">
      <c r="C3217" s="1"/>
      <c r="D3217" s="1"/>
    </row>
    <row r="3218" spans="3:4" x14ac:dyDescent="0.25">
      <c r="C3218" s="1"/>
      <c r="D3218" s="1"/>
    </row>
    <row r="3219" spans="3:4" x14ac:dyDescent="0.25">
      <c r="C3219" s="1"/>
      <c r="D3219" s="1"/>
    </row>
    <row r="3220" spans="3:4" x14ac:dyDescent="0.25">
      <c r="C3220" s="1"/>
      <c r="D3220" s="1"/>
    </row>
    <row r="3221" spans="3:4" x14ac:dyDescent="0.25">
      <c r="C3221" s="1"/>
      <c r="D3221" s="1"/>
    </row>
    <row r="3222" spans="3:4" x14ac:dyDescent="0.25">
      <c r="C3222" s="1"/>
      <c r="D3222" s="1"/>
    </row>
    <row r="3223" spans="3:4" x14ac:dyDescent="0.25">
      <c r="C3223" s="1"/>
      <c r="D3223" s="1"/>
    </row>
    <row r="3224" spans="3:4" x14ac:dyDescent="0.25">
      <c r="C3224" s="1"/>
      <c r="D3224" s="1"/>
    </row>
    <row r="3225" spans="3:4" x14ac:dyDescent="0.25">
      <c r="C3225" s="1"/>
      <c r="D3225" s="1"/>
    </row>
    <row r="3226" spans="3:4" x14ac:dyDescent="0.25">
      <c r="C3226" s="1"/>
      <c r="D3226" s="1"/>
    </row>
    <row r="3227" spans="3:4" x14ac:dyDescent="0.25">
      <c r="C3227" s="1"/>
      <c r="D3227" s="1"/>
    </row>
    <row r="3228" spans="3:4" x14ac:dyDescent="0.25">
      <c r="C3228" s="1"/>
      <c r="D3228" s="1"/>
    </row>
    <row r="3229" spans="3:4" x14ac:dyDescent="0.25">
      <c r="C3229" s="1"/>
      <c r="D3229" s="1"/>
    </row>
    <row r="3230" spans="3:4" x14ac:dyDescent="0.25">
      <c r="C3230" s="1"/>
      <c r="D3230" s="1"/>
    </row>
    <row r="3231" spans="3:4" x14ac:dyDescent="0.25">
      <c r="C3231" s="1"/>
      <c r="D3231" s="1"/>
    </row>
    <row r="3232" spans="3:4" x14ac:dyDescent="0.25">
      <c r="C3232" s="1"/>
      <c r="D3232" s="1"/>
    </row>
    <row r="3233" spans="3:4" x14ac:dyDescent="0.25">
      <c r="C3233" s="1"/>
      <c r="D3233" s="1"/>
    </row>
    <row r="3234" spans="3:4" x14ac:dyDescent="0.25">
      <c r="C3234" s="1"/>
      <c r="D3234" s="1"/>
    </row>
    <row r="3235" spans="3:4" x14ac:dyDescent="0.25">
      <c r="C3235" s="1"/>
      <c r="D3235" s="1"/>
    </row>
    <row r="3236" spans="3:4" x14ac:dyDescent="0.25">
      <c r="C3236" s="1"/>
      <c r="D3236" s="1"/>
    </row>
    <row r="3237" spans="3:4" x14ac:dyDescent="0.25">
      <c r="C3237" s="1"/>
      <c r="D3237" s="1"/>
    </row>
    <row r="3238" spans="3:4" x14ac:dyDescent="0.25">
      <c r="C3238" s="1"/>
      <c r="D3238" s="1"/>
    </row>
    <row r="3239" spans="3:4" x14ac:dyDescent="0.25">
      <c r="C3239" s="1"/>
      <c r="D3239" s="1"/>
    </row>
    <row r="3240" spans="3:4" x14ac:dyDescent="0.25">
      <c r="C3240" s="1"/>
      <c r="D3240" s="1"/>
    </row>
    <row r="3241" spans="3:4" x14ac:dyDescent="0.25">
      <c r="C3241" s="1"/>
      <c r="D3241" s="1"/>
    </row>
    <row r="3242" spans="3:4" x14ac:dyDescent="0.25">
      <c r="C3242" s="1"/>
      <c r="D3242" s="1"/>
    </row>
    <row r="3243" spans="3:4" x14ac:dyDescent="0.25">
      <c r="C3243" s="1"/>
      <c r="D3243" s="1"/>
    </row>
    <row r="3244" spans="3:4" x14ac:dyDescent="0.25">
      <c r="C3244" s="1"/>
      <c r="D3244" s="1"/>
    </row>
    <row r="3245" spans="3:4" x14ac:dyDescent="0.25">
      <c r="C3245" s="1"/>
      <c r="D3245" s="1"/>
    </row>
    <row r="3246" spans="3:4" x14ac:dyDescent="0.25">
      <c r="C3246" s="1"/>
      <c r="D3246" s="1"/>
    </row>
    <row r="3247" spans="3:4" x14ac:dyDescent="0.25">
      <c r="C3247" s="1"/>
      <c r="D3247" s="1"/>
    </row>
    <row r="3248" spans="3:4" x14ac:dyDescent="0.25">
      <c r="C3248" s="1"/>
      <c r="D3248" s="1"/>
    </row>
    <row r="3249" spans="3:4" x14ac:dyDescent="0.25">
      <c r="C3249" s="1"/>
      <c r="D3249" s="1"/>
    </row>
    <row r="3250" spans="3:4" x14ac:dyDescent="0.25">
      <c r="C3250" s="1"/>
      <c r="D3250" s="1"/>
    </row>
    <row r="3251" spans="3:4" x14ac:dyDescent="0.25">
      <c r="C3251" s="1"/>
      <c r="D3251" s="1"/>
    </row>
    <row r="3252" spans="3:4" x14ac:dyDescent="0.25">
      <c r="C3252" s="1"/>
      <c r="D3252" s="1"/>
    </row>
    <row r="3253" spans="3:4" x14ac:dyDescent="0.25">
      <c r="C3253" s="1"/>
      <c r="D3253" s="1"/>
    </row>
    <row r="3254" spans="3:4" x14ac:dyDescent="0.25">
      <c r="C3254" s="1"/>
      <c r="D3254" s="1"/>
    </row>
    <row r="3255" spans="3:4" x14ac:dyDescent="0.25">
      <c r="C3255" s="1"/>
      <c r="D3255" s="1"/>
    </row>
    <row r="3256" spans="3:4" x14ac:dyDescent="0.25">
      <c r="C3256" s="1"/>
      <c r="D3256" s="1"/>
    </row>
    <row r="3257" spans="3:4" x14ac:dyDescent="0.25">
      <c r="C3257" s="1"/>
      <c r="D3257" s="1"/>
    </row>
    <row r="3258" spans="3:4" x14ac:dyDescent="0.25">
      <c r="C3258" s="1"/>
      <c r="D3258" s="1"/>
    </row>
    <row r="3259" spans="3:4" x14ac:dyDescent="0.25">
      <c r="C3259" s="1"/>
      <c r="D3259" s="1"/>
    </row>
    <row r="3260" spans="3:4" x14ac:dyDescent="0.25">
      <c r="C3260" s="1"/>
      <c r="D3260" s="1"/>
    </row>
    <row r="3261" spans="3:4" x14ac:dyDescent="0.25">
      <c r="C3261" s="1"/>
      <c r="D3261" s="1"/>
    </row>
    <row r="3262" spans="3:4" x14ac:dyDescent="0.25">
      <c r="C3262" s="1"/>
      <c r="D3262" s="1"/>
    </row>
    <row r="3263" spans="3:4" x14ac:dyDescent="0.25">
      <c r="C3263" s="1"/>
      <c r="D3263" s="1"/>
    </row>
    <row r="3264" spans="3:4" x14ac:dyDescent="0.25">
      <c r="C3264" s="1"/>
      <c r="D3264" s="1"/>
    </row>
    <row r="3265" spans="3:4" x14ac:dyDescent="0.25">
      <c r="C3265" s="1"/>
      <c r="D3265" s="1"/>
    </row>
    <row r="3266" spans="3:4" x14ac:dyDescent="0.25">
      <c r="C3266" s="1"/>
      <c r="D3266" s="1"/>
    </row>
    <row r="3267" spans="3:4" x14ac:dyDescent="0.25">
      <c r="C3267" s="1"/>
      <c r="D3267" s="1"/>
    </row>
    <row r="3268" spans="3:4" x14ac:dyDescent="0.25">
      <c r="C3268" s="1"/>
      <c r="D3268" s="1"/>
    </row>
    <row r="3269" spans="3:4" x14ac:dyDescent="0.25">
      <c r="C3269" s="1"/>
      <c r="D3269" s="1"/>
    </row>
    <row r="3270" spans="3:4" x14ac:dyDescent="0.25">
      <c r="C3270" s="1"/>
      <c r="D3270" s="1"/>
    </row>
    <row r="3271" spans="3:4" x14ac:dyDescent="0.25">
      <c r="C3271" s="1"/>
      <c r="D3271" s="1"/>
    </row>
    <row r="3272" spans="3:4" x14ac:dyDescent="0.25">
      <c r="C3272" s="1"/>
      <c r="D3272" s="1"/>
    </row>
    <row r="3273" spans="3:4" x14ac:dyDescent="0.25">
      <c r="C3273" s="1"/>
      <c r="D3273" s="1"/>
    </row>
    <row r="3274" spans="3:4" x14ac:dyDescent="0.25">
      <c r="C3274" s="1"/>
      <c r="D3274" s="1"/>
    </row>
    <row r="3275" spans="3:4" x14ac:dyDescent="0.25">
      <c r="C3275" s="1"/>
      <c r="D3275" s="1"/>
    </row>
    <row r="3276" spans="3:4" x14ac:dyDescent="0.25">
      <c r="C3276" s="1"/>
      <c r="D3276" s="1"/>
    </row>
    <row r="3277" spans="3:4" x14ac:dyDescent="0.25">
      <c r="C3277" s="1"/>
      <c r="D3277" s="1"/>
    </row>
    <row r="3278" spans="3:4" x14ac:dyDescent="0.25">
      <c r="C3278" s="1"/>
      <c r="D3278" s="1"/>
    </row>
    <row r="3279" spans="3:4" x14ac:dyDescent="0.25">
      <c r="C3279" s="1"/>
      <c r="D3279" s="1"/>
    </row>
    <row r="3280" spans="3:4" x14ac:dyDescent="0.25">
      <c r="C3280" s="1"/>
      <c r="D3280" s="1"/>
    </row>
    <row r="3281" spans="3:4" x14ac:dyDescent="0.25">
      <c r="C3281" s="1"/>
      <c r="D3281" s="1"/>
    </row>
    <row r="3282" spans="3:4" x14ac:dyDescent="0.25">
      <c r="C3282" s="1"/>
      <c r="D3282" s="1"/>
    </row>
    <row r="3283" spans="3:4" x14ac:dyDescent="0.25">
      <c r="C3283" s="1"/>
      <c r="D3283" s="1"/>
    </row>
    <row r="3284" spans="3:4" x14ac:dyDescent="0.25">
      <c r="C3284" s="1"/>
      <c r="D3284" s="1"/>
    </row>
    <row r="3285" spans="3:4" x14ac:dyDescent="0.25">
      <c r="C3285" s="1"/>
      <c r="D3285" s="1"/>
    </row>
    <row r="3286" spans="3:4" x14ac:dyDescent="0.25">
      <c r="C3286" s="1"/>
      <c r="D3286" s="1"/>
    </row>
    <row r="3287" spans="3:4" x14ac:dyDescent="0.25">
      <c r="C3287" s="1"/>
      <c r="D3287" s="1"/>
    </row>
    <row r="3288" spans="3:4" x14ac:dyDescent="0.25">
      <c r="C3288" s="1"/>
      <c r="D3288" s="1"/>
    </row>
    <row r="3289" spans="3:4" x14ac:dyDescent="0.25">
      <c r="C3289" s="1"/>
      <c r="D3289" s="1"/>
    </row>
    <row r="3290" spans="3:4" x14ac:dyDescent="0.25">
      <c r="C3290" s="1"/>
      <c r="D3290" s="1"/>
    </row>
    <row r="3291" spans="3:4" x14ac:dyDescent="0.25">
      <c r="C3291" s="1"/>
      <c r="D3291" s="1"/>
    </row>
    <row r="3292" spans="3:4" x14ac:dyDescent="0.25">
      <c r="C3292" s="1"/>
      <c r="D3292" s="1"/>
    </row>
    <row r="3293" spans="3:4" x14ac:dyDescent="0.25">
      <c r="C3293" s="1"/>
      <c r="D3293" s="1"/>
    </row>
    <row r="3294" spans="3:4" x14ac:dyDescent="0.25">
      <c r="C3294" s="1"/>
      <c r="D3294" s="1"/>
    </row>
    <row r="3295" spans="3:4" x14ac:dyDescent="0.25">
      <c r="C3295" s="1"/>
      <c r="D3295" s="1"/>
    </row>
    <row r="3296" spans="3:4" x14ac:dyDescent="0.25">
      <c r="C3296" s="1"/>
      <c r="D3296" s="1"/>
    </row>
    <row r="3297" spans="3:4" x14ac:dyDescent="0.25">
      <c r="C3297" s="1"/>
      <c r="D3297" s="1"/>
    </row>
    <row r="3298" spans="3:4" x14ac:dyDescent="0.25">
      <c r="C3298" s="1"/>
      <c r="D3298" s="1"/>
    </row>
    <row r="3299" spans="3:4" x14ac:dyDescent="0.25">
      <c r="C3299" s="1"/>
      <c r="D3299" s="1"/>
    </row>
    <row r="3300" spans="3:4" x14ac:dyDescent="0.25">
      <c r="C3300" s="1"/>
      <c r="D3300" s="1"/>
    </row>
    <row r="3301" spans="3:4" x14ac:dyDescent="0.25">
      <c r="C3301" s="1"/>
      <c r="D3301" s="1"/>
    </row>
    <row r="3302" spans="3:4" x14ac:dyDescent="0.25">
      <c r="C3302" s="1"/>
      <c r="D3302" s="1"/>
    </row>
    <row r="3303" spans="3:4" x14ac:dyDescent="0.25">
      <c r="C3303" s="1"/>
      <c r="D3303" s="1"/>
    </row>
    <row r="3304" spans="3:4" x14ac:dyDescent="0.25">
      <c r="C3304" s="1"/>
      <c r="D3304" s="1"/>
    </row>
    <row r="3305" spans="3:4" x14ac:dyDescent="0.25">
      <c r="C3305" s="1"/>
      <c r="D3305" s="1"/>
    </row>
    <row r="3306" spans="3:4" x14ac:dyDescent="0.25">
      <c r="C3306" s="1"/>
      <c r="D3306" s="1"/>
    </row>
    <row r="3307" spans="3:4" x14ac:dyDescent="0.25">
      <c r="C3307" s="1"/>
      <c r="D3307" s="1"/>
    </row>
    <row r="3308" spans="3:4" x14ac:dyDescent="0.25">
      <c r="C3308" s="1"/>
      <c r="D3308" s="1"/>
    </row>
    <row r="3309" spans="3:4" x14ac:dyDescent="0.25">
      <c r="C3309" s="1"/>
      <c r="D3309" s="1"/>
    </row>
    <row r="3310" spans="3:4" x14ac:dyDescent="0.25">
      <c r="C3310" s="1"/>
      <c r="D3310" s="1"/>
    </row>
    <row r="3311" spans="3:4" x14ac:dyDescent="0.25">
      <c r="C3311" s="1"/>
      <c r="D3311" s="1"/>
    </row>
    <row r="3312" spans="3:4" x14ac:dyDescent="0.25">
      <c r="C3312" s="1"/>
      <c r="D3312" s="1"/>
    </row>
    <row r="3313" spans="3:4" x14ac:dyDescent="0.25">
      <c r="C3313" s="1"/>
      <c r="D3313" s="1"/>
    </row>
    <row r="3314" spans="3:4" x14ac:dyDescent="0.25">
      <c r="C3314" s="1"/>
      <c r="D3314" s="1"/>
    </row>
    <row r="3315" spans="3:4" x14ac:dyDescent="0.25">
      <c r="C3315" s="1"/>
      <c r="D3315" s="1"/>
    </row>
    <row r="3316" spans="3:4" x14ac:dyDescent="0.25">
      <c r="C3316" s="1"/>
      <c r="D3316" s="1"/>
    </row>
    <row r="3317" spans="3:4" x14ac:dyDescent="0.25">
      <c r="C3317" s="1"/>
      <c r="D3317" s="1"/>
    </row>
    <row r="3318" spans="3:4" x14ac:dyDescent="0.25">
      <c r="C3318" s="1"/>
      <c r="D3318" s="1"/>
    </row>
    <row r="3319" spans="3:4" x14ac:dyDescent="0.25">
      <c r="C3319" s="1"/>
      <c r="D3319" s="1"/>
    </row>
    <row r="3320" spans="3:4" x14ac:dyDescent="0.25">
      <c r="C3320" s="1"/>
      <c r="D3320" s="1"/>
    </row>
    <row r="3321" spans="3:4" x14ac:dyDescent="0.25">
      <c r="C3321" s="1"/>
      <c r="D3321" s="1"/>
    </row>
    <row r="3322" spans="3:4" x14ac:dyDescent="0.25">
      <c r="C3322" s="1"/>
      <c r="D3322" s="1"/>
    </row>
    <row r="3323" spans="3:4" x14ac:dyDescent="0.25">
      <c r="C3323" s="1"/>
      <c r="D3323" s="1"/>
    </row>
    <row r="3324" spans="3:4" x14ac:dyDescent="0.25">
      <c r="C3324" s="1"/>
      <c r="D3324" s="1"/>
    </row>
    <row r="3325" spans="3:4" x14ac:dyDescent="0.25">
      <c r="C3325" s="1"/>
      <c r="D3325" s="1"/>
    </row>
    <row r="3326" spans="3:4" x14ac:dyDescent="0.25">
      <c r="C3326" s="1"/>
      <c r="D3326" s="1"/>
    </row>
    <row r="3327" spans="3:4" x14ac:dyDescent="0.25">
      <c r="C3327" s="1"/>
      <c r="D3327" s="1"/>
    </row>
    <row r="3328" spans="3:4" x14ac:dyDescent="0.25">
      <c r="C3328" s="1"/>
      <c r="D3328" s="1"/>
    </row>
    <row r="3329" spans="3:4" x14ac:dyDescent="0.25">
      <c r="C3329" s="1"/>
      <c r="D3329" s="1"/>
    </row>
    <row r="3330" spans="3:4" x14ac:dyDescent="0.25">
      <c r="C3330" s="1"/>
      <c r="D3330" s="1"/>
    </row>
    <row r="3331" spans="3:4" x14ac:dyDescent="0.25">
      <c r="C3331" s="1"/>
      <c r="D3331" s="1"/>
    </row>
    <row r="3332" spans="3:4" x14ac:dyDescent="0.25">
      <c r="C3332" s="1"/>
      <c r="D3332" s="1"/>
    </row>
    <row r="3333" spans="3:4" x14ac:dyDescent="0.25">
      <c r="C3333" s="1"/>
      <c r="D3333" s="1"/>
    </row>
    <row r="3334" spans="3:4" x14ac:dyDescent="0.25">
      <c r="C3334" s="1"/>
      <c r="D3334" s="1"/>
    </row>
    <row r="3335" spans="3:4" x14ac:dyDescent="0.25">
      <c r="C3335" s="1"/>
      <c r="D3335" s="1"/>
    </row>
    <row r="3336" spans="3:4" x14ac:dyDescent="0.25">
      <c r="C3336" s="1"/>
      <c r="D3336" s="1"/>
    </row>
    <row r="3337" spans="3:4" x14ac:dyDescent="0.25">
      <c r="C3337" s="1"/>
      <c r="D3337" s="1"/>
    </row>
    <row r="3338" spans="3:4" x14ac:dyDescent="0.25">
      <c r="C3338" s="1"/>
      <c r="D3338" s="1"/>
    </row>
    <row r="3339" spans="3:4" x14ac:dyDescent="0.25">
      <c r="C3339" s="1"/>
      <c r="D3339" s="1"/>
    </row>
    <row r="3340" spans="3:4" x14ac:dyDescent="0.25">
      <c r="C3340" s="1"/>
      <c r="D3340" s="1"/>
    </row>
    <row r="3341" spans="3:4" x14ac:dyDescent="0.25">
      <c r="C3341" s="1"/>
      <c r="D3341" s="1"/>
    </row>
    <row r="3342" spans="3:4" x14ac:dyDescent="0.25">
      <c r="C3342" s="1"/>
      <c r="D3342" s="1"/>
    </row>
    <row r="3343" spans="3:4" x14ac:dyDescent="0.25">
      <c r="C3343" s="1"/>
      <c r="D3343" s="1"/>
    </row>
    <row r="3344" spans="3:4" x14ac:dyDescent="0.25">
      <c r="C3344" s="1"/>
      <c r="D3344" s="1"/>
    </row>
    <row r="3345" spans="3:4" x14ac:dyDescent="0.25">
      <c r="C3345" s="1"/>
      <c r="D3345" s="1"/>
    </row>
    <row r="3346" spans="3:4" x14ac:dyDescent="0.25">
      <c r="C3346" s="1"/>
      <c r="D3346" s="1"/>
    </row>
    <row r="3347" spans="3:4" x14ac:dyDescent="0.25">
      <c r="C3347" s="1"/>
      <c r="D3347" s="1"/>
    </row>
    <row r="3348" spans="3:4" x14ac:dyDescent="0.25">
      <c r="C3348" s="1"/>
      <c r="D3348" s="1"/>
    </row>
    <row r="3349" spans="3:4" x14ac:dyDescent="0.25">
      <c r="C3349" s="1"/>
      <c r="D3349" s="1"/>
    </row>
    <row r="3350" spans="3:4" x14ac:dyDescent="0.25">
      <c r="C3350" s="1"/>
      <c r="D3350" s="1"/>
    </row>
    <row r="3351" spans="3:4" x14ac:dyDescent="0.25">
      <c r="C3351" s="1"/>
      <c r="D3351" s="1"/>
    </row>
    <row r="3352" spans="3:4" x14ac:dyDescent="0.25">
      <c r="C3352" s="1"/>
      <c r="D3352" s="1"/>
    </row>
    <row r="3353" spans="3:4" x14ac:dyDescent="0.25">
      <c r="C3353" s="1"/>
      <c r="D3353" s="1"/>
    </row>
    <row r="3354" spans="3:4" x14ac:dyDescent="0.25">
      <c r="C3354" s="1"/>
      <c r="D3354" s="1"/>
    </row>
    <row r="3355" spans="3:4" x14ac:dyDescent="0.25">
      <c r="C3355" s="1"/>
      <c r="D3355" s="1"/>
    </row>
    <row r="3356" spans="3:4" x14ac:dyDescent="0.25">
      <c r="C3356" s="1"/>
      <c r="D3356" s="1"/>
    </row>
    <row r="3357" spans="3:4" x14ac:dyDescent="0.25">
      <c r="C3357" s="1"/>
      <c r="D3357" s="1"/>
    </row>
    <row r="3358" spans="3:4" x14ac:dyDescent="0.25">
      <c r="C3358" s="1"/>
      <c r="D3358" s="1"/>
    </row>
    <row r="3359" spans="3:4" x14ac:dyDescent="0.25">
      <c r="C3359" s="1"/>
      <c r="D3359" s="1"/>
    </row>
    <row r="3360" spans="3:4" x14ac:dyDescent="0.25">
      <c r="C3360" s="1"/>
      <c r="D3360" s="1"/>
    </row>
    <row r="3361" spans="3:4" x14ac:dyDescent="0.25">
      <c r="C3361" s="1"/>
      <c r="D3361" s="1"/>
    </row>
    <row r="3362" spans="3:4" x14ac:dyDescent="0.25">
      <c r="C3362" s="1"/>
      <c r="D3362" s="1"/>
    </row>
    <row r="3363" spans="3:4" x14ac:dyDescent="0.25">
      <c r="C3363" s="1"/>
      <c r="D3363" s="1"/>
    </row>
    <row r="3364" spans="3:4" x14ac:dyDescent="0.25">
      <c r="C3364" s="1"/>
      <c r="D3364" s="1"/>
    </row>
    <row r="3365" spans="3:4" x14ac:dyDescent="0.25">
      <c r="C3365" s="1"/>
      <c r="D3365" s="1"/>
    </row>
    <row r="3366" spans="3:4" x14ac:dyDescent="0.25">
      <c r="C3366" s="1"/>
      <c r="D3366" s="1"/>
    </row>
    <row r="3367" spans="3:4" x14ac:dyDescent="0.25">
      <c r="C3367" s="1"/>
      <c r="D3367" s="1"/>
    </row>
    <row r="3368" spans="3:4" x14ac:dyDescent="0.25">
      <c r="C3368" s="1"/>
      <c r="D3368" s="1"/>
    </row>
    <row r="3369" spans="3:4" x14ac:dyDescent="0.25">
      <c r="C3369" s="1"/>
      <c r="D3369" s="1"/>
    </row>
    <row r="3370" spans="3:4" x14ac:dyDescent="0.25">
      <c r="C3370" s="1"/>
      <c r="D3370" s="1"/>
    </row>
    <row r="3371" spans="3:4" x14ac:dyDescent="0.25">
      <c r="C3371" s="1"/>
      <c r="D3371" s="1"/>
    </row>
    <row r="3372" spans="3:4" x14ac:dyDescent="0.25">
      <c r="C3372" s="1"/>
      <c r="D3372" s="1"/>
    </row>
    <row r="3373" spans="3:4" x14ac:dyDescent="0.25">
      <c r="C3373" s="1"/>
      <c r="D3373" s="1"/>
    </row>
    <row r="3374" spans="3:4" x14ac:dyDescent="0.25">
      <c r="C3374" s="1"/>
      <c r="D3374" s="1"/>
    </row>
    <row r="3375" spans="3:4" x14ac:dyDescent="0.25">
      <c r="C3375" s="1"/>
      <c r="D3375" s="1"/>
    </row>
    <row r="3376" spans="3:4" x14ac:dyDescent="0.25">
      <c r="C3376" s="1"/>
      <c r="D3376" s="1"/>
    </row>
    <row r="3377" spans="3:4" x14ac:dyDescent="0.25">
      <c r="C3377" s="1"/>
      <c r="D3377" s="1"/>
    </row>
    <row r="3378" spans="3:4" x14ac:dyDescent="0.25">
      <c r="C3378" s="1"/>
      <c r="D3378" s="1"/>
    </row>
    <row r="3379" spans="3:4" x14ac:dyDescent="0.25">
      <c r="C3379" s="1"/>
      <c r="D3379" s="1"/>
    </row>
    <row r="3380" spans="3:4" x14ac:dyDescent="0.25">
      <c r="C3380" s="1"/>
      <c r="D3380" s="1"/>
    </row>
    <row r="3381" spans="3:4" x14ac:dyDescent="0.25">
      <c r="C3381" s="1"/>
      <c r="D3381" s="1"/>
    </row>
    <row r="3382" spans="3:4" x14ac:dyDescent="0.25">
      <c r="C3382" s="1"/>
      <c r="D3382" s="1"/>
    </row>
    <row r="3383" spans="3:4" x14ac:dyDescent="0.25">
      <c r="C3383" s="1"/>
      <c r="D3383" s="1"/>
    </row>
    <row r="3384" spans="3:4" x14ac:dyDescent="0.25">
      <c r="C3384" s="1"/>
      <c r="D3384" s="1"/>
    </row>
    <row r="3385" spans="3:4" x14ac:dyDescent="0.25">
      <c r="C3385" s="1"/>
      <c r="D3385" s="1"/>
    </row>
    <row r="3386" spans="3:4" x14ac:dyDescent="0.25">
      <c r="C3386" s="1"/>
      <c r="D3386" s="1"/>
    </row>
    <row r="3387" spans="3:4" x14ac:dyDescent="0.25">
      <c r="C3387" s="1"/>
      <c r="D3387" s="1"/>
    </row>
    <row r="3388" spans="3:4" x14ac:dyDescent="0.25">
      <c r="C3388" s="1"/>
      <c r="D3388" s="1"/>
    </row>
    <row r="3389" spans="3:4" x14ac:dyDescent="0.25">
      <c r="C3389" s="1"/>
      <c r="D3389" s="1"/>
    </row>
    <row r="3390" spans="3:4" x14ac:dyDescent="0.25">
      <c r="C3390" s="1"/>
      <c r="D3390" s="1"/>
    </row>
    <row r="3391" spans="3:4" x14ac:dyDescent="0.25">
      <c r="C3391" s="1"/>
      <c r="D3391" s="1"/>
    </row>
    <row r="3392" spans="3:4" x14ac:dyDescent="0.25">
      <c r="C3392" s="1"/>
      <c r="D3392" s="1"/>
    </row>
    <row r="3393" spans="3:4" x14ac:dyDescent="0.25">
      <c r="C3393" s="1"/>
      <c r="D3393" s="1"/>
    </row>
    <row r="3394" spans="3:4" x14ac:dyDescent="0.25">
      <c r="C3394" s="1"/>
      <c r="D3394" s="1"/>
    </row>
    <row r="3395" spans="3:4" x14ac:dyDescent="0.25">
      <c r="C3395" s="1"/>
      <c r="D3395" s="1"/>
    </row>
    <row r="3396" spans="3:4" x14ac:dyDescent="0.25">
      <c r="C3396" s="1"/>
      <c r="D3396" s="1"/>
    </row>
    <row r="3397" spans="3:4" x14ac:dyDescent="0.25">
      <c r="C3397" s="1"/>
      <c r="D3397" s="1"/>
    </row>
    <row r="3398" spans="3:4" x14ac:dyDescent="0.25">
      <c r="C3398" s="1"/>
      <c r="D3398" s="1"/>
    </row>
    <row r="3399" spans="3:4" x14ac:dyDescent="0.25">
      <c r="C3399" s="1"/>
      <c r="D3399" s="1"/>
    </row>
    <row r="3400" spans="3:4" x14ac:dyDescent="0.25">
      <c r="C3400" s="1"/>
      <c r="D3400" s="1"/>
    </row>
    <row r="3401" spans="3:4" x14ac:dyDescent="0.25">
      <c r="C3401" s="1"/>
      <c r="D3401" s="1"/>
    </row>
    <row r="3402" spans="3:4" x14ac:dyDescent="0.25">
      <c r="C3402" s="1"/>
      <c r="D3402" s="1"/>
    </row>
    <row r="3403" spans="3:4" x14ac:dyDescent="0.25">
      <c r="C3403" s="1"/>
      <c r="D3403" s="1"/>
    </row>
    <row r="3404" spans="3:4" x14ac:dyDescent="0.25">
      <c r="C3404" s="1"/>
      <c r="D3404" s="1"/>
    </row>
    <row r="3405" spans="3:4" x14ac:dyDescent="0.25">
      <c r="C3405" s="1"/>
      <c r="D3405" s="1"/>
    </row>
    <row r="3406" spans="3:4" x14ac:dyDescent="0.25">
      <c r="C3406" s="1"/>
      <c r="D3406" s="1"/>
    </row>
    <row r="3407" spans="3:4" x14ac:dyDescent="0.25">
      <c r="C3407" s="1"/>
      <c r="D3407" s="1"/>
    </row>
    <row r="3408" spans="3:4" x14ac:dyDescent="0.25">
      <c r="C3408" s="1"/>
      <c r="D3408" s="1"/>
    </row>
    <row r="3409" spans="3:4" x14ac:dyDescent="0.25">
      <c r="C3409" s="1"/>
      <c r="D3409" s="1"/>
    </row>
    <row r="3410" spans="3:4" x14ac:dyDescent="0.25">
      <c r="C3410" s="1"/>
      <c r="D3410" s="1"/>
    </row>
    <row r="3411" spans="3:4" x14ac:dyDescent="0.25">
      <c r="C3411" s="1"/>
      <c r="D3411" s="1"/>
    </row>
    <row r="3412" spans="3:4" x14ac:dyDescent="0.25">
      <c r="C3412" s="1"/>
      <c r="D3412" s="1"/>
    </row>
    <row r="3413" spans="3:4" x14ac:dyDescent="0.25">
      <c r="C3413" s="1"/>
      <c r="D3413" s="1"/>
    </row>
    <row r="3414" spans="3:4" x14ac:dyDescent="0.25">
      <c r="C3414" s="1"/>
      <c r="D3414" s="1"/>
    </row>
    <row r="3415" spans="3:4" x14ac:dyDescent="0.25">
      <c r="C3415" s="1"/>
      <c r="D3415" s="1"/>
    </row>
    <row r="3416" spans="3:4" x14ac:dyDescent="0.25">
      <c r="C3416" s="1"/>
      <c r="D3416" s="1"/>
    </row>
    <row r="3417" spans="3:4" x14ac:dyDescent="0.25">
      <c r="C3417" s="1"/>
      <c r="D3417" s="1"/>
    </row>
    <row r="3418" spans="3:4" x14ac:dyDescent="0.25">
      <c r="C3418" s="1"/>
      <c r="D3418" s="1"/>
    </row>
    <row r="3419" spans="3:4" x14ac:dyDescent="0.25">
      <c r="C3419" s="1"/>
      <c r="D3419" s="1"/>
    </row>
    <row r="3420" spans="3:4" x14ac:dyDescent="0.25">
      <c r="C3420" s="1"/>
      <c r="D3420" s="1"/>
    </row>
    <row r="3421" spans="3:4" x14ac:dyDescent="0.25">
      <c r="C3421" s="1"/>
      <c r="D3421" s="1"/>
    </row>
    <row r="3422" spans="3:4" x14ac:dyDescent="0.25">
      <c r="C3422" s="1"/>
      <c r="D3422" s="1"/>
    </row>
    <row r="3423" spans="3:4" x14ac:dyDescent="0.25">
      <c r="C3423" s="1"/>
      <c r="D3423" s="1"/>
    </row>
    <row r="3424" spans="3:4" x14ac:dyDescent="0.25">
      <c r="C3424" s="1"/>
      <c r="D3424" s="1"/>
    </row>
    <row r="3425" spans="3:4" x14ac:dyDescent="0.25">
      <c r="C3425" s="1"/>
      <c r="D3425" s="1"/>
    </row>
    <row r="3426" spans="3:4" x14ac:dyDescent="0.25">
      <c r="C3426" s="1"/>
      <c r="D3426" s="1"/>
    </row>
    <row r="3427" spans="3:4" x14ac:dyDescent="0.25">
      <c r="C3427" s="1"/>
      <c r="D3427" s="1"/>
    </row>
    <row r="3428" spans="3:4" x14ac:dyDescent="0.25">
      <c r="C3428" s="1"/>
      <c r="D3428" s="1"/>
    </row>
    <row r="3429" spans="3:4" x14ac:dyDescent="0.25">
      <c r="C3429" s="1"/>
      <c r="D3429" s="1"/>
    </row>
    <row r="3430" spans="3:4" x14ac:dyDescent="0.25">
      <c r="C3430" s="1"/>
      <c r="D3430" s="1"/>
    </row>
    <row r="3431" spans="3:4" x14ac:dyDescent="0.25">
      <c r="C3431" s="1"/>
      <c r="D3431" s="1"/>
    </row>
    <row r="3432" spans="3:4" x14ac:dyDescent="0.25">
      <c r="C3432" s="1"/>
      <c r="D3432" s="1"/>
    </row>
    <row r="3433" spans="3:4" x14ac:dyDescent="0.25">
      <c r="C3433" s="1"/>
      <c r="D3433" s="1"/>
    </row>
    <row r="3434" spans="3:4" x14ac:dyDescent="0.25">
      <c r="C3434" s="1"/>
      <c r="D3434" s="1"/>
    </row>
    <row r="3435" spans="3:4" x14ac:dyDescent="0.25">
      <c r="C3435" s="1"/>
      <c r="D3435" s="1"/>
    </row>
    <row r="3436" spans="3:4" x14ac:dyDescent="0.25">
      <c r="C3436" s="1"/>
      <c r="D3436" s="1"/>
    </row>
    <row r="3437" spans="3:4" x14ac:dyDescent="0.25">
      <c r="C3437" s="1"/>
      <c r="D3437" s="1"/>
    </row>
    <row r="3438" spans="3:4" x14ac:dyDescent="0.25">
      <c r="C3438" s="1"/>
      <c r="D3438" s="1"/>
    </row>
    <row r="3439" spans="3:4" x14ac:dyDescent="0.25">
      <c r="C3439" s="1"/>
      <c r="D3439" s="1"/>
    </row>
    <row r="3440" spans="3:4" x14ac:dyDescent="0.25">
      <c r="C3440" s="1"/>
      <c r="D3440" s="1"/>
    </row>
    <row r="3441" spans="3:4" x14ac:dyDescent="0.25">
      <c r="C3441" s="1"/>
      <c r="D3441" s="1"/>
    </row>
    <row r="3442" spans="3:4" x14ac:dyDescent="0.25">
      <c r="C3442" s="1"/>
      <c r="D3442" s="1"/>
    </row>
    <row r="3443" spans="3:4" x14ac:dyDescent="0.25">
      <c r="C3443" s="1"/>
      <c r="D3443" s="1"/>
    </row>
    <row r="3444" spans="3:4" x14ac:dyDescent="0.25">
      <c r="C3444" s="1"/>
      <c r="D3444" s="1"/>
    </row>
    <row r="3445" spans="3:4" x14ac:dyDescent="0.25">
      <c r="C3445" s="1"/>
      <c r="D3445" s="1"/>
    </row>
    <row r="3446" spans="3:4" x14ac:dyDescent="0.25">
      <c r="C3446" s="1"/>
      <c r="D3446" s="1"/>
    </row>
    <row r="3447" spans="3:4" x14ac:dyDescent="0.25">
      <c r="C3447" s="1"/>
      <c r="D3447" s="1"/>
    </row>
    <row r="3448" spans="3:4" x14ac:dyDescent="0.25">
      <c r="C3448" s="1"/>
      <c r="D3448" s="1"/>
    </row>
    <row r="3449" spans="3:4" x14ac:dyDescent="0.25">
      <c r="C3449" s="1"/>
      <c r="D3449" s="1"/>
    </row>
    <row r="3450" spans="3:4" x14ac:dyDescent="0.25">
      <c r="C3450" s="1"/>
      <c r="D3450" s="1"/>
    </row>
    <row r="3451" spans="3:4" x14ac:dyDescent="0.25">
      <c r="C3451" s="1"/>
      <c r="D3451" s="1"/>
    </row>
    <row r="3452" spans="3:4" x14ac:dyDescent="0.25">
      <c r="C3452" s="1"/>
      <c r="D3452" s="1"/>
    </row>
    <row r="3453" spans="3:4" x14ac:dyDescent="0.25">
      <c r="C3453" s="1"/>
      <c r="D3453" s="1"/>
    </row>
    <row r="3454" spans="3:4" x14ac:dyDescent="0.25">
      <c r="C3454" s="1"/>
      <c r="D3454" s="1"/>
    </row>
    <row r="3455" spans="3:4" x14ac:dyDescent="0.25">
      <c r="C3455" s="1"/>
      <c r="D3455" s="1"/>
    </row>
    <row r="3456" spans="3:4" x14ac:dyDescent="0.25">
      <c r="C3456" s="1"/>
      <c r="D3456" s="1"/>
    </row>
    <row r="3457" spans="3:4" x14ac:dyDescent="0.25">
      <c r="C3457" s="1"/>
      <c r="D3457" s="1"/>
    </row>
    <row r="3458" spans="3:4" x14ac:dyDescent="0.25">
      <c r="C3458" s="1"/>
      <c r="D3458" s="1"/>
    </row>
    <row r="3459" spans="3:4" x14ac:dyDescent="0.25">
      <c r="C3459" s="1"/>
      <c r="D3459" s="1"/>
    </row>
    <row r="3460" spans="3:4" x14ac:dyDescent="0.25">
      <c r="C3460" s="1"/>
      <c r="D3460" s="1"/>
    </row>
    <row r="3461" spans="3:4" x14ac:dyDescent="0.25">
      <c r="C3461" s="1"/>
      <c r="D3461" s="1"/>
    </row>
    <row r="3462" spans="3:4" x14ac:dyDescent="0.25">
      <c r="C3462" s="1"/>
      <c r="D3462" s="1"/>
    </row>
    <row r="3463" spans="3:4" x14ac:dyDescent="0.25">
      <c r="C3463" s="1"/>
      <c r="D3463" s="1"/>
    </row>
    <row r="3464" spans="3:4" x14ac:dyDescent="0.25">
      <c r="C3464" s="1"/>
      <c r="D3464" s="1"/>
    </row>
    <row r="3465" spans="3:4" x14ac:dyDescent="0.25">
      <c r="C3465" s="1"/>
      <c r="D3465" s="1"/>
    </row>
    <row r="3466" spans="3:4" x14ac:dyDescent="0.25">
      <c r="C3466" s="1"/>
      <c r="D3466" s="1"/>
    </row>
    <row r="3467" spans="3:4" x14ac:dyDescent="0.25">
      <c r="C3467" s="1"/>
      <c r="D3467" s="1"/>
    </row>
    <row r="3468" spans="3:4" x14ac:dyDescent="0.25">
      <c r="C3468" s="1"/>
      <c r="D3468" s="1"/>
    </row>
    <row r="3469" spans="3:4" x14ac:dyDescent="0.25">
      <c r="C3469" s="1"/>
      <c r="D3469" s="1"/>
    </row>
    <row r="3470" spans="3:4" x14ac:dyDescent="0.25">
      <c r="C3470" s="1"/>
      <c r="D3470" s="1"/>
    </row>
    <row r="3471" spans="3:4" x14ac:dyDescent="0.25">
      <c r="C3471" s="1"/>
      <c r="D3471" s="1"/>
    </row>
    <row r="3472" spans="3:4" x14ac:dyDescent="0.25">
      <c r="C3472" s="1"/>
      <c r="D3472" s="1"/>
    </row>
    <row r="3473" spans="3:4" x14ac:dyDescent="0.25">
      <c r="C3473" s="1"/>
      <c r="D3473" s="1"/>
    </row>
    <row r="3474" spans="3:4" x14ac:dyDescent="0.25">
      <c r="C3474" s="1"/>
      <c r="D3474" s="1"/>
    </row>
    <row r="3475" spans="3:4" x14ac:dyDescent="0.25">
      <c r="C3475" s="1"/>
      <c r="D3475" s="1"/>
    </row>
    <row r="3476" spans="3:4" x14ac:dyDescent="0.25">
      <c r="C3476" s="1"/>
      <c r="D3476" s="1"/>
    </row>
    <row r="3477" spans="3:4" x14ac:dyDescent="0.25">
      <c r="C3477" s="1"/>
      <c r="D3477" s="1"/>
    </row>
    <row r="3478" spans="3:4" x14ac:dyDescent="0.25">
      <c r="C3478" s="1"/>
      <c r="D3478" s="1"/>
    </row>
    <row r="3479" spans="3:4" x14ac:dyDescent="0.25">
      <c r="C3479" s="1"/>
      <c r="D3479" s="1"/>
    </row>
    <row r="3480" spans="3:4" x14ac:dyDescent="0.25">
      <c r="C3480" s="1"/>
      <c r="D3480" s="1"/>
    </row>
    <row r="3481" spans="3:4" x14ac:dyDescent="0.25">
      <c r="C3481" s="1"/>
      <c r="D3481" s="1"/>
    </row>
    <row r="3482" spans="3:4" x14ac:dyDescent="0.25">
      <c r="C3482" s="1"/>
      <c r="D3482" s="1"/>
    </row>
    <row r="3483" spans="3:4" x14ac:dyDescent="0.25">
      <c r="C3483" s="1"/>
      <c r="D3483" s="1"/>
    </row>
    <row r="3484" spans="3:4" x14ac:dyDescent="0.25">
      <c r="C3484" s="1"/>
      <c r="D3484" s="1"/>
    </row>
    <row r="3485" spans="3:4" x14ac:dyDescent="0.25">
      <c r="C3485" s="1"/>
      <c r="D3485" s="1"/>
    </row>
    <row r="3486" spans="3:4" x14ac:dyDescent="0.25">
      <c r="C3486" s="1"/>
      <c r="D3486" s="1"/>
    </row>
    <row r="3487" spans="3:4" x14ac:dyDescent="0.25">
      <c r="C3487" s="1"/>
      <c r="D3487" s="1"/>
    </row>
    <row r="3488" spans="3:4" x14ac:dyDescent="0.25">
      <c r="C3488" s="1"/>
      <c r="D3488" s="1"/>
    </row>
    <row r="3489" spans="3:4" x14ac:dyDescent="0.25">
      <c r="C3489" s="1"/>
      <c r="D3489" s="1"/>
    </row>
    <row r="3490" spans="3:4" x14ac:dyDescent="0.25">
      <c r="C3490" s="1"/>
      <c r="D3490" s="1"/>
    </row>
    <row r="3491" spans="3:4" x14ac:dyDescent="0.25">
      <c r="C3491" s="1"/>
      <c r="D3491" s="1"/>
    </row>
    <row r="3492" spans="3:4" x14ac:dyDescent="0.25">
      <c r="C3492" s="1"/>
      <c r="D3492" s="1"/>
    </row>
    <row r="3493" spans="3:4" x14ac:dyDescent="0.25">
      <c r="C3493" s="1"/>
      <c r="D3493" s="1"/>
    </row>
    <row r="3494" spans="3:4" x14ac:dyDescent="0.25">
      <c r="C3494" s="1"/>
      <c r="D3494" s="1"/>
    </row>
    <row r="3495" spans="3:4" x14ac:dyDescent="0.25">
      <c r="C3495" s="1"/>
      <c r="D3495" s="1"/>
    </row>
    <row r="3496" spans="3:4" x14ac:dyDescent="0.25">
      <c r="C3496" s="1"/>
      <c r="D3496" s="1"/>
    </row>
    <row r="3497" spans="3:4" x14ac:dyDescent="0.25">
      <c r="C3497" s="1"/>
      <c r="D3497" s="1"/>
    </row>
    <row r="3498" spans="3:4" x14ac:dyDescent="0.25">
      <c r="C3498" s="1"/>
      <c r="D3498" s="1"/>
    </row>
    <row r="3499" spans="3:4" x14ac:dyDescent="0.25">
      <c r="C3499" s="1"/>
      <c r="D3499" s="1"/>
    </row>
    <row r="3500" spans="3:4" x14ac:dyDescent="0.25">
      <c r="C3500" s="1"/>
      <c r="D3500" s="1"/>
    </row>
    <row r="3501" spans="3:4" x14ac:dyDescent="0.25">
      <c r="C3501" s="1"/>
      <c r="D3501" s="1"/>
    </row>
    <row r="3502" spans="3:4" x14ac:dyDescent="0.25">
      <c r="C3502" s="1"/>
      <c r="D3502" s="1"/>
    </row>
    <row r="3503" spans="3:4" x14ac:dyDescent="0.25">
      <c r="C3503" s="1"/>
      <c r="D3503" s="1"/>
    </row>
    <row r="3504" spans="3:4" x14ac:dyDescent="0.25">
      <c r="C3504" s="1"/>
      <c r="D3504" s="1"/>
    </row>
    <row r="3505" spans="3:4" x14ac:dyDescent="0.25">
      <c r="C3505" s="1"/>
      <c r="D3505" s="1"/>
    </row>
    <row r="3506" spans="3:4" x14ac:dyDescent="0.25">
      <c r="C3506" s="1"/>
      <c r="D3506" s="1"/>
    </row>
    <row r="3507" spans="3:4" x14ac:dyDescent="0.25">
      <c r="C3507" s="1"/>
      <c r="D3507" s="1"/>
    </row>
    <row r="3508" spans="3:4" x14ac:dyDescent="0.25">
      <c r="C3508" s="1"/>
      <c r="D3508" s="1"/>
    </row>
    <row r="3509" spans="3:4" x14ac:dyDescent="0.25">
      <c r="C3509" s="1"/>
      <c r="D3509" s="1"/>
    </row>
    <row r="3510" spans="3:4" x14ac:dyDescent="0.25">
      <c r="C3510" s="1"/>
      <c r="D3510" s="1"/>
    </row>
    <row r="3511" spans="3:4" x14ac:dyDescent="0.25">
      <c r="C3511" s="1"/>
      <c r="D3511" s="1"/>
    </row>
    <row r="3512" spans="3:4" x14ac:dyDescent="0.25">
      <c r="C3512" s="1"/>
      <c r="D3512" s="1"/>
    </row>
    <row r="3513" spans="3:4" x14ac:dyDescent="0.25">
      <c r="C3513" s="1"/>
      <c r="D3513" s="1"/>
    </row>
    <row r="3514" spans="3:4" x14ac:dyDescent="0.25">
      <c r="C3514" s="1"/>
      <c r="D3514" s="1"/>
    </row>
    <row r="3515" spans="3:4" x14ac:dyDescent="0.25">
      <c r="C3515" s="1"/>
      <c r="D3515" s="1"/>
    </row>
    <row r="3516" spans="3:4" x14ac:dyDescent="0.25">
      <c r="C3516" s="1"/>
      <c r="D3516" s="1"/>
    </row>
    <row r="3517" spans="3:4" x14ac:dyDescent="0.25">
      <c r="C3517" s="1"/>
      <c r="D3517" s="1"/>
    </row>
    <row r="3518" spans="3:4" x14ac:dyDescent="0.25">
      <c r="C3518" s="1"/>
      <c r="D3518" s="1"/>
    </row>
    <row r="3519" spans="3:4" x14ac:dyDescent="0.25">
      <c r="C3519" s="1"/>
      <c r="D3519" s="1"/>
    </row>
    <row r="3520" spans="3:4" x14ac:dyDescent="0.25">
      <c r="C3520" s="1"/>
      <c r="D3520" s="1"/>
    </row>
    <row r="3521" spans="3:4" x14ac:dyDescent="0.25">
      <c r="C3521" s="1"/>
      <c r="D3521" s="1"/>
    </row>
    <row r="3522" spans="3:4" x14ac:dyDescent="0.25">
      <c r="C3522" s="1"/>
      <c r="D3522" s="1"/>
    </row>
    <row r="3523" spans="3:4" x14ac:dyDescent="0.25">
      <c r="C3523" s="1"/>
      <c r="D3523" s="1"/>
    </row>
    <row r="3524" spans="3:4" x14ac:dyDescent="0.25">
      <c r="C3524" s="1"/>
      <c r="D3524" s="1"/>
    </row>
    <row r="3525" spans="3:4" x14ac:dyDescent="0.25">
      <c r="C3525" s="1"/>
      <c r="D3525" s="1"/>
    </row>
    <row r="3526" spans="3:4" x14ac:dyDescent="0.25">
      <c r="C3526" s="1"/>
      <c r="D3526" s="1"/>
    </row>
    <row r="3527" spans="3:4" x14ac:dyDescent="0.25">
      <c r="C3527" s="1"/>
      <c r="D3527" s="1"/>
    </row>
    <row r="3528" spans="3:4" x14ac:dyDescent="0.25">
      <c r="C3528" s="1"/>
      <c r="D3528" s="1"/>
    </row>
    <row r="3529" spans="3:4" x14ac:dyDescent="0.25">
      <c r="C3529" s="1"/>
      <c r="D3529" s="1"/>
    </row>
    <row r="3530" spans="3:4" x14ac:dyDescent="0.25">
      <c r="C3530" s="1"/>
      <c r="D3530" s="1"/>
    </row>
    <row r="3531" spans="3:4" x14ac:dyDescent="0.25">
      <c r="C3531" s="1"/>
      <c r="D3531" s="1"/>
    </row>
    <row r="3532" spans="3:4" x14ac:dyDescent="0.25">
      <c r="C3532" s="1"/>
      <c r="D3532" s="1"/>
    </row>
    <row r="3533" spans="3:4" x14ac:dyDescent="0.25">
      <c r="C3533" s="1"/>
      <c r="D3533" s="1"/>
    </row>
    <row r="3534" spans="3:4" x14ac:dyDescent="0.25">
      <c r="C3534" s="1"/>
      <c r="D3534" s="1"/>
    </row>
    <row r="3535" spans="3:4" x14ac:dyDescent="0.25">
      <c r="C3535" s="1"/>
      <c r="D3535" s="1"/>
    </row>
    <row r="3536" spans="3:4" x14ac:dyDescent="0.25">
      <c r="C3536" s="1"/>
      <c r="D3536" s="1"/>
    </row>
    <row r="3537" spans="3:4" x14ac:dyDescent="0.25">
      <c r="C3537" s="1"/>
      <c r="D3537" s="1"/>
    </row>
    <row r="3538" spans="3:4" x14ac:dyDescent="0.25">
      <c r="C3538" s="1"/>
      <c r="D3538" s="1"/>
    </row>
    <row r="3539" spans="3:4" x14ac:dyDescent="0.25">
      <c r="C3539" s="1"/>
      <c r="D3539" s="1"/>
    </row>
    <row r="3540" spans="3:4" x14ac:dyDescent="0.25">
      <c r="C3540" s="1"/>
      <c r="D3540" s="1"/>
    </row>
    <row r="3541" spans="3:4" x14ac:dyDescent="0.25">
      <c r="C3541" s="1"/>
      <c r="D3541" s="1"/>
    </row>
    <row r="3542" spans="3:4" x14ac:dyDescent="0.25">
      <c r="C3542" s="1"/>
      <c r="D3542" s="1"/>
    </row>
    <row r="3543" spans="3:4" x14ac:dyDescent="0.25">
      <c r="C3543" s="1"/>
      <c r="D3543" s="1"/>
    </row>
    <row r="3544" spans="3:4" x14ac:dyDescent="0.25">
      <c r="C3544" s="1"/>
      <c r="D3544" s="1"/>
    </row>
    <row r="3545" spans="3:4" x14ac:dyDescent="0.25">
      <c r="C3545" s="1"/>
      <c r="D3545" s="1"/>
    </row>
    <row r="3546" spans="3:4" x14ac:dyDescent="0.25">
      <c r="C3546" s="1"/>
      <c r="D3546" s="1"/>
    </row>
    <row r="3547" spans="3:4" x14ac:dyDescent="0.25">
      <c r="C3547" s="1"/>
      <c r="D3547" s="1"/>
    </row>
    <row r="3548" spans="3:4" x14ac:dyDescent="0.25">
      <c r="C3548" s="1"/>
      <c r="D3548" s="1"/>
    </row>
    <row r="3549" spans="3:4" x14ac:dyDescent="0.25">
      <c r="C3549" s="1"/>
      <c r="D3549" s="1"/>
    </row>
    <row r="3550" spans="3:4" x14ac:dyDescent="0.25">
      <c r="C3550" s="1"/>
      <c r="D3550" s="1"/>
    </row>
    <row r="3551" spans="3:4" x14ac:dyDescent="0.25">
      <c r="C3551" s="1"/>
      <c r="D3551" s="1"/>
    </row>
    <row r="3552" spans="3:4" x14ac:dyDescent="0.25">
      <c r="C3552" s="1"/>
      <c r="D3552" s="1"/>
    </row>
    <row r="3553" spans="3:4" x14ac:dyDescent="0.25">
      <c r="C3553" s="1"/>
      <c r="D3553" s="1"/>
    </row>
    <row r="3554" spans="3:4" x14ac:dyDescent="0.25">
      <c r="C3554" s="1"/>
      <c r="D3554" s="1"/>
    </row>
    <row r="3555" spans="3:4" x14ac:dyDescent="0.25">
      <c r="C3555" s="1"/>
      <c r="D3555" s="1"/>
    </row>
    <row r="3556" spans="3:4" x14ac:dyDescent="0.25">
      <c r="C3556" s="1"/>
      <c r="D3556" s="1"/>
    </row>
    <row r="3557" spans="3:4" x14ac:dyDescent="0.25">
      <c r="C3557" s="1"/>
      <c r="D3557" s="1"/>
    </row>
    <row r="3558" spans="3:4" x14ac:dyDescent="0.25">
      <c r="C3558" s="1"/>
      <c r="D3558" s="1"/>
    </row>
    <row r="3559" spans="3:4" x14ac:dyDescent="0.25">
      <c r="C3559" s="1"/>
      <c r="D3559" s="1"/>
    </row>
    <row r="3560" spans="3:4" x14ac:dyDescent="0.25">
      <c r="C3560" s="1"/>
      <c r="D3560" s="1"/>
    </row>
    <row r="3561" spans="3:4" x14ac:dyDescent="0.25">
      <c r="C3561" s="1"/>
      <c r="D3561" s="1"/>
    </row>
    <row r="3562" spans="3:4" x14ac:dyDescent="0.25">
      <c r="C3562" s="1"/>
      <c r="D3562" s="1"/>
    </row>
    <row r="3563" spans="3:4" x14ac:dyDescent="0.25">
      <c r="C3563" s="1"/>
      <c r="D3563" s="1"/>
    </row>
    <row r="3564" spans="3:4" x14ac:dyDescent="0.25">
      <c r="C3564" s="1"/>
      <c r="D3564" s="1"/>
    </row>
    <row r="3565" spans="3:4" x14ac:dyDescent="0.25">
      <c r="C3565" s="1"/>
      <c r="D3565" s="1"/>
    </row>
    <row r="3566" spans="3:4" x14ac:dyDescent="0.25">
      <c r="C3566" s="1"/>
      <c r="D3566" s="1"/>
    </row>
    <row r="3567" spans="3:4" x14ac:dyDescent="0.25">
      <c r="C3567" s="1"/>
      <c r="D3567" s="1"/>
    </row>
    <row r="3568" spans="3:4" x14ac:dyDescent="0.25">
      <c r="C3568" s="1"/>
      <c r="D3568" s="1"/>
    </row>
    <row r="3569" spans="3:4" x14ac:dyDescent="0.25">
      <c r="C3569" s="1"/>
      <c r="D3569" s="1"/>
    </row>
    <row r="3570" spans="3:4" x14ac:dyDescent="0.25">
      <c r="C3570" s="1"/>
      <c r="D3570" s="1"/>
    </row>
    <row r="3571" spans="3:4" x14ac:dyDescent="0.25">
      <c r="C3571" s="1"/>
      <c r="D3571" s="1"/>
    </row>
    <row r="3572" spans="3:4" x14ac:dyDescent="0.25">
      <c r="C3572" s="1"/>
      <c r="D3572" s="1"/>
    </row>
    <row r="3573" spans="3:4" x14ac:dyDescent="0.25">
      <c r="C3573" s="1"/>
      <c r="D3573" s="1"/>
    </row>
    <row r="3574" spans="3:4" x14ac:dyDescent="0.25">
      <c r="C3574" s="1"/>
      <c r="D3574" s="1"/>
    </row>
    <row r="3575" spans="3:4" x14ac:dyDescent="0.25">
      <c r="C3575" s="1"/>
      <c r="D3575" s="1"/>
    </row>
    <row r="3576" spans="3:4" x14ac:dyDescent="0.25">
      <c r="C3576" s="1"/>
      <c r="D3576" s="1"/>
    </row>
    <row r="3577" spans="3:4" x14ac:dyDescent="0.25">
      <c r="C3577" s="1"/>
      <c r="D3577" s="1"/>
    </row>
    <row r="3578" spans="3:4" x14ac:dyDescent="0.25">
      <c r="C3578" s="1"/>
      <c r="D3578" s="1"/>
    </row>
    <row r="3579" spans="3:4" x14ac:dyDescent="0.25">
      <c r="C3579" s="1"/>
      <c r="D3579" s="1"/>
    </row>
    <row r="3580" spans="3:4" x14ac:dyDescent="0.25">
      <c r="C3580" s="1"/>
      <c r="D3580" s="1"/>
    </row>
    <row r="3581" spans="3:4" x14ac:dyDescent="0.25">
      <c r="C3581" s="1"/>
      <c r="D3581" s="1"/>
    </row>
    <row r="3582" spans="3:4" x14ac:dyDescent="0.25">
      <c r="C3582" s="1"/>
      <c r="D3582" s="1"/>
    </row>
    <row r="3583" spans="3:4" x14ac:dyDescent="0.25">
      <c r="C3583" s="1"/>
      <c r="D3583" s="1"/>
    </row>
    <row r="3584" spans="3:4" x14ac:dyDescent="0.25">
      <c r="C3584" s="1"/>
      <c r="D3584" s="1"/>
    </row>
    <row r="3585" spans="3:4" x14ac:dyDescent="0.25">
      <c r="C3585" s="1"/>
      <c r="D3585" s="1"/>
    </row>
    <row r="3586" spans="3:4" x14ac:dyDescent="0.25">
      <c r="C3586" s="1"/>
      <c r="D3586" s="1"/>
    </row>
    <row r="3587" spans="3:4" x14ac:dyDescent="0.25">
      <c r="C3587" s="1"/>
      <c r="D3587" s="1"/>
    </row>
    <row r="3588" spans="3:4" x14ac:dyDescent="0.25">
      <c r="C3588" s="1"/>
      <c r="D3588" s="1"/>
    </row>
    <row r="3589" spans="3:4" x14ac:dyDescent="0.25">
      <c r="C3589" s="1"/>
      <c r="D3589" s="1"/>
    </row>
    <row r="3590" spans="3:4" x14ac:dyDescent="0.25">
      <c r="C3590" s="1"/>
      <c r="D3590" s="1"/>
    </row>
    <row r="3591" spans="3:4" x14ac:dyDescent="0.25">
      <c r="C3591" s="1"/>
      <c r="D3591" s="1"/>
    </row>
    <row r="3592" spans="3:4" x14ac:dyDescent="0.25">
      <c r="C3592" s="1"/>
      <c r="D3592" s="1"/>
    </row>
    <row r="3593" spans="3:4" x14ac:dyDescent="0.25">
      <c r="C3593" s="1"/>
      <c r="D3593" s="1"/>
    </row>
    <row r="3594" spans="3:4" x14ac:dyDescent="0.25">
      <c r="C3594" s="1"/>
      <c r="D3594" s="1"/>
    </row>
    <row r="3595" spans="3:4" x14ac:dyDescent="0.25">
      <c r="C3595" s="1"/>
      <c r="D3595" s="1"/>
    </row>
    <row r="3596" spans="3:4" x14ac:dyDescent="0.25">
      <c r="C3596" s="1"/>
      <c r="D3596" s="1"/>
    </row>
    <row r="3597" spans="3:4" x14ac:dyDescent="0.25">
      <c r="C3597" s="1"/>
      <c r="D3597" s="1"/>
    </row>
    <row r="3598" spans="3:4" x14ac:dyDescent="0.25">
      <c r="C3598" s="1"/>
      <c r="D3598" s="1"/>
    </row>
    <row r="3599" spans="3:4" x14ac:dyDescent="0.25">
      <c r="C3599" s="1"/>
      <c r="D3599" s="1"/>
    </row>
    <row r="3600" spans="3:4" x14ac:dyDescent="0.25">
      <c r="C3600" s="1"/>
      <c r="D3600" s="1"/>
    </row>
    <row r="3601" spans="3:4" x14ac:dyDescent="0.25">
      <c r="C3601" s="1"/>
      <c r="D3601" s="1"/>
    </row>
    <row r="3602" spans="3:4" x14ac:dyDescent="0.25">
      <c r="C3602" s="1"/>
      <c r="D3602" s="1"/>
    </row>
    <row r="3603" spans="3:4" x14ac:dyDescent="0.25">
      <c r="C3603" s="1"/>
      <c r="D3603" s="1"/>
    </row>
    <row r="3604" spans="3:4" x14ac:dyDescent="0.25">
      <c r="C3604" s="1"/>
      <c r="D3604" s="1"/>
    </row>
    <row r="3605" spans="3:4" x14ac:dyDescent="0.25">
      <c r="C3605" s="1"/>
      <c r="D3605" s="1"/>
    </row>
    <row r="3606" spans="3:4" x14ac:dyDescent="0.25">
      <c r="C3606" s="1"/>
      <c r="D3606" s="1"/>
    </row>
    <row r="3607" spans="3:4" x14ac:dyDescent="0.25">
      <c r="C3607" s="1"/>
      <c r="D3607" s="1"/>
    </row>
    <row r="3608" spans="3:4" x14ac:dyDescent="0.25">
      <c r="C3608" s="1"/>
      <c r="D3608" s="1"/>
    </row>
    <row r="3609" spans="3:4" x14ac:dyDescent="0.25">
      <c r="C3609" s="1"/>
      <c r="D3609" s="1"/>
    </row>
    <row r="3610" spans="3:4" x14ac:dyDescent="0.25">
      <c r="C3610" s="1"/>
      <c r="D3610" s="1"/>
    </row>
    <row r="3611" spans="3:4" x14ac:dyDescent="0.25">
      <c r="C3611" s="1"/>
      <c r="D3611" s="1"/>
    </row>
    <row r="3612" spans="3:4" x14ac:dyDescent="0.25">
      <c r="C3612" s="1"/>
      <c r="D3612" s="1"/>
    </row>
    <row r="3613" spans="3:4" x14ac:dyDescent="0.25">
      <c r="C3613" s="1"/>
      <c r="D3613" s="1"/>
    </row>
    <row r="3614" spans="3:4" x14ac:dyDescent="0.25">
      <c r="C3614" s="1"/>
      <c r="D3614" s="1"/>
    </row>
    <row r="3615" spans="3:4" x14ac:dyDescent="0.25">
      <c r="C3615" s="1"/>
      <c r="D3615" s="1"/>
    </row>
    <row r="3616" spans="3:4" x14ac:dyDescent="0.25">
      <c r="C3616" s="1"/>
      <c r="D3616" s="1"/>
    </row>
    <row r="3617" spans="3:4" x14ac:dyDescent="0.25">
      <c r="C3617" s="1"/>
      <c r="D3617" s="1"/>
    </row>
    <row r="3618" spans="3:4" x14ac:dyDescent="0.25">
      <c r="C3618" s="1"/>
      <c r="D3618" s="1"/>
    </row>
    <row r="3619" spans="3:4" x14ac:dyDescent="0.25">
      <c r="C3619" s="1"/>
      <c r="D3619" s="1"/>
    </row>
    <row r="3620" spans="3:4" x14ac:dyDescent="0.25">
      <c r="C3620" s="1"/>
      <c r="D3620" s="1"/>
    </row>
    <row r="3621" spans="3:4" x14ac:dyDescent="0.25">
      <c r="C3621" s="1"/>
      <c r="D3621" s="1"/>
    </row>
    <row r="3622" spans="3:4" x14ac:dyDescent="0.25">
      <c r="C3622" s="1"/>
      <c r="D3622" s="1"/>
    </row>
    <row r="3623" spans="3:4" x14ac:dyDescent="0.25">
      <c r="C3623" s="1"/>
      <c r="D3623" s="1"/>
    </row>
    <row r="3624" spans="3:4" x14ac:dyDescent="0.25">
      <c r="C3624" s="1"/>
      <c r="D3624" s="1"/>
    </row>
    <row r="3625" spans="3:4" x14ac:dyDescent="0.25">
      <c r="C3625" s="1"/>
      <c r="D3625" s="1"/>
    </row>
    <row r="3626" spans="3:4" x14ac:dyDescent="0.25">
      <c r="C3626" s="1"/>
      <c r="D3626" s="1"/>
    </row>
    <row r="3627" spans="3:4" x14ac:dyDescent="0.25">
      <c r="C3627" s="1"/>
      <c r="D3627" s="1"/>
    </row>
    <row r="3628" spans="3:4" x14ac:dyDescent="0.25">
      <c r="C3628" s="1"/>
      <c r="D3628" s="1"/>
    </row>
    <row r="3629" spans="3:4" x14ac:dyDescent="0.25">
      <c r="C3629" s="1"/>
      <c r="D3629" s="1"/>
    </row>
    <row r="3630" spans="3:4" x14ac:dyDescent="0.25">
      <c r="C3630" s="1"/>
      <c r="D3630" s="1"/>
    </row>
    <row r="3631" spans="3:4" x14ac:dyDescent="0.25">
      <c r="C3631" s="1"/>
      <c r="D3631" s="1"/>
    </row>
    <row r="3632" spans="3:4" x14ac:dyDescent="0.25">
      <c r="C3632" s="1"/>
      <c r="D3632" s="1"/>
    </row>
    <row r="3633" spans="3:4" x14ac:dyDescent="0.25">
      <c r="C3633" s="1"/>
      <c r="D3633" s="1"/>
    </row>
    <row r="3634" spans="3:4" x14ac:dyDescent="0.25">
      <c r="C3634" s="1"/>
      <c r="D3634" s="1"/>
    </row>
    <row r="3635" spans="3:4" x14ac:dyDescent="0.25">
      <c r="C3635" s="1"/>
      <c r="D3635" s="1"/>
    </row>
    <row r="3636" spans="3:4" x14ac:dyDescent="0.25">
      <c r="C3636" s="1"/>
      <c r="D3636" s="1"/>
    </row>
    <row r="3637" spans="3:4" x14ac:dyDescent="0.25">
      <c r="C3637" s="1"/>
      <c r="D3637" s="1"/>
    </row>
    <row r="3638" spans="3:4" x14ac:dyDescent="0.25">
      <c r="C3638" s="1"/>
      <c r="D3638" s="1"/>
    </row>
    <row r="3639" spans="3:4" x14ac:dyDescent="0.25">
      <c r="C3639" s="1"/>
      <c r="D3639" s="1"/>
    </row>
    <row r="3640" spans="3:4" x14ac:dyDescent="0.25">
      <c r="C3640" s="1"/>
      <c r="D3640" s="1"/>
    </row>
    <row r="3641" spans="3:4" x14ac:dyDescent="0.25">
      <c r="C3641" s="1"/>
      <c r="D3641" s="1"/>
    </row>
    <row r="3642" spans="3:4" x14ac:dyDescent="0.25">
      <c r="C3642" s="1"/>
      <c r="D3642" s="1"/>
    </row>
    <row r="3643" spans="3:4" x14ac:dyDescent="0.25">
      <c r="C3643" s="1"/>
      <c r="D3643" s="1"/>
    </row>
    <row r="3644" spans="3:4" x14ac:dyDescent="0.25">
      <c r="C3644" s="1"/>
      <c r="D3644" s="1"/>
    </row>
    <row r="3645" spans="3:4" x14ac:dyDescent="0.25">
      <c r="C3645" s="1"/>
      <c r="D3645" s="1"/>
    </row>
    <row r="3646" spans="3:4" x14ac:dyDescent="0.25">
      <c r="C3646" s="1"/>
      <c r="D3646" s="1"/>
    </row>
    <row r="3647" spans="3:4" x14ac:dyDescent="0.25">
      <c r="C3647" s="1"/>
      <c r="D3647" s="1"/>
    </row>
    <row r="3648" spans="3:4" x14ac:dyDescent="0.25">
      <c r="C3648" s="1"/>
      <c r="D3648" s="1"/>
    </row>
    <row r="3649" spans="3:4" x14ac:dyDescent="0.25">
      <c r="C3649" s="1"/>
      <c r="D3649" s="1"/>
    </row>
    <row r="3650" spans="3:4" x14ac:dyDescent="0.25">
      <c r="C3650" s="1"/>
      <c r="D3650" s="1"/>
    </row>
    <row r="3651" spans="3:4" x14ac:dyDescent="0.25">
      <c r="C3651" s="1"/>
      <c r="D3651" s="1"/>
    </row>
    <row r="3652" spans="3:4" x14ac:dyDescent="0.25">
      <c r="C3652" s="1"/>
      <c r="D3652" s="1"/>
    </row>
    <row r="3653" spans="3:4" x14ac:dyDescent="0.25">
      <c r="C3653" s="1"/>
      <c r="D3653" s="1"/>
    </row>
    <row r="3654" spans="3:4" x14ac:dyDescent="0.25">
      <c r="C3654" s="1"/>
      <c r="D3654" s="1"/>
    </row>
    <row r="3655" spans="3:4" x14ac:dyDescent="0.25">
      <c r="C3655" s="1"/>
      <c r="D3655" s="1"/>
    </row>
    <row r="3656" spans="3:4" x14ac:dyDescent="0.25">
      <c r="C3656" s="1"/>
      <c r="D3656" s="1"/>
    </row>
    <row r="3657" spans="3:4" x14ac:dyDescent="0.25">
      <c r="C3657" s="1"/>
      <c r="D3657" s="1"/>
    </row>
    <row r="3658" spans="3:4" x14ac:dyDescent="0.25">
      <c r="C3658" s="1"/>
      <c r="D3658" s="1"/>
    </row>
    <row r="3659" spans="3:4" x14ac:dyDescent="0.25">
      <c r="C3659" s="1"/>
      <c r="D3659" s="1"/>
    </row>
    <row r="3660" spans="3:4" x14ac:dyDescent="0.25">
      <c r="C3660" s="1"/>
      <c r="D3660" s="1"/>
    </row>
    <row r="3661" spans="3:4" x14ac:dyDescent="0.25">
      <c r="C3661" s="1"/>
      <c r="D3661" s="1"/>
    </row>
    <row r="3662" spans="3:4" x14ac:dyDescent="0.25">
      <c r="C3662" s="1"/>
      <c r="D3662" s="1"/>
    </row>
    <row r="3663" spans="3:4" x14ac:dyDescent="0.25">
      <c r="C3663" s="1"/>
      <c r="D3663" s="1"/>
    </row>
    <row r="3664" spans="3:4" x14ac:dyDescent="0.25">
      <c r="C3664" s="1"/>
      <c r="D3664" s="1"/>
    </row>
    <row r="3665" spans="3:4" x14ac:dyDescent="0.25">
      <c r="C3665" s="1"/>
      <c r="D3665" s="1"/>
    </row>
    <row r="3666" spans="3:4" x14ac:dyDescent="0.25">
      <c r="C3666" s="1"/>
      <c r="D3666" s="1"/>
    </row>
    <row r="3667" spans="3:4" x14ac:dyDescent="0.25">
      <c r="C3667" s="1"/>
      <c r="D3667" s="1"/>
    </row>
    <row r="3668" spans="3:4" x14ac:dyDescent="0.25">
      <c r="C3668" s="1"/>
      <c r="D3668" s="1"/>
    </row>
    <row r="3669" spans="3:4" x14ac:dyDescent="0.25">
      <c r="C3669" s="1"/>
      <c r="D3669" s="1"/>
    </row>
    <row r="3670" spans="3:4" x14ac:dyDescent="0.25">
      <c r="C3670" s="1"/>
      <c r="D3670" s="1"/>
    </row>
    <row r="3671" spans="3:4" x14ac:dyDescent="0.25">
      <c r="C3671" s="1"/>
      <c r="D3671" s="1"/>
    </row>
    <row r="3672" spans="3:4" x14ac:dyDescent="0.25">
      <c r="C3672" s="1"/>
      <c r="D3672" s="1"/>
    </row>
    <row r="3673" spans="3:4" x14ac:dyDescent="0.25">
      <c r="C3673" s="1"/>
      <c r="D3673" s="1"/>
    </row>
    <row r="3674" spans="3:4" x14ac:dyDescent="0.25">
      <c r="C3674" s="1"/>
      <c r="D3674" s="1"/>
    </row>
    <row r="3675" spans="3:4" x14ac:dyDescent="0.25">
      <c r="C3675" s="1"/>
      <c r="D3675" s="1"/>
    </row>
    <row r="3676" spans="3:4" x14ac:dyDescent="0.25">
      <c r="C3676" s="1"/>
      <c r="D3676" s="1"/>
    </row>
    <row r="3677" spans="3:4" x14ac:dyDescent="0.25">
      <c r="C3677" s="1"/>
      <c r="D3677" s="1"/>
    </row>
    <row r="3678" spans="3:4" x14ac:dyDescent="0.25">
      <c r="C3678" s="1"/>
      <c r="D3678" s="1"/>
    </row>
    <row r="3679" spans="3:4" x14ac:dyDescent="0.25">
      <c r="C3679" s="1"/>
      <c r="D3679" s="1"/>
    </row>
    <row r="3680" spans="3:4" x14ac:dyDescent="0.25">
      <c r="C3680" s="1"/>
      <c r="D3680" s="1"/>
    </row>
    <row r="3681" spans="3:4" x14ac:dyDescent="0.25">
      <c r="C3681" s="1"/>
      <c r="D3681" s="1"/>
    </row>
    <row r="3682" spans="3:4" x14ac:dyDescent="0.25">
      <c r="C3682" s="1"/>
      <c r="D3682" s="1"/>
    </row>
    <row r="3683" spans="3:4" x14ac:dyDescent="0.25">
      <c r="C3683" s="1"/>
      <c r="D3683" s="1"/>
    </row>
    <row r="3684" spans="3:4" x14ac:dyDescent="0.25">
      <c r="C3684" s="1"/>
      <c r="D3684" s="1"/>
    </row>
    <row r="3685" spans="3:4" x14ac:dyDescent="0.25">
      <c r="C3685" s="1"/>
      <c r="D3685" s="1"/>
    </row>
    <row r="3686" spans="3:4" x14ac:dyDescent="0.25">
      <c r="C3686" s="1"/>
      <c r="D3686" s="1"/>
    </row>
    <row r="3687" spans="3:4" x14ac:dyDescent="0.25">
      <c r="C3687" s="1"/>
      <c r="D3687" s="1"/>
    </row>
    <row r="3688" spans="3:4" x14ac:dyDescent="0.25">
      <c r="C3688" s="1"/>
      <c r="D3688" s="1"/>
    </row>
    <row r="3689" spans="3:4" x14ac:dyDescent="0.25">
      <c r="C3689" s="1"/>
      <c r="D3689" s="1"/>
    </row>
    <row r="3690" spans="3:4" x14ac:dyDescent="0.25">
      <c r="C3690" s="1"/>
      <c r="D3690" s="1"/>
    </row>
    <row r="3691" spans="3:4" x14ac:dyDescent="0.25">
      <c r="C3691" s="1"/>
      <c r="D3691" s="1"/>
    </row>
    <row r="3692" spans="3:4" x14ac:dyDescent="0.25">
      <c r="C3692" s="1"/>
      <c r="D3692" s="1"/>
    </row>
    <row r="3693" spans="3:4" x14ac:dyDescent="0.25">
      <c r="C3693" s="1"/>
      <c r="D3693" s="1"/>
    </row>
    <row r="3694" spans="3:4" x14ac:dyDescent="0.25">
      <c r="C3694" s="1"/>
      <c r="D3694" s="1"/>
    </row>
    <row r="3695" spans="3:4" x14ac:dyDescent="0.25">
      <c r="C3695" s="1"/>
      <c r="D3695" s="1"/>
    </row>
    <row r="3696" spans="3:4" x14ac:dyDescent="0.25">
      <c r="C3696" s="1"/>
      <c r="D3696" s="1"/>
    </row>
    <row r="3697" spans="3:4" x14ac:dyDescent="0.25">
      <c r="C3697" s="1"/>
      <c r="D3697" s="1"/>
    </row>
    <row r="3698" spans="3:4" x14ac:dyDescent="0.25">
      <c r="C3698" s="1"/>
      <c r="D3698" s="1"/>
    </row>
    <row r="3699" spans="3:4" x14ac:dyDescent="0.25">
      <c r="C3699" s="1"/>
      <c r="D3699" s="1"/>
    </row>
    <row r="3700" spans="3:4" x14ac:dyDescent="0.25">
      <c r="C3700" s="1"/>
      <c r="D3700" s="1"/>
    </row>
    <row r="3701" spans="3:4" x14ac:dyDescent="0.25">
      <c r="C3701" s="1"/>
      <c r="D3701" s="1"/>
    </row>
    <row r="3702" spans="3:4" x14ac:dyDescent="0.25">
      <c r="C3702" s="1"/>
      <c r="D3702" s="1"/>
    </row>
    <row r="3703" spans="3:4" x14ac:dyDescent="0.25">
      <c r="C3703" s="1"/>
      <c r="D3703" s="1"/>
    </row>
    <row r="3704" spans="3:4" x14ac:dyDescent="0.25">
      <c r="C3704" s="1"/>
      <c r="D3704" s="1"/>
    </row>
    <row r="3705" spans="3:4" x14ac:dyDescent="0.25">
      <c r="C3705" s="1"/>
      <c r="D3705" s="1"/>
    </row>
    <row r="3706" spans="3:4" x14ac:dyDescent="0.25">
      <c r="C3706" s="1"/>
      <c r="D3706" s="1"/>
    </row>
    <row r="3707" spans="3:4" x14ac:dyDescent="0.25">
      <c r="C3707" s="1"/>
      <c r="D3707" s="1"/>
    </row>
    <row r="3708" spans="3:4" x14ac:dyDescent="0.25">
      <c r="C3708" s="1"/>
      <c r="D3708" s="1"/>
    </row>
    <row r="3709" spans="3:4" x14ac:dyDescent="0.25">
      <c r="C3709" s="1"/>
      <c r="D3709" s="1"/>
    </row>
    <row r="3710" spans="3:4" x14ac:dyDescent="0.25">
      <c r="C3710" s="1"/>
      <c r="D3710" s="1"/>
    </row>
    <row r="3711" spans="3:4" x14ac:dyDescent="0.25">
      <c r="C3711" s="1"/>
      <c r="D3711" s="1"/>
    </row>
    <row r="3712" spans="3:4" x14ac:dyDescent="0.25">
      <c r="C3712" s="1"/>
      <c r="D3712" s="1"/>
    </row>
    <row r="3713" spans="3:4" x14ac:dyDescent="0.25">
      <c r="C3713" s="1"/>
      <c r="D3713" s="1"/>
    </row>
    <row r="3714" spans="3:4" x14ac:dyDescent="0.25">
      <c r="C3714" s="1"/>
      <c r="D3714" s="1"/>
    </row>
    <row r="3715" spans="3:4" x14ac:dyDescent="0.25">
      <c r="C3715" s="1"/>
      <c r="D3715" s="1"/>
    </row>
    <row r="3716" spans="3:4" x14ac:dyDescent="0.25">
      <c r="C3716" s="1"/>
      <c r="D3716" s="1"/>
    </row>
    <row r="3717" spans="3:4" x14ac:dyDescent="0.25">
      <c r="C3717" s="1"/>
      <c r="D3717" s="1"/>
    </row>
    <row r="3718" spans="3:4" x14ac:dyDescent="0.25">
      <c r="C3718" s="1"/>
      <c r="D3718" s="1"/>
    </row>
    <row r="3719" spans="3:4" x14ac:dyDescent="0.25">
      <c r="C3719" s="1"/>
      <c r="D3719" s="1"/>
    </row>
    <row r="3720" spans="3:4" x14ac:dyDescent="0.25">
      <c r="C3720" s="1"/>
      <c r="D3720" s="1"/>
    </row>
    <row r="3721" spans="3:4" x14ac:dyDescent="0.25">
      <c r="C3721" s="1"/>
      <c r="D3721" s="1"/>
    </row>
    <row r="3722" spans="3:4" x14ac:dyDescent="0.25">
      <c r="C3722" s="1"/>
      <c r="D3722" s="1"/>
    </row>
    <row r="3723" spans="3:4" x14ac:dyDescent="0.25">
      <c r="C3723" s="1"/>
      <c r="D3723" s="1"/>
    </row>
    <row r="3724" spans="3:4" x14ac:dyDescent="0.25">
      <c r="C3724" s="1"/>
      <c r="D3724" s="1"/>
    </row>
    <row r="3725" spans="3:4" x14ac:dyDescent="0.25">
      <c r="C3725" s="1"/>
      <c r="D3725" s="1"/>
    </row>
    <row r="3726" spans="3:4" x14ac:dyDescent="0.25">
      <c r="C3726" s="1"/>
      <c r="D3726" s="1"/>
    </row>
    <row r="3727" spans="3:4" x14ac:dyDescent="0.25">
      <c r="C3727" s="1"/>
      <c r="D3727" s="1"/>
    </row>
    <row r="3728" spans="3:4" x14ac:dyDescent="0.25">
      <c r="C3728" s="1"/>
      <c r="D3728" s="1"/>
    </row>
    <row r="3729" spans="3:4" x14ac:dyDescent="0.25">
      <c r="C3729" s="1"/>
      <c r="D3729" s="1"/>
    </row>
    <row r="3730" spans="3:4" x14ac:dyDescent="0.25">
      <c r="C3730" s="1"/>
      <c r="D3730" s="1"/>
    </row>
    <row r="3731" spans="3:4" x14ac:dyDescent="0.25">
      <c r="C3731" s="1"/>
      <c r="D3731" s="1"/>
    </row>
    <row r="3732" spans="3:4" x14ac:dyDescent="0.25">
      <c r="C3732" s="1"/>
      <c r="D3732" s="1"/>
    </row>
    <row r="3733" spans="3:4" x14ac:dyDescent="0.25">
      <c r="C3733" s="1"/>
      <c r="D3733" s="1"/>
    </row>
    <row r="3734" spans="3:4" x14ac:dyDescent="0.25">
      <c r="C3734" s="1"/>
      <c r="D3734" s="1"/>
    </row>
    <row r="3735" spans="3:4" x14ac:dyDescent="0.25">
      <c r="C3735" s="1"/>
      <c r="D3735" s="1"/>
    </row>
    <row r="3736" spans="3:4" x14ac:dyDescent="0.25">
      <c r="C3736" s="1"/>
      <c r="D3736" s="1"/>
    </row>
    <row r="3737" spans="3:4" x14ac:dyDescent="0.25">
      <c r="C3737" s="1"/>
      <c r="D3737" s="1"/>
    </row>
    <row r="3738" spans="3:4" x14ac:dyDescent="0.25">
      <c r="C3738" s="1"/>
      <c r="D3738" s="1"/>
    </row>
    <row r="3739" spans="3:4" x14ac:dyDescent="0.25">
      <c r="C3739" s="1"/>
      <c r="D3739" s="1"/>
    </row>
    <row r="3740" spans="3:4" x14ac:dyDescent="0.25">
      <c r="C3740" s="1"/>
      <c r="D3740" s="1"/>
    </row>
    <row r="3741" spans="3:4" x14ac:dyDescent="0.25">
      <c r="C3741" s="1"/>
      <c r="D3741" s="1"/>
    </row>
    <row r="3742" spans="3:4" x14ac:dyDescent="0.25">
      <c r="C3742" s="1"/>
      <c r="D3742" s="1"/>
    </row>
    <row r="3743" spans="3:4" x14ac:dyDescent="0.25">
      <c r="C3743" s="1"/>
      <c r="D3743" s="1"/>
    </row>
    <row r="3744" spans="3:4" x14ac:dyDescent="0.25">
      <c r="C3744" s="1"/>
      <c r="D3744" s="1"/>
    </row>
    <row r="3745" spans="3:4" x14ac:dyDescent="0.25">
      <c r="C3745" s="1"/>
      <c r="D3745" s="1"/>
    </row>
    <row r="3746" spans="3:4" x14ac:dyDescent="0.25">
      <c r="C3746" s="1"/>
      <c r="D3746" s="1"/>
    </row>
    <row r="3747" spans="3:4" x14ac:dyDescent="0.25">
      <c r="C3747" s="1"/>
      <c r="D3747" s="1"/>
    </row>
    <row r="3748" spans="3:4" x14ac:dyDescent="0.25">
      <c r="C3748" s="1"/>
      <c r="D3748" s="1"/>
    </row>
    <row r="3749" spans="3:4" x14ac:dyDescent="0.25">
      <c r="C3749" s="1"/>
      <c r="D3749" s="1"/>
    </row>
    <row r="3750" spans="3:4" x14ac:dyDescent="0.25">
      <c r="C3750" s="1"/>
      <c r="D3750" s="1"/>
    </row>
    <row r="3751" spans="3:4" x14ac:dyDescent="0.25">
      <c r="C3751" s="1"/>
      <c r="D3751" s="1"/>
    </row>
    <row r="3752" spans="3:4" x14ac:dyDescent="0.25">
      <c r="C3752" s="1"/>
      <c r="D3752" s="1"/>
    </row>
    <row r="3753" spans="3:4" x14ac:dyDescent="0.25">
      <c r="C3753" s="1"/>
      <c r="D3753" s="1"/>
    </row>
    <row r="3754" spans="3:4" x14ac:dyDescent="0.25">
      <c r="C3754" s="1"/>
      <c r="D3754" s="1"/>
    </row>
    <row r="3755" spans="3:4" x14ac:dyDescent="0.25">
      <c r="C3755" s="1"/>
      <c r="D3755" s="1"/>
    </row>
    <row r="3756" spans="3:4" x14ac:dyDescent="0.25">
      <c r="C3756" s="1"/>
      <c r="D3756" s="1"/>
    </row>
    <row r="3757" spans="3:4" x14ac:dyDescent="0.25">
      <c r="C3757" s="1"/>
      <c r="D3757" s="1"/>
    </row>
    <row r="3758" spans="3:4" x14ac:dyDescent="0.25">
      <c r="C3758" s="1"/>
      <c r="D3758" s="1"/>
    </row>
    <row r="3759" spans="3:4" x14ac:dyDescent="0.25">
      <c r="C3759" s="1"/>
      <c r="D3759" s="1"/>
    </row>
    <row r="3760" spans="3:4" x14ac:dyDescent="0.25">
      <c r="C3760" s="1"/>
      <c r="D3760" s="1"/>
    </row>
    <row r="3761" spans="3:4" x14ac:dyDescent="0.25">
      <c r="C3761" s="1"/>
      <c r="D3761" s="1"/>
    </row>
    <row r="3762" spans="3:4" x14ac:dyDescent="0.25">
      <c r="C3762" s="1"/>
      <c r="D3762" s="1"/>
    </row>
    <row r="3763" spans="3:4" x14ac:dyDescent="0.25">
      <c r="C3763" s="1"/>
      <c r="D3763" s="1"/>
    </row>
    <row r="3764" spans="3:4" x14ac:dyDescent="0.25">
      <c r="C3764" s="1"/>
      <c r="D3764" s="1"/>
    </row>
    <row r="3765" spans="3:4" x14ac:dyDescent="0.25">
      <c r="C3765" s="1"/>
      <c r="D3765" s="1"/>
    </row>
    <row r="3766" spans="3:4" x14ac:dyDescent="0.25">
      <c r="C3766" s="1"/>
      <c r="D3766" s="1"/>
    </row>
    <row r="3767" spans="3:4" x14ac:dyDescent="0.25">
      <c r="C3767" s="1"/>
      <c r="D3767" s="1"/>
    </row>
    <row r="3768" spans="3:4" x14ac:dyDescent="0.25">
      <c r="C3768" s="1"/>
      <c r="D3768" s="1"/>
    </row>
    <row r="3769" spans="3:4" x14ac:dyDescent="0.25">
      <c r="C3769" s="1"/>
      <c r="D3769" s="1"/>
    </row>
    <row r="3770" spans="3:4" x14ac:dyDescent="0.25">
      <c r="C3770" s="1"/>
      <c r="D3770" s="1"/>
    </row>
    <row r="3771" spans="3:4" x14ac:dyDescent="0.25">
      <c r="C3771" s="1"/>
      <c r="D3771" s="1"/>
    </row>
    <row r="3772" spans="3:4" x14ac:dyDescent="0.25">
      <c r="C3772" s="1"/>
      <c r="D3772" s="1"/>
    </row>
    <row r="3773" spans="3:4" x14ac:dyDescent="0.25">
      <c r="C3773" s="1"/>
      <c r="D3773" s="1"/>
    </row>
    <row r="3774" spans="3:4" x14ac:dyDescent="0.25">
      <c r="C3774" s="1"/>
      <c r="D3774" s="1"/>
    </row>
    <row r="3775" spans="3:4" x14ac:dyDescent="0.25">
      <c r="C3775" s="1"/>
      <c r="D3775" s="1"/>
    </row>
    <row r="3776" spans="3:4" x14ac:dyDescent="0.25">
      <c r="C3776" s="1"/>
      <c r="D3776" s="1"/>
    </row>
    <row r="3777" spans="3:4" x14ac:dyDescent="0.25">
      <c r="C3777" s="1"/>
      <c r="D3777" s="1"/>
    </row>
    <row r="3778" spans="3:4" x14ac:dyDescent="0.25">
      <c r="C3778" s="1"/>
      <c r="D3778" s="1"/>
    </row>
    <row r="3779" spans="3:4" x14ac:dyDescent="0.25">
      <c r="C3779" s="1"/>
      <c r="D3779" s="1"/>
    </row>
    <row r="3780" spans="3:4" x14ac:dyDescent="0.25">
      <c r="C3780" s="1"/>
      <c r="D3780" s="1"/>
    </row>
    <row r="3781" spans="3:4" x14ac:dyDescent="0.25">
      <c r="C3781" s="1"/>
      <c r="D3781" s="1"/>
    </row>
    <row r="3782" spans="3:4" x14ac:dyDescent="0.25">
      <c r="C3782" s="1"/>
      <c r="D3782" s="1"/>
    </row>
    <row r="3783" spans="3:4" x14ac:dyDescent="0.25">
      <c r="C3783" s="1"/>
      <c r="D3783" s="1"/>
    </row>
    <row r="3784" spans="3:4" x14ac:dyDescent="0.25">
      <c r="C3784" s="1"/>
      <c r="D3784" s="1"/>
    </row>
    <row r="3785" spans="3:4" x14ac:dyDescent="0.25">
      <c r="C3785" s="1"/>
      <c r="D3785" s="1"/>
    </row>
    <row r="3786" spans="3:4" x14ac:dyDescent="0.25">
      <c r="C3786" s="1"/>
      <c r="D3786" s="1"/>
    </row>
    <row r="3787" spans="3:4" x14ac:dyDescent="0.25">
      <c r="C3787" s="1"/>
      <c r="D3787" s="1"/>
    </row>
    <row r="3788" spans="3:4" x14ac:dyDescent="0.25">
      <c r="C3788" s="1"/>
      <c r="D3788" s="1"/>
    </row>
    <row r="3789" spans="3:4" x14ac:dyDescent="0.25">
      <c r="C3789" s="1"/>
      <c r="D3789" s="1"/>
    </row>
    <row r="3790" spans="3:4" x14ac:dyDescent="0.25">
      <c r="C3790" s="1"/>
      <c r="D3790" s="1"/>
    </row>
    <row r="3791" spans="3:4" x14ac:dyDescent="0.25">
      <c r="C3791" s="1"/>
      <c r="D3791" s="1"/>
    </row>
    <row r="3792" spans="3:4" x14ac:dyDescent="0.25">
      <c r="C3792" s="1"/>
      <c r="D3792" s="1"/>
    </row>
    <row r="3793" spans="3:4" x14ac:dyDescent="0.25">
      <c r="C3793" s="1"/>
      <c r="D3793" s="1"/>
    </row>
    <row r="3794" spans="3:4" x14ac:dyDescent="0.25">
      <c r="C3794" s="1"/>
      <c r="D3794" s="1"/>
    </row>
    <row r="3795" spans="3:4" x14ac:dyDescent="0.25">
      <c r="C3795" s="1"/>
      <c r="D3795" s="1"/>
    </row>
    <row r="3796" spans="3:4" x14ac:dyDescent="0.25">
      <c r="C3796" s="1"/>
      <c r="D3796" s="1"/>
    </row>
    <row r="3797" spans="3:4" x14ac:dyDescent="0.25">
      <c r="C3797" s="1"/>
      <c r="D3797" s="1"/>
    </row>
    <row r="3798" spans="3:4" x14ac:dyDescent="0.25">
      <c r="C3798" s="1"/>
      <c r="D3798" s="1"/>
    </row>
    <row r="3799" spans="3:4" x14ac:dyDescent="0.25">
      <c r="C3799" s="1"/>
      <c r="D3799" s="1"/>
    </row>
    <row r="3800" spans="3:4" x14ac:dyDescent="0.25">
      <c r="C3800" s="1"/>
      <c r="D3800" s="1"/>
    </row>
    <row r="3801" spans="3:4" x14ac:dyDescent="0.25">
      <c r="C3801" s="1"/>
      <c r="D3801" s="1"/>
    </row>
    <row r="3802" spans="3:4" x14ac:dyDescent="0.25">
      <c r="C3802" s="1"/>
      <c r="D3802" s="1"/>
    </row>
    <row r="3803" spans="3:4" x14ac:dyDescent="0.25">
      <c r="C3803" s="1"/>
      <c r="D3803" s="1"/>
    </row>
    <row r="3804" spans="3:4" x14ac:dyDescent="0.25">
      <c r="C3804" s="1"/>
      <c r="D3804" s="1"/>
    </row>
    <row r="3805" spans="3:4" x14ac:dyDescent="0.25">
      <c r="C3805" s="1"/>
      <c r="D3805" s="1"/>
    </row>
    <row r="3806" spans="3:4" x14ac:dyDescent="0.25">
      <c r="C3806" s="1"/>
      <c r="D3806" s="1"/>
    </row>
    <row r="3807" spans="3:4" x14ac:dyDescent="0.25">
      <c r="C3807" s="1"/>
      <c r="D3807" s="1"/>
    </row>
    <row r="3808" spans="3:4" x14ac:dyDescent="0.25">
      <c r="C3808" s="1"/>
      <c r="D3808" s="1"/>
    </row>
    <row r="3809" spans="3:4" x14ac:dyDescent="0.25">
      <c r="C3809" s="1"/>
      <c r="D3809" s="1"/>
    </row>
    <row r="3810" spans="3:4" x14ac:dyDescent="0.25">
      <c r="C3810" s="1"/>
      <c r="D3810" s="1"/>
    </row>
    <row r="3811" spans="3:4" x14ac:dyDescent="0.25">
      <c r="C3811" s="1"/>
      <c r="D3811" s="1"/>
    </row>
    <row r="3812" spans="3:4" x14ac:dyDescent="0.25">
      <c r="C3812" s="1"/>
      <c r="D3812" s="1"/>
    </row>
    <row r="3813" spans="3:4" x14ac:dyDescent="0.25">
      <c r="C3813" s="1"/>
      <c r="D3813" s="1"/>
    </row>
    <row r="3814" spans="3:4" x14ac:dyDescent="0.25">
      <c r="C3814" s="1"/>
      <c r="D3814" s="1"/>
    </row>
    <row r="3815" spans="3:4" x14ac:dyDescent="0.25">
      <c r="C3815" s="1"/>
      <c r="D3815" s="1"/>
    </row>
    <row r="3816" spans="3:4" x14ac:dyDescent="0.25">
      <c r="C3816" s="1"/>
      <c r="D3816" s="1"/>
    </row>
    <row r="3817" spans="3:4" x14ac:dyDescent="0.25">
      <c r="C3817" s="1"/>
      <c r="D3817" s="1"/>
    </row>
    <row r="3818" spans="3:4" x14ac:dyDescent="0.25">
      <c r="C3818" s="1"/>
      <c r="D3818" s="1"/>
    </row>
    <row r="3819" spans="3:4" x14ac:dyDescent="0.25">
      <c r="C3819" s="1"/>
      <c r="D3819" s="1"/>
    </row>
    <row r="3820" spans="3:4" x14ac:dyDescent="0.25">
      <c r="C3820" s="1"/>
      <c r="D3820" s="1"/>
    </row>
    <row r="3821" spans="3:4" x14ac:dyDescent="0.25">
      <c r="C3821" s="1"/>
      <c r="D3821" s="1"/>
    </row>
    <row r="3822" spans="3:4" x14ac:dyDescent="0.25">
      <c r="C3822" s="1"/>
      <c r="D3822" s="1"/>
    </row>
    <row r="3823" spans="3:4" x14ac:dyDescent="0.25">
      <c r="C3823" s="1"/>
      <c r="D3823" s="1"/>
    </row>
    <row r="3824" spans="3:4" x14ac:dyDescent="0.25">
      <c r="C3824" s="1"/>
      <c r="D3824" s="1"/>
    </row>
    <row r="3825" spans="3:4" x14ac:dyDescent="0.25">
      <c r="C3825" s="1"/>
      <c r="D3825" s="1"/>
    </row>
    <row r="3826" spans="3:4" x14ac:dyDescent="0.25">
      <c r="C3826" s="1"/>
      <c r="D3826" s="1"/>
    </row>
    <row r="3827" spans="3:4" x14ac:dyDescent="0.25">
      <c r="C3827" s="1"/>
      <c r="D3827" s="1"/>
    </row>
    <row r="3828" spans="3:4" x14ac:dyDescent="0.25">
      <c r="C3828" s="1"/>
      <c r="D3828" s="1"/>
    </row>
    <row r="3829" spans="3:4" x14ac:dyDescent="0.25">
      <c r="C3829" s="1"/>
      <c r="D3829" s="1"/>
    </row>
    <row r="3830" spans="3:4" x14ac:dyDescent="0.25">
      <c r="C3830" s="1"/>
      <c r="D3830" s="1"/>
    </row>
    <row r="3831" spans="3:4" x14ac:dyDescent="0.25">
      <c r="C3831" s="1"/>
      <c r="D3831" s="1"/>
    </row>
    <row r="3832" spans="3:4" x14ac:dyDescent="0.25">
      <c r="C3832" s="1"/>
      <c r="D3832" s="1"/>
    </row>
    <row r="3833" spans="3:4" x14ac:dyDescent="0.25">
      <c r="C3833" s="1"/>
      <c r="D3833" s="1"/>
    </row>
    <row r="3834" spans="3:4" x14ac:dyDescent="0.25">
      <c r="C3834" s="1"/>
      <c r="D3834" s="1"/>
    </row>
    <row r="3835" spans="3:4" x14ac:dyDescent="0.25">
      <c r="C3835" s="1"/>
      <c r="D3835" s="1"/>
    </row>
    <row r="3836" spans="3:4" x14ac:dyDescent="0.25">
      <c r="C3836" s="1"/>
      <c r="D3836" s="1"/>
    </row>
    <row r="3837" spans="3:4" x14ac:dyDescent="0.25">
      <c r="C3837" s="1"/>
      <c r="D3837" s="1"/>
    </row>
    <row r="3838" spans="3:4" x14ac:dyDescent="0.25">
      <c r="C3838" s="1"/>
      <c r="D3838" s="1"/>
    </row>
    <row r="3839" spans="3:4" x14ac:dyDescent="0.25">
      <c r="C3839" s="1"/>
      <c r="D3839" s="1"/>
    </row>
    <row r="3840" spans="3:4" x14ac:dyDescent="0.25">
      <c r="C3840" s="1"/>
      <c r="D3840" s="1"/>
    </row>
    <row r="3841" spans="3:4" x14ac:dyDescent="0.25">
      <c r="C3841" s="1"/>
      <c r="D3841" s="1"/>
    </row>
    <row r="3842" spans="3:4" x14ac:dyDescent="0.25">
      <c r="C3842" s="1"/>
      <c r="D3842" s="1"/>
    </row>
    <row r="3843" spans="3:4" x14ac:dyDescent="0.25">
      <c r="C3843" s="1"/>
      <c r="D3843" s="1"/>
    </row>
    <row r="3844" spans="3:4" x14ac:dyDescent="0.25">
      <c r="C3844" s="1"/>
      <c r="D3844" s="1"/>
    </row>
    <row r="3845" spans="3:4" x14ac:dyDescent="0.25">
      <c r="C3845" s="1"/>
      <c r="D3845" s="1"/>
    </row>
    <row r="3846" spans="3:4" x14ac:dyDescent="0.25">
      <c r="C3846" s="1"/>
      <c r="D3846" s="1"/>
    </row>
    <row r="3847" spans="3:4" x14ac:dyDescent="0.25">
      <c r="C3847" s="1"/>
      <c r="D3847" s="1"/>
    </row>
    <row r="3848" spans="3:4" x14ac:dyDescent="0.25">
      <c r="C3848" s="1"/>
      <c r="D3848" s="1"/>
    </row>
    <row r="3849" spans="3:4" x14ac:dyDescent="0.25">
      <c r="C3849" s="1"/>
      <c r="D3849" s="1"/>
    </row>
    <row r="3850" spans="3:4" x14ac:dyDescent="0.25">
      <c r="C3850" s="1"/>
      <c r="D3850" s="1"/>
    </row>
    <row r="3851" spans="3:4" x14ac:dyDescent="0.25">
      <c r="C3851" s="1"/>
      <c r="D3851" s="1"/>
    </row>
    <row r="3852" spans="3:4" x14ac:dyDescent="0.25">
      <c r="C3852" s="1"/>
      <c r="D3852" s="1"/>
    </row>
    <row r="3853" spans="3:4" x14ac:dyDescent="0.25">
      <c r="C3853" s="1"/>
      <c r="D3853" s="1"/>
    </row>
    <row r="3854" spans="3:4" x14ac:dyDescent="0.25">
      <c r="C3854" s="1"/>
      <c r="D3854" s="1"/>
    </row>
    <row r="3855" spans="3:4" x14ac:dyDescent="0.25">
      <c r="C3855" s="1"/>
      <c r="D3855" s="1"/>
    </row>
    <row r="3856" spans="3:4" x14ac:dyDescent="0.25">
      <c r="C3856" s="1"/>
      <c r="D3856" s="1"/>
    </row>
    <row r="3857" spans="3:4" x14ac:dyDescent="0.25">
      <c r="C3857" s="1"/>
      <c r="D3857" s="1"/>
    </row>
    <row r="3858" spans="3:4" x14ac:dyDescent="0.25">
      <c r="C3858" s="1"/>
      <c r="D3858" s="1"/>
    </row>
    <row r="3859" spans="3:4" x14ac:dyDescent="0.25">
      <c r="C3859" s="1"/>
      <c r="D3859" s="1"/>
    </row>
    <row r="3860" spans="3:4" x14ac:dyDescent="0.25">
      <c r="C3860" s="1"/>
      <c r="D3860" s="1"/>
    </row>
    <row r="3861" spans="3:4" x14ac:dyDescent="0.25">
      <c r="C3861" s="1"/>
      <c r="D3861" s="1"/>
    </row>
    <row r="3862" spans="3:4" x14ac:dyDescent="0.25">
      <c r="C3862" s="1"/>
      <c r="D3862" s="1"/>
    </row>
    <row r="3863" spans="3:4" x14ac:dyDescent="0.25">
      <c r="C3863" s="1"/>
      <c r="D3863" s="1"/>
    </row>
    <row r="3864" spans="3:4" x14ac:dyDescent="0.25">
      <c r="C3864" s="1"/>
      <c r="D3864" s="1"/>
    </row>
    <row r="3865" spans="3:4" x14ac:dyDescent="0.25">
      <c r="C3865" s="1"/>
      <c r="D3865" s="1"/>
    </row>
    <row r="3866" spans="3:4" x14ac:dyDescent="0.25">
      <c r="C3866" s="1"/>
      <c r="D3866" s="1"/>
    </row>
    <row r="3867" spans="3:4" x14ac:dyDescent="0.25">
      <c r="C3867" s="1"/>
      <c r="D3867" s="1"/>
    </row>
    <row r="3868" spans="3:4" x14ac:dyDescent="0.25">
      <c r="C3868" s="1"/>
      <c r="D3868" s="1"/>
    </row>
    <row r="3869" spans="3:4" x14ac:dyDescent="0.25">
      <c r="C3869" s="1"/>
      <c r="D3869" s="1"/>
    </row>
    <row r="3870" spans="3:4" x14ac:dyDescent="0.25">
      <c r="C3870" s="1"/>
      <c r="D3870" s="1"/>
    </row>
    <row r="3871" spans="3:4" x14ac:dyDescent="0.25">
      <c r="C3871" s="1"/>
      <c r="D3871" s="1"/>
    </row>
    <row r="3872" spans="3:4" x14ac:dyDescent="0.25">
      <c r="C3872" s="1"/>
      <c r="D3872" s="1"/>
    </row>
    <row r="3873" spans="3:4" x14ac:dyDescent="0.25">
      <c r="C3873" s="1"/>
      <c r="D3873" s="1"/>
    </row>
    <row r="3874" spans="3:4" x14ac:dyDescent="0.25">
      <c r="C3874" s="1"/>
      <c r="D3874" s="1"/>
    </row>
    <row r="3875" spans="3:4" x14ac:dyDescent="0.25">
      <c r="C3875" s="1"/>
      <c r="D3875" s="1"/>
    </row>
    <row r="3876" spans="3:4" x14ac:dyDescent="0.25">
      <c r="C3876" s="1"/>
      <c r="D3876" s="1"/>
    </row>
    <row r="3877" spans="3:4" x14ac:dyDescent="0.25">
      <c r="C3877" s="1"/>
      <c r="D3877" s="1"/>
    </row>
    <row r="3878" spans="3:4" x14ac:dyDescent="0.25">
      <c r="C3878" s="1"/>
      <c r="D3878" s="1"/>
    </row>
    <row r="3879" spans="3:4" x14ac:dyDescent="0.25">
      <c r="C3879" s="1"/>
      <c r="D3879" s="1"/>
    </row>
    <row r="3880" spans="3:4" x14ac:dyDescent="0.25">
      <c r="C3880" s="1"/>
      <c r="D3880" s="1"/>
    </row>
    <row r="3881" spans="3:4" x14ac:dyDescent="0.25">
      <c r="C3881" s="1"/>
      <c r="D3881" s="1"/>
    </row>
    <row r="3882" spans="3:4" x14ac:dyDescent="0.25">
      <c r="C3882" s="1"/>
      <c r="D3882" s="1"/>
    </row>
    <row r="3883" spans="3:4" x14ac:dyDescent="0.25">
      <c r="C3883" s="1"/>
      <c r="D3883" s="1"/>
    </row>
    <row r="3884" spans="3:4" x14ac:dyDescent="0.25">
      <c r="C3884" s="1"/>
      <c r="D3884" s="1"/>
    </row>
    <row r="3885" spans="3:4" x14ac:dyDescent="0.25">
      <c r="C3885" s="1"/>
      <c r="D3885" s="1"/>
    </row>
    <row r="3886" spans="3:4" x14ac:dyDescent="0.25">
      <c r="C3886" s="1"/>
      <c r="D3886" s="1"/>
    </row>
    <row r="3887" spans="3:4" x14ac:dyDescent="0.25">
      <c r="C3887" s="1"/>
      <c r="D3887" s="1"/>
    </row>
    <row r="3888" spans="3:4" x14ac:dyDescent="0.25">
      <c r="C3888" s="1"/>
      <c r="D3888" s="1"/>
    </row>
    <row r="3889" spans="3:4" x14ac:dyDescent="0.25">
      <c r="C3889" s="1"/>
      <c r="D3889" s="1"/>
    </row>
    <row r="3890" spans="3:4" x14ac:dyDescent="0.25">
      <c r="C3890" s="1"/>
      <c r="D3890" s="1"/>
    </row>
    <row r="3891" spans="3:4" x14ac:dyDescent="0.25">
      <c r="C3891" s="1"/>
      <c r="D3891" s="1"/>
    </row>
    <row r="3892" spans="3:4" x14ac:dyDescent="0.25">
      <c r="C3892" s="1"/>
      <c r="D3892" s="1"/>
    </row>
    <row r="3893" spans="3:4" x14ac:dyDescent="0.25">
      <c r="C3893" s="1"/>
      <c r="D3893" s="1"/>
    </row>
    <row r="3894" spans="3:4" x14ac:dyDescent="0.25">
      <c r="C3894" s="1"/>
      <c r="D3894" s="1"/>
    </row>
    <row r="3895" spans="3:4" x14ac:dyDescent="0.25">
      <c r="C3895" s="1"/>
      <c r="D3895" s="1"/>
    </row>
    <row r="3896" spans="3:4" x14ac:dyDescent="0.25">
      <c r="C3896" s="1"/>
      <c r="D3896" s="1"/>
    </row>
    <row r="3897" spans="3:4" x14ac:dyDescent="0.25">
      <c r="C3897" s="1"/>
      <c r="D3897" s="1"/>
    </row>
    <row r="3898" spans="3:4" x14ac:dyDescent="0.25">
      <c r="C3898" s="1"/>
      <c r="D3898" s="1"/>
    </row>
    <row r="3899" spans="3:4" x14ac:dyDescent="0.25">
      <c r="C3899" s="1"/>
      <c r="D3899" s="1"/>
    </row>
    <row r="3900" spans="3:4" x14ac:dyDescent="0.25">
      <c r="C3900" s="1"/>
      <c r="D3900" s="1"/>
    </row>
    <row r="3901" spans="3:4" x14ac:dyDescent="0.25">
      <c r="C3901" s="1"/>
      <c r="D3901" s="1"/>
    </row>
    <row r="3902" spans="3:4" x14ac:dyDescent="0.25">
      <c r="C3902" s="1"/>
      <c r="D3902" s="1"/>
    </row>
    <row r="3903" spans="3:4" x14ac:dyDescent="0.25">
      <c r="C3903" s="1"/>
      <c r="D3903" s="1"/>
    </row>
    <row r="3904" spans="3:4" x14ac:dyDescent="0.25">
      <c r="C3904" s="1"/>
      <c r="D3904" s="1"/>
    </row>
    <row r="3905" spans="3:4" x14ac:dyDescent="0.25">
      <c r="C3905" s="1"/>
      <c r="D3905" s="1"/>
    </row>
    <row r="3906" spans="3:4" x14ac:dyDescent="0.25">
      <c r="C3906" s="1"/>
      <c r="D3906" s="1"/>
    </row>
    <row r="3907" spans="3:4" x14ac:dyDescent="0.25">
      <c r="C3907" s="1"/>
      <c r="D3907" s="1"/>
    </row>
    <row r="3908" spans="3:4" x14ac:dyDescent="0.25">
      <c r="C3908" s="1"/>
      <c r="D3908" s="1"/>
    </row>
    <row r="3909" spans="3:4" x14ac:dyDescent="0.25">
      <c r="C3909" s="1"/>
      <c r="D3909" s="1"/>
    </row>
    <row r="3910" spans="3:4" x14ac:dyDescent="0.25">
      <c r="C3910" s="1"/>
      <c r="D3910" s="1"/>
    </row>
    <row r="3911" spans="3:4" x14ac:dyDescent="0.25">
      <c r="C3911" s="1"/>
      <c r="D3911" s="1"/>
    </row>
    <row r="3912" spans="3:4" x14ac:dyDescent="0.25">
      <c r="C3912" s="1"/>
      <c r="D3912" s="1"/>
    </row>
    <row r="3913" spans="3:4" x14ac:dyDescent="0.25">
      <c r="C3913" s="1"/>
      <c r="D3913" s="1"/>
    </row>
    <row r="3914" spans="3:4" x14ac:dyDescent="0.25">
      <c r="C3914" s="1"/>
      <c r="D3914" s="1"/>
    </row>
    <row r="3915" spans="3:4" x14ac:dyDescent="0.25">
      <c r="C3915" s="1"/>
      <c r="D3915" s="1"/>
    </row>
    <row r="3916" spans="3:4" x14ac:dyDescent="0.25">
      <c r="C3916" s="1"/>
      <c r="D3916" s="1"/>
    </row>
    <row r="3917" spans="3:4" x14ac:dyDescent="0.25">
      <c r="C3917" s="1"/>
      <c r="D3917" s="1"/>
    </row>
    <row r="3918" spans="3:4" x14ac:dyDescent="0.25">
      <c r="C3918" s="1"/>
      <c r="D3918" s="1"/>
    </row>
    <row r="3919" spans="3:4" x14ac:dyDescent="0.25">
      <c r="C3919" s="1"/>
      <c r="D3919" s="1"/>
    </row>
    <row r="3920" spans="3:4" x14ac:dyDescent="0.25">
      <c r="C3920" s="1"/>
      <c r="D3920" s="1"/>
    </row>
    <row r="3921" spans="3:4" x14ac:dyDescent="0.25">
      <c r="C3921" s="1"/>
      <c r="D3921" s="1"/>
    </row>
    <row r="3922" spans="3:4" x14ac:dyDescent="0.25">
      <c r="C3922" s="1"/>
      <c r="D3922" s="1"/>
    </row>
    <row r="3923" spans="3:4" x14ac:dyDescent="0.25">
      <c r="C3923" s="1"/>
      <c r="D3923" s="1"/>
    </row>
    <row r="3924" spans="3:4" x14ac:dyDescent="0.25">
      <c r="C3924" s="1"/>
      <c r="D3924" s="1"/>
    </row>
    <row r="3925" spans="3:4" x14ac:dyDescent="0.25">
      <c r="C3925" s="1"/>
      <c r="D3925" s="1"/>
    </row>
    <row r="3926" spans="3:4" x14ac:dyDescent="0.25">
      <c r="C3926" s="1"/>
      <c r="D3926" s="1"/>
    </row>
    <row r="3927" spans="3:4" x14ac:dyDescent="0.25">
      <c r="C3927" s="1"/>
      <c r="D3927" s="1"/>
    </row>
    <row r="3928" spans="3:4" x14ac:dyDescent="0.25">
      <c r="C3928" s="1"/>
      <c r="D3928" s="1"/>
    </row>
    <row r="3929" spans="3:4" x14ac:dyDescent="0.25">
      <c r="C3929" s="1"/>
      <c r="D3929" s="1"/>
    </row>
    <row r="3930" spans="3:4" x14ac:dyDescent="0.25">
      <c r="C3930" s="1"/>
      <c r="D3930" s="1"/>
    </row>
    <row r="3931" spans="3:4" x14ac:dyDescent="0.25">
      <c r="C3931" s="1"/>
      <c r="D3931" s="1"/>
    </row>
    <row r="3932" spans="3:4" x14ac:dyDescent="0.25">
      <c r="C3932" s="1"/>
      <c r="D3932" s="1"/>
    </row>
    <row r="3933" spans="3:4" x14ac:dyDescent="0.25">
      <c r="C3933" s="1"/>
      <c r="D3933" s="1"/>
    </row>
    <row r="3934" spans="3:4" x14ac:dyDescent="0.25">
      <c r="C3934" s="1"/>
      <c r="D3934" s="1"/>
    </row>
    <row r="3935" spans="3:4" x14ac:dyDescent="0.25">
      <c r="C3935" s="1"/>
      <c r="D3935" s="1"/>
    </row>
    <row r="3936" spans="3:4" x14ac:dyDescent="0.25">
      <c r="C3936" s="1"/>
      <c r="D3936" s="1"/>
    </row>
    <row r="3937" spans="3:4" x14ac:dyDescent="0.25">
      <c r="C3937" s="1"/>
      <c r="D3937" s="1"/>
    </row>
    <row r="3938" spans="3:4" x14ac:dyDescent="0.25">
      <c r="C3938" s="1"/>
      <c r="D3938" s="1"/>
    </row>
    <row r="3939" spans="3:4" x14ac:dyDescent="0.25">
      <c r="C3939" s="1"/>
      <c r="D3939" s="1"/>
    </row>
    <row r="3940" spans="3:4" x14ac:dyDescent="0.25">
      <c r="C3940" s="1"/>
      <c r="D3940" s="1"/>
    </row>
    <row r="3941" spans="3:4" x14ac:dyDescent="0.25">
      <c r="C3941" s="1"/>
      <c r="D3941" s="1"/>
    </row>
    <row r="3942" spans="3:4" x14ac:dyDescent="0.25">
      <c r="C3942" s="1"/>
      <c r="D3942" s="1"/>
    </row>
    <row r="3943" spans="3:4" x14ac:dyDescent="0.25">
      <c r="C3943" s="1"/>
      <c r="D3943" s="1"/>
    </row>
    <row r="3944" spans="3:4" x14ac:dyDescent="0.25">
      <c r="C3944" s="1"/>
      <c r="D3944" s="1"/>
    </row>
    <row r="3945" spans="3:4" x14ac:dyDescent="0.25">
      <c r="C3945" s="1"/>
      <c r="D3945" s="1"/>
    </row>
    <row r="3946" spans="3:4" x14ac:dyDescent="0.25">
      <c r="C3946" s="1"/>
      <c r="D3946" s="1"/>
    </row>
    <row r="3947" spans="3:4" x14ac:dyDescent="0.25">
      <c r="C3947" s="1"/>
      <c r="D3947" s="1"/>
    </row>
    <row r="3948" spans="3:4" x14ac:dyDescent="0.25">
      <c r="C3948" s="1"/>
      <c r="D3948" s="1"/>
    </row>
    <row r="3949" spans="3:4" x14ac:dyDescent="0.25">
      <c r="C3949" s="1"/>
      <c r="D3949" s="1"/>
    </row>
    <row r="3950" spans="3:4" x14ac:dyDescent="0.25">
      <c r="C3950" s="1"/>
      <c r="D3950" s="1"/>
    </row>
    <row r="3951" spans="3:4" x14ac:dyDescent="0.25">
      <c r="C3951" s="1"/>
      <c r="D3951" s="1"/>
    </row>
    <row r="3952" spans="3:4" x14ac:dyDescent="0.25">
      <c r="C3952" s="1"/>
      <c r="D3952" s="1"/>
    </row>
    <row r="3953" spans="3:4" x14ac:dyDescent="0.25">
      <c r="C3953" s="1"/>
      <c r="D3953" s="1"/>
    </row>
    <row r="3954" spans="3:4" x14ac:dyDescent="0.25">
      <c r="C3954" s="1"/>
      <c r="D3954" s="1"/>
    </row>
    <row r="3955" spans="3:4" x14ac:dyDescent="0.25">
      <c r="C3955" s="1"/>
      <c r="D3955" s="1"/>
    </row>
    <row r="3956" spans="3:4" x14ac:dyDescent="0.25">
      <c r="C3956" s="1"/>
      <c r="D3956" s="1"/>
    </row>
    <row r="3957" spans="3:4" x14ac:dyDescent="0.25">
      <c r="C3957" s="1"/>
      <c r="D3957" s="1"/>
    </row>
    <row r="3958" spans="3:4" x14ac:dyDescent="0.25">
      <c r="C3958" s="1"/>
      <c r="D3958" s="1"/>
    </row>
    <row r="3959" spans="3:4" x14ac:dyDescent="0.25">
      <c r="C3959" s="1"/>
      <c r="D3959" s="1"/>
    </row>
    <row r="3960" spans="3:4" x14ac:dyDescent="0.25">
      <c r="C3960" s="1"/>
      <c r="D3960" s="1"/>
    </row>
    <row r="3961" spans="3:4" x14ac:dyDescent="0.25">
      <c r="C3961" s="1"/>
      <c r="D3961" s="1"/>
    </row>
    <row r="3962" spans="3:4" x14ac:dyDescent="0.25">
      <c r="C3962" s="1"/>
      <c r="D3962" s="1"/>
    </row>
    <row r="3963" spans="3:4" x14ac:dyDescent="0.25">
      <c r="C3963" s="1"/>
      <c r="D3963" s="1"/>
    </row>
    <row r="3964" spans="3:4" x14ac:dyDescent="0.25">
      <c r="C3964" s="1"/>
      <c r="D3964" s="1"/>
    </row>
    <row r="3965" spans="3:4" x14ac:dyDescent="0.25">
      <c r="C3965" s="1"/>
      <c r="D3965" s="1"/>
    </row>
    <row r="3966" spans="3:4" x14ac:dyDescent="0.25">
      <c r="C3966" s="1"/>
      <c r="D3966" s="1"/>
    </row>
    <row r="3967" spans="3:4" x14ac:dyDescent="0.25">
      <c r="C3967" s="1"/>
      <c r="D3967" s="1"/>
    </row>
    <row r="3968" spans="3:4" x14ac:dyDescent="0.25">
      <c r="C3968" s="1"/>
      <c r="D3968" s="1"/>
    </row>
    <row r="3969" spans="3:4" x14ac:dyDescent="0.25">
      <c r="C3969" s="1"/>
      <c r="D3969" s="1"/>
    </row>
    <row r="3970" spans="3:4" x14ac:dyDescent="0.25">
      <c r="C3970" s="1"/>
      <c r="D3970" s="1"/>
    </row>
    <row r="3971" spans="3:4" x14ac:dyDescent="0.25">
      <c r="C3971" s="1"/>
      <c r="D3971" s="1"/>
    </row>
    <row r="3972" spans="3:4" x14ac:dyDescent="0.25">
      <c r="C3972" s="1"/>
      <c r="D3972" s="1"/>
    </row>
    <row r="3973" spans="3:4" x14ac:dyDescent="0.25">
      <c r="C3973" s="1"/>
      <c r="D3973" s="1"/>
    </row>
    <row r="3974" spans="3:4" x14ac:dyDescent="0.25">
      <c r="C3974" s="1"/>
      <c r="D3974" s="1"/>
    </row>
    <row r="3975" spans="3:4" x14ac:dyDescent="0.25">
      <c r="C3975" s="1"/>
      <c r="D3975" s="1"/>
    </row>
    <row r="3976" spans="3:4" x14ac:dyDescent="0.25">
      <c r="C3976" s="1"/>
      <c r="D3976" s="1"/>
    </row>
    <row r="3977" spans="3:4" x14ac:dyDescent="0.25">
      <c r="C3977" s="1"/>
      <c r="D3977" s="1"/>
    </row>
    <row r="3978" spans="3:4" x14ac:dyDescent="0.25">
      <c r="C3978" s="1"/>
      <c r="D3978" s="1"/>
    </row>
    <row r="3979" spans="3:4" x14ac:dyDescent="0.25">
      <c r="C3979" s="1"/>
      <c r="D3979" s="1"/>
    </row>
    <row r="3980" spans="3:4" x14ac:dyDescent="0.25">
      <c r="C3980" s="1"/>
      <c r="D3980" s="1"/>
    </row>
    <row r="3981" spans="3:4" x14ac:dyDescent="0.25">
      <c r="C3981" s="1"/>
      <c r="D3981" s="1"/>
    </row>
    <row r="3982" spans="3:4" x14ac:dyDescent="0.25">
      <c r="C3982" s="1"/>
      <c r="D3982" s="1"/>
    </row>
    <row r="3983" spans="3:4" x14ac:dyDescent="0.25">
      <c r="C3983" s="1"/>
      <c r="D3983" s="1"/>
    </row>
    <row r="3984" spans="3:4" x14ac:dyDescent="0.25">
      <c r="C3984" s="1"/>
      <c r="D3984" s="1"/>
    </row>
    <row r="3985" spans="3:4" x14ac:dyDescent="0.25">
      <c r="C3985" s="1"/>
      <c r="D3985" s="1"/>
    </row>
    <row r="3986" spans="3:4" x14ac:dyDescent="0.25">
      <c r="C3986" s="1"/>
      <c r="D3986" s="1"/>
    </row>
    <row r="3987" spans="3:4" x14ac:dyDescent="0.25">
      <c r="C3987" s="1"/>
      <c r="D3987" s="1"/>
    </row>
    <row r="3988" spans="3:4" x14ac:dyDescent="0.25">
      <c r="C3988" s="1"/>
      <c r="D3988" s="1"/>
    </row>
    <row r="3989" spans="3:4" x14ac:dyDescent="0.25">
      <c r="C3989" s="1"/>
      <c r="D3989" s="1"/>
    </row>
    <row r="3990" spans="3:4" x14ac:dyDescent="0.25">
      <c r="C3990" s="1"/>
      <c r="D3990" s="1"/>
    </row>
    <row r="3991" spans="3:4" x14ac:dyDescent="0.25">
      <c r="C3991" s="1"/>
      <c r="D3991" s="1"/>
    </row>
    <row r="3992" spans="3:4" x14ac:dyDescent="0.25">
      <c r="C3992" s="1"/>
      <c r="D3992" s="1"/>
    </row>
    <row r="3993" spans="3:4" x14ac:dyDescent="0.25">
      <c r="C3993" s="1"/>
      <c r="D3993" s="1"/>
    </row>
    <row r="3994" spans="3:4" x14ac:dyDescent="0.25">
      <c r="C3994" s="1"/>
      <c r="D3994" s="1"/>
    </row>
    <row r="3995" spans="3:4" x14ac:dyDescent="0.25">
      <c r="C3995" s="1"/>
      <c r="D3995" s="1"/>
    </row>
    <row r="3996" spans="3:4" x14ac:dyDescent="0.25">
      <c r="C3996" s="1"/>
      <c r="D3996" s="1"/>
    </row>
    <row r="3997" spans="3:4" x14ac:dyDescent="0.25">
      <c r="C3997" s="1"/>
      <c r="D3997" s="1"/>
    </row>
    <row r="3998" spans="3:4" x14ac:dyDescent="0.25">
      <c r="C3998" s="1"/>
      <c r="D3998" s="1"/>
    </row>
    <row r="3999" spans="3:4" x14ac:dyDescent="0.25">
      <c r="C3999" s="1"/>
      <c r="D3999" s="1"/>
    </row>
    <row r="4000" spans="3:4" x14ac:dyDescent="0.25">
      <c r="C4000" s="1"/>
      <c r="D4000" s="1"/>
    </row>
    <row r="4001" spans="3:4" x14ac:dyDescent="0.25">
      <c r="C4001" s="1"/>
      <c r="D4001" s="1"/>
    </row>
    <row r="4002" spans="3:4" x14ac:dyDescent="0.25">
      <c r="C4002" s="1"/>
      <c r="D4002" s="1"/>
    </row>
    <row r="4003" spans="3:4" x14ac:dyDescent="0.25">
      <c r="C4003" s="1"/>
      <c r="D4003" s="1"/>
    </row>
    <row r="4004" spans="3:4" x14ac:dyDescent="0.25">
      <c r="C4004" s="1"/>
      <c r="D4004" s="1"/>
    </row>
    <row r="4005" spans="3:4" x14ac:dyDescent="0.25">
      <c r="C4005" s="1"/>
      <c r="D4005" s="1"/>
    </row>
    <row r="4006" spans="3:4" x14ac:dyDescent="0.25">
      <c r="C4006" s="1"/>
      <c r="D4006" s="1"/>
    </row>
    <row r="4007" spans="3:4" x14ac:dyDescent="0.25">
      <c r="C4007" s="1"/>
      <c r="D4007" s="1"/>
    </row>
    <row r="4008" spans="3:4" x14ac:dyDescent="0.25">
      <c r="C4008" s="1"/>
      <c r="D4008" s="1"/>
    </row>
    <row r="4009" spans="3:4" x14ac:dyDescent="0.25">
      <c r="C4009" s="1"/>
      <c r="D4009" s="1"/>
    </row>
    <row r="4010" spans="3:4" x14ac:dyDescent="0.25">
      <c r="C4010" s="1"/>
      <c r="D4010" s="1"/>
    </row>
    <row r="4011" spans="3:4" x14ac:dyDescent="0.25">
      <c r="C4011" s="1"/>
      <c r="D4011" s="1"/>
    </row>
    <row r="4012" spans="3:4" x14ac:dyDescent="0.25">
      <c r="C4012" s="1"/>
      <c r="D4012" s="1"/>
    </row>
    <row r="4013" spans="3:4" x14ac:dyDescent="0.25">
      <c r="C4013" s="1"/>
      <c r="D4013" s="1"/>
    </row>
    <row r="4014" spans="3:4" x14ac:dyDescent="0.25">
      <c r="C4014" s="1"/>
      <c r="D4014" s="1"/>
    </row>
    <row r="4015" spans="3:4" x14ac:dyDescent="0.25">
      <c r="C4015" s="1"/>
      <c r="D4015" s="1"/>
    </row>
    <row r="4016" spans="3:4" x14ac:dyDescent="0.25">
      <c r="C4016" s="1"/>
      <c r="D4016" s="1"/>
    </row>
    <row r="4017" spans="3:4" x14ac:dyDescent="0.25">
      <c r="C4017" s="1"/>
      <c r="D4017" s="1"/>
    </row>
    <row r="4018" spans="3:4" x14ac:dyDescent="0.25">
      <c r="C4018" s="1"/>
      <c r="D4018" s="1"/>
    </row>
    <row r="4019" spans="3:4" x14ac:dyDescent="0.25">
      <c r="C4019" s="1"/>
      <c r="D4019" s="1"/>
    </row>
    <row r="4020" spans="3:4" x14ac:dyDescent="0.25">
      <c r="C4020" s="1"/>
      <c r="D4020" s="1"/>
    </row>
    <row r="4021" spans="3:4" x14ac:dyDescent="0.25">
      <c r="C4021" s="1"/>
      <c r="D4021" s="1"/>
    </row>
    <row r="4022" spans="3:4" x14ac:dyDescent="0.25">
      <c r="C4022" s="1"/>
      <c r="D4022" s="1"/>
    </row>
    <row r="4023" spans="3:4" x14ac:dyDescent="0.25">
      <c r="C4023" s="1"/>
      <c r="D4023" s="1"/>
    </row>
    <row r="4024" spans="3:4" x14ac:dyDescent="0.25">
      <c r="C4024" s="1"/>
      <c r="D4024" s="1"/>
    </row>
    <row r="4025" spans="3:4" x14ac:dyDescent="0.25">
      <c r="C4025" s="1"/>
      <c r="D4025" s="1"/>
    </row>
    <row r="4026" spans="3:4" x14ac:dyDescent="0.25">
      <c r="C4026" s="1"/>
      <c r="D4026" s="1"/>
    </row>
    <row r="4027" spans="3:4" x14ac:dyDescent="0.25">
      <c r="C4027" s="1"/>
      <c r="D4027" s="1"/>
    </row>
    <row r="4028" spans="3:4" x14ac:dyDescent="0.25">
      <c r="C4028" s="1"/>
      <c r="D4028" s="1"/>
    </row>
    <row r="4029" spans="3:4" x14ac:dyDescent="0.25">
      <c r="C4029" s="1"/>
      <c r="D4029" s="1"/>
    </row>
    <row r="4030" spans="3:4" x14ac:dyDescent="0.25">
      <c r="C4030" s="1"/>
      <c r="D4030" s="1"/>
    </row>
    <row r="4031" spans="3:4" x14ac:dyDescent="0.25">
      <c r="C4031" s="1"/>
      <c r="D4031" s="1"/>
    </row>
    <row r="4032" spans="3:4" x14ac:dyDescent="0.25">
      <c r="C4032" s="1"/>
      <c r="D4032" s="1"/>
    </row>
    <row r="4033" spans="3:4" x14ac:dyDescent="0.25">
      <c r="C4033" s="1"/>
      <c r="D4033" s="1"/>
    </row>
    <row r="4034" spans="3:4" x14ac:dyDescent="0.25">
      <c r="C4034" s="1"/>
      <c r="D4034" s="1"/>
    </row>
    <row r="4035" spans="3:4" x14ac:dyDescent="0.25">
      <c r="C4035" s="1"/>
      <c r="D4035" s="1"/>
    </row>
    <row r="4036" spans="3:4" x14ac:dyDescent="0.25">
      <c r="C4036" s="1"/>
      <c r="D4036" s="1"/>
    </row>
    <row r="4037" spans="3:4" x14ac:dyDescent="0.25">
      <c r="C4037" s="1"/>
      <c r="D4037" s="1"/>
    </row>
    <row r="4038" spans="3:4" x14ac:dyDescent="0.25">
      <c r="C4038" s="1"/>
      <c r="D4038" s="1"/>
    </row>
    <row r="4039" spans="3:4" x14ac:dyDescent="0.25">
      <c r="C4039" s="1"/>
      <c r="D4039" s="1"/>
    </row>
    <row r="4040" spans="3:4" x14ac:dyDescent="0.25">
      <c r="C4040" s="1"/>
      <c r="D4040" s="1"/>
    </row>
    <row r="4041" spans="3:4" x14ac:dyDescent="0.25">
      <c r="C4041" s="1"/>
      <c r="D4041" s="1"/>
    </row>
    <row r="4042" spans="3:4" x14ac:dyDescent="0.25">
      <c r="C4042" s="1"/>
      <c r="D4042" s="1"/>
    </row>
    <row r="4043" spans="3:4" x14ac:dyDescent="0.25">
      <c r="C4043" s="1"/>
      <c r="D4043" s="1"/>
    </row>
    <row r="4044" spans="3:4" x14ac:dyDescent="0.25">
      <c r="C4044" s="1"/>
      <c r="D4044" s="1"/>
    </row>
    <row r="4045" spans="3:4" x14ac:dyDescent="0.25">
      <c r="C4045" s="1"/>
      <c r="D4045" s="1"/>
    </row>
    <row r="4046" spans="3:4" x14ac:dyDescent="0.25">
      <c r="C4046" s="1"/>
      <c r="D4046" s="1"/>
    </row>
    <row r="4047" spans="3:4" x14ac:dyDescent="0.25">
      <c r="C4047" s="1"/>
      <c r="D4047" s="1"/>
    </row>
    <row r="4048" spans="3:4" x14ac:dyDescent="0.25">
      <c r="C4048" s="1"/>
      <c r="D4048" s="1"/>
    </row>
    <row r="4049" spans="3:4" x14ac:dyDescent="0.25">
      <c r="C4049" s="1"/>
      <c r="D4049" s="1"/>
    </row>
    <row r="4050" spans="3:4" x14ac:dyDescent="0.25">
      <c r="C4050" s="1"/>
      <c r="D4050" s="1"/>
    </row>
    <row r="4051" spans="3:4" x14ac:dyDescent="0.25">
      <c r="C4051" s="1"/>
      <c r="D4051" s="1"/>
    </row>
    <row r="4052" spans="3:4" x14ac:dyDescent="0.25">
      <c r="C4052" s="1"/>
      <c r="D4052" s="1"/>
    </row>
    <row r="4053" spans="3:4" x14ac:dyDescent="0.25">
      <c r="C4053" s="1"/>
      <c r="D4053" s="1"/>
    </row>
    <row r="4054" spans="3:4" x14ac:dyDescent="0.25">
      <c r="C4054" s="1"/>
      <c r="D4054" s="1"/>
    </row>
    <row r="4055" spans="3:4" x14ac:dyDescent="0.25">
      <c r="C4055" s="1"/>
      <c r="D4055" s="1"/>
    </row>
    <row r="4056" spans="3:4" x14ac:dyDescent="0.25">
      <c r="C4056" s="1"/>
      <c r="D4056" s="1"/>
    </row>
    <row r="4057" spans="3:4" x14ac:dyDescent="0.25">
      <c r="C4057" s="1"/>
      <c r="D4057" s="1"/>
    </row>
    <row r="4058" spans="3:4" x14ac:dyDescent="0.25">
      <c r="C4058" s="1"/>
      <c r="D4058" s="1"/>
    </row>
    <row r="4059" spans="3:4" x14ac:dyDescent="0.25">
      <c r="C4059" s="1"/>
      <c r="D4059" s="1"/>
    </row>
    <row r="4060" spans="3:4" x14ac:dyDescent="0.25">
      <c r="C4060" s="1"/>
      <c r="D4060" s="1"/>
    </row>
    <row r="4061" spans="3:4" x14ac:dyDescent="0.25">
      <c r="C4061" s="1"/>
      <c r="D4061" s="1"/>
    </row>
    <row r="4062" spans="3:4" x14ac:dyDescent="0.25">
      <c r="C4062" s="1"/>
      <c r="D4062" s="1"/>
    </row>
    <row r="4063" spans="3:4" x14ac:dyDescent="0.25">
      <c r="C4063" s="1"/>
      <c r="D4063" s="1"/>
    </row>
    <row r="4064" spans="3:4" x14ac:dyDescent="0.25">
      <c r="C4064" s="1"/>
      <c r="D4064" s="1"/>
    </row>
    <row r="4065" spans="3:4" x14ac:dyDescent="0.25">
      <c r="C4065" s="1"/>
      <c r="D4065" s="1"/>
    </row>
    <row r="4066" spans="3:4" x14ac:dyDescent="0.25">
      <c r="C4066" s="1"/>
      <c r="D4066" s="1"/>
    </row>
    <row r="4067" spans="3:4" x14ac:dyDescent="0.25">
      <c r="C4067" s="1"/>
      <c r="D4067" s="1"/>
    </row>
    <row r="4068" spans="3:4" x14ac:dyDescent="0.25">
      <c r="C4068" s="1"/>
      <c r="D4068" s="1"/>
    </row>
    <row r="4069" spans="3:4" x14ac:dyDescent="0.25">
      <c r="C4069" s="1"/>
      <c r="D4069" s="1"/>
    </row>
    <row r="4070" spans="3:4" x14ac:dyDescent="0.25">
      <c r="C4070" s="1"/>
      <c r="D4070" s="1"/>
    </row>
    <row r="4071" spans="3:4" x14ac:dyDescent="0.25">
      <c r="C4071" s="1"/>
      <c r="D4071" s="1"/>
    </row>
    <row r="4072" spans="3:4" x14ac:dyDescent="0.25">
      <c r="C4072" s="1"/>
      <c r="D4072" s="1"/>
    </row>
    <row r="4073" spans="3:4" x14ac:dyDescent="0.25">
      <c r="C4073" s="1"/>
      <c r="D4073" s="1"/>
    </row>
    <row r="4074" spans="3:4" x14ac:dyDescent="0.25">
      <c r="C4074" s="1"/>
      <c r="D4074" s="1"/>
    </row>
    <row r="4075" spans="3:4" x14ac:dyDescent="0.25">
      <c r="C4075" s="1"/>
      <c r="D4075" s="1"/>
    </row>
    <row r="4076" spans="3:4" x14ac:dyDescent="0.25">
      <c r="C4076" s="1"/>
      <c r="D4076" s="1"/>
    </row>
    <row r="4077" spans="3:4" x14ac:dyDescent="0.25">
      <c r="C4077" s="1"/>
      <c r="D4077" s="1"/>
    </row>
    <row r="4078" spans="3:4" x14ac:dyDescent="0.25">
      <c r="C4078" s="1"/>
      <c r="D4078" s="1"/>
    </row>
    <row r="4079" spans="3:4" x14ac:dyDescent="0.25">
      <c r="C4079" s="1"/>
      <c r="D4079" s="1"/>
    </row>
    <row r="4080" spans="3:4" x14ac:dyDescent="0.25">
      <c r="C4080" s="1"/>
      <c r="D4080" s="1"/>
    </row>
    <row r="4081" spans="3:4" x14ac:dyDescent="0.25">
      <c r="C4081" s="1"/>
      <c r="D4081" s="1"/>
    </row>
    <row r="4082" spans="3:4" x14ac:dyDescent="0.25">
      <c r="C4082" s="1"/>
      <c r="D4082" s="1"/>
    </row>
    <row r="4083" spans="3:4" x14ac:dyDescent="0.25">
      <c r="C4083" s="1"/>
      <c r="D4083" s="1"/>
    </row>
    <row r="4084" spans="3:4" x14ac:dyDescent="0.25">
      <c r="C4084" s="1"/>
      <c r="D4084" s="1"/>
    </row>
    <row r="4085" spans="3:4" x14ac:dyDescent="0.25">
      <c r="C4085" s="1"/>
      <c r="D4085" s="1"/>
    </row>
    <row r="4086" spans="3:4" x14ac:dyDescent="0.25">
      <c r="C4086" s="1"/>
      <c r="D4086" s="1"/>
    </row>
    <row r="4087" spans="3:4" x14ac:dyDescent="0.25">
      <c r="C4087" s="1"/>
      <c r="D4087" s="1"/>
    </row>
    <row r="4088" spans="3:4" x14ac:dyDescent="0.25">
      <c r="C4088" s="1"/>
      <c r="D4088" s="1"/>
    </row>
    <row r="4089" spans="3:4" x14ac:dyDescent="0.25">
      <c r="C4089" s="1"/>
      <c r="D4089" s="1"/>
    </row>
    <row r="4090" spans="3:4" x14ac:dyDescent="0.25">
      <c r="C4090" s="1"/>
      <c r="D4090" s="1"/>
    </row>
    <row r="4091" spans="3:4" x14ac:dyDescent="0.25">
      <c r="C4091" s="1"/>
      <c r="D4091" s="1"/>
    </row>
    <row r="4092" spans="3:4" x14ac:dyDescent="0.25">
      <c r="C4092" s="1"/>
      <c r="D4092" s="1"/>
    </row>
    <row r="4093" spans="3:4" x14ac:dyDescent="0.25">
      <c r="C4093" s="1"/>
      <c r="D4093" s="1"/>
    </row>
    <row r="4094" spans="3:4" x14ac:dyDescent="0.25">
      <c r="C4094" s="1"/>
      <c r="D4094" s="1"/>
    </row>
    <row r="4095" spans="3:4" x14ac:dyDescent="0.25">
      <c r="C4095" s="1"/>
      <c r="D4095" s="1"/>
    </row>
    <row r="4096" spans="3:4" x14ac:dyDescent="0.25">
      <c r="C4096" s="1"/>
      <c r="D4096" s="1"/>
    </row>
    <row r="4097" spans="3:4" x14ac:dyDescent="0.25">
      <c r="C4097" s="1"/>
      <c r="D4097" s="1"/>
    </row>
    <row r="4098" spans="3:4" x14ac:dyDescent="0.25">
      <c r="C4098" s="1"/>
      <c r="D4098" s="1"/>
    </row>
    <row r="4099" spans="3:4" x14ac:dyDescent="0.25">
      <c r="C4099" s="1"/>
      <c r="D4099" s="1"/>
    </row>
    <row r="4100" spans="3:4" x14ac:dyDescent="0.25">
      <c r="C4100" s="1"/>
      <c r="D4100" s="1"/>
    </row>
    <row r="4101" spans="3:4" x14ac:dyDescent="0.25">
      <c r="C4101" s="1"/>
      <c r="D4101" s="1"/>
    </row>
    <row r="4102" spans="3:4" x14ac:dyDescent="0.25">
      <c r="C4102" s="1"/>
      <c r="D4102" s="1"/>
    </row>
    <row r="4103" spans="3:4" x14ac:dyDescent="0.25">
      <c r="C4103" s="1"/>
      <c r="D4103" s="1"/>
    </row>
    <row r="4104" spans="3:4" x14ac:dyDescent="0.25">
      <c r="C4104" s="1"/>
      <c r="D4104" s="1"/>
    </row>
    <row r="4105" spans="3:4" x14ac:dyDescent="0.25">
      <c r="C4105" s="1"/>
      <c r="D4105" s="1"/>
    </row>
    <row r="4106" spans="3:4" x14ac:dyDescent="0.25">
      <c r="C4106" s="1"/>
      <c r="D4106" s="1"/>
    </row>
    <row r="4107" spans="3:4" x14ac:dyDescent="0.25">
      <c r="C4107" s="1"/>
      <c r="D4107" s="1"/>
    </row>
    <row r="4108" spans="3:4" x14ac:dyDescent="0.25">
      <c r="C4108" s="1"/>
      <c r="D4108" s="1"/>
    </row>
    <row r="4109" spans="3:4" x14ac:dyDescent="0.25">
      <c r="C4109" s="1"/>
      <c r="D4109" s="1"/>
    </row>
    <row r="4110" spans="3:4" x14ac:dyDescent="0.25">
      <c r="C4110" s="1"/>
      <c r="D4110" s="1"/>
    </row>
    <row r="4111" spans="3:4" x14ac:dyDescent="0.25">
      <c r="C4111" s="1"/>
      <c r="D4111" s="1"/>
    </row>
    <row r="4112" spans="3:4" x14ac:dyDescent="0.25">
      <c r="C4112" s="1"/>
      <c r="D4112" s="1"/>
    </row>
    <row r="4113" spans="3:4" x14ac:dyDescent="0.25">
      <c r="C4113" s="1"/>
      <c r="D4113" s="1"/>
    </row>
    <row r="4114" spans="3:4" x14ac:dyDescent="0.25">
      <c r="C4114" s="1"/>
      <c r="D4114" s="1"/>
    </row>
    <row r="4115" spans="3:4" x14ac:dyDescent="0.25">
      <c r="C4115" s="1"/>
      <c r="D4115" s="1"/>
    </row>
    <row r="4116" spans="3:4" x14ac:dyDescent="0.25">
      <c r="C4116" s="1"/>
      <c r="D4116" s="1"/>
    </row>
    <row r="4117" spans="3:4" x14ac:dyDescent="0.25">
      <c r="C4117" s="1"/>
      <c r="D4117" s="1"/>
    </row>
    <row r="4118" spans="3:4" x14ac:dyDescent="0.25">
      <c r="C4118" s="1"/>
      <c r="D4118" s="1"/>
    </row>
    <row r="4119" spans="3:4" x14ac:dyDescent="0.25">
      <c r="C4119" s="1"/>
      <c r="D4119" s="1"/>
    </row>
    <row r="4120" spans="3:4" x14ac:dyDescent="0.25">
      <c r="C4120" s="1"/>
      <c r="D4120" s="1"/>
    </row>
    <row r="4121" spans="3:4" x14ac:dyDescent="0.25">
      <c r="C4121" s="1"/>
      <c r="D4121" s="1"/>
    </row>
    <row r="4122" spans="3:4" x14ac:dyDescent="0.25">
      <c r="C4122" s="1"/>
      <c r="D4122" s="1"/>
    </row>
    <row r="4123" spans="3:4" x14ac:dyDescent="0.25">
      <c r="C4123" s="1"/>
      <c r="D4123" s="1"/>
    </row>
    <row r="4124" spans="3:4" x14ac:dyDescent="0.25">
      <c r="C4124" s="1"/>
      <c r="D4124" s="1"/>
    </row>
    <row r="4125" spans="3:4" x14ac:dyDescent="0.25">
      <c r="C4125" s="1"/>
      <c r="D4125" s="1"/>
    </row>
    <row r="4126" spans="3:4" x14ac:dyDescent="0.25">
      <c r="C4126" s="1"/>
      <c r="D4126" s="1"/>
    </row>
    <row r="4127" spans="3:4" x14ac:dyDescent="0.25">
      <c r="C4127" s="1"/>
      <c r="D4127" s="1"/>
    </row>
    <row r="4128" spans="3:4" x14ac:dyDescent="0.25">
      <c r="C4128" s="1"/>
      <c r="D4128" s="1"/>
    </row>
    <row r="4129" spans="3:4" x14ac:dyDescent="0.25">
      <c r="C4129" s="1"/>
      <c r="D4129" s="1"/>
    </row>
    <row r="4130" spans="3:4" x14ac:dyDescent="0.25">
      <c r="C4130" s="1"/>
      <c r="D4130" s="1"/>
    </row>
    <row r="4131" spans="3:4" x14ac:dyDescent="0.25">
      <c r="C4131" s="1"/>
      <c r="D4131" s="1"/>
    </row>
    <row r="4132" spans="3:4" x14ac:dyDescent="0.25">
      <c r="C4132" s="1"/>
      <c r="D4132" s="1"/>
    </row>
    <row r="4133" spans="3:4" x14ac:dyDescent="0.25">
      <c r="C4133" s="1"/>
      <c r="D4133" s="1"/>
    </row>
    <row r="4134" spans="3:4" x14ac:dyDescent="0.25">
      <c r="C4134" s="1"/>
      <c r="D4134" s="1"/>
    </row>
    <row r="4135" spans="3:4" x14ac:dyDescent="0.25">
      <c r="C4135" s="1"/>
      <c r="D4135" s="1"/>
    </row>
    <row r="4136" spans="3:4" x14ac:dyDescent="0.25">
      <c r="C4136" s="1"/>
      <c r="D4136" s="1"/>
    </row>
    <row r="4137" spans="3:4" x14ac:dyDescent="0.25">
      <c r="C4137" s="1"/>
      <c r="D4137" s="1"/>
    </row>
    <row r="4138" spans="3:4" x14ac:dyDescent="0.25">
      <c r="C4138" s="1"/>
      <c r="D4138" s="1"/>
    </row>
    <row r="4139" spans="3:4" x14ac:dyDescent="0.25">
      <c r="C4139" s="1"/>
      <c r="D4139" s="1"/>
    </row>
    <row r="4140" spans="3:4" x14ac:dyDescent="0.25">
      <c r="C4140" s="1"/>
      <c r="D4140" s="1"/>
    </row>
    <row r="4141" spans="3:4" x14ac:dyDescent="0.25">
      <c r="C4141" s="1"/>
      <c r="D4141" s="1"/>
    </row>
    <row r="4142" spans="3:4" x14ac:dyDescent="0.25">
      <c r="C4142" s="1"/>
      <c r="D4142" s="1"/>
    </row>
    <row r="4143" spans="3:4" x14ac:dyDescent="0.25">
      <c r="C4143" s="1"/>
      <c r="D4143" s="1"/>
    </row>
    <row r="4144" spans="3:4" x14ac:dyDescent="0.25">
      <c r="C4144" s="1"/>
      <c r="D4144" s="1"/>
    </row>
    <row r="4145" spans="3:4" x14ac:dyDescent="0.25">
      <c r="C4145" s="1"/>
      <c r="D4145" s="1"/>
    </row>
    <row r="4146" spans="3:4" x14ac:dyDescent="0.25">
      <c r="C4146" s="1"/>
      <c r="D4146" s="1"/>
    </row>
    <row r="4147" spans="3:4" x14ac:dyDescent="0.25">
      <c r="C4147" s="1"/>
      <c r="D4147" s="1"/>
    </row>
    <row r="4148" spans="3:4" x14ac:dyDescent="0.25">
      <c r="C4148" s="1"/>
      <c r="D4148" s="1"/>
    </row>
    <row r="4149" spans="3:4" x14ac:dyDescent="0.25">
      <c r="C4149" s="1"/>
      <c r="D4149" s="1"/>
    </row>
    <row r="4150" spans="3:4" x14ac:dyDescent="0.25">
      <c r="C4150" s="1"/>
      <c r="D4150" s="1"/>
    </row>
    <row r="4151" spans="3:4" x14ac:dyDescent="0.25">
      <c r="C4151" s="1"/>
      <c r="D4151" s="1"/>
    </row>
    <row r="4152" spans="3:4" x14ac:dyDescent="0.25">
      <c r="C4152" s="1"/>
      <c r="D4152" s="1"/>
    </row>
    <row r="4153" spans="3:4" x14ac:dyDescent="0.25">
      <c r="C4153" s="1"/>
      <c r="D4153" s="1"/>
    </row>
    <row r="4154" spans="3:4" x14ac:dyDescent="0.25">
      <c r="C4154" s="1"/>
      <c r="D4154" s="1"/>
    </row>
    <row r="4155" spans="3:4" x14ac:dyDescent="0.25">
      <c r="C4155" s="1"/>
      <c r="D4155" s="1"/>
    </row>
    <row r="4156" spans="3:4" x14ac:dyDescent="0.25">
      <c r="C4156" s="1"/>
      <c r="D4156" s="1"/>
    </row>
    <row r="4157" spans="3:4" x14ac:dyDescent="0.25">
      <c r="C4157" s="1"/>
      <c r="D4157" s="1"/>
    </row>
    <row r="4158" spans="3:4" x14ac:dyDescent="0.25">
      <c r="C4158" s="1"/>
      <c r="D4158" s="1"/>
    </row>
    <row r="4159" spans="3:4" x14ac:dyDescent="0.25">
      <c r="C4159" s="1"/>
      <c r="D4159" s="1"/>
    </row>
    <row r="4160" spans="3:4" x14ac:dyDescent="0.25">
      <c r="C4160" s="1"/>
      <c r="D4160" s="1"/>
    </row>
    <row r="4161" spans="3:4" x14ac:dyDescent="0.25">
      <c r="C4161" s="1"/>
      <c r="D4161" s="1"/>
    </row>
    <row r="4162" spans="3:4" x14ac:dyDescent="0.25">
      <c r="C4162" s="1"/>
      <c r="D4162" s="1"/>
    </row>
    <row r="4163" spans="3:4" x14ac:dyDescent="0.25">
      <c r="C4163" s="1"/>
      <c r="D4163" s="1"/>
    </row>
    <row r="4164" spans="3:4" x14ac:dyDescent="0.25">
      <c r="C4164" s="1"/>
      <c r="D4164" s="1"/>
    </row>
    <row r="4165" spans="3:4" x14ac:dyDescent="0.25">
      <c r="C4165" s="1"/>
      <c r="D4165" s="1"/>
    </row>
    <row r="4166" spans="3:4" x14ac:dyDescent="0.25">
      <c r="C4166" s="1"/>
      <c r="D4166" s="1"/>
    </row>
    <row r="4167" spans="3:4" x14ac:dyDescent="0.25">
      <c r="C4167" s="1"/>
      <c r="D4167" s="1"/>
    </row>
    <row r="4168" spans="3:4" x14ac:dyDescent="0.25">
      <c r="C4168" s="1"/>
      <c r="D4168" s="1"/>
    </row>
    <row r="4169" spans="3:4" x14ac:dyDescent="0.25">
      <c r="C4169" s="1"/>
      <c r="D4169" s="1"/>
    </row>
    <row r="4170" spans="3:4" x14ac:dyDescent="0.25">
      <c r="C4170" s="1"/>
      <c r="D4170" s="1"/>
    </row>
    <row r="4171" spans="3:4" x14ac:dyDescent="0.25">
      <c r="C4171" s="1"/>
      <c r="D4171" s="1"/>
    </row>
    <row r="4172" spans="3:4" x14ac:dyDescent="0.25">
      <c r="C4172" s="1"/>
      <c r="D4172" s="1"/>
    </row>
    <row r="4173" spans="3:4" x14ac:dyDescent="0.25">
      <c r="C4173" s="1"/>
      <c r="D4173" s="1"/>
    </row>
    <row r="4174" spans="3:4" x14ac:dyDescent="0.25">
      <c r="C4174" s="1"/>
      <c r="D4174" s="1"/>
    </row>
    <row r="4175" spans="3:4" x14ac:dyDescent="0.25">
      <c r="C4175" s="1"/>
      <c r="D4175" s="1"/>
    </row>
    <row r="4176" spans="3:4" x14ac:dyDescent="0.25">
      <c r="C4176" s="1"/>
      <c r="D4176" s="1"/>
    </row>
    <row r="4177" spans="3:4" x14ac:dyDescent="0.25">
      <c r="C4177" s="1"/>
      <c r="D4177" s="1"/>
    </row>
    <row r="4178" spans="3:4" x14ac:dyDescent="0.25">
      <c r="C4178" s="1"/>
      <c r="D4178" s="1"/>
    </row>
    <row r="4179" spans="3:4" x14ac:dyDescent="0.25">
      <c r="C4179" s="1"/>
      <c r="D4179" s="1"/>
    </row>
    <row r="4180" spans="3:4" x14ac:dyDescent="0.25">
      <c r="C4180" s="1"/>
      <c r="D4180" s="1"/>
    </row>
    <row r="4181" spans="3:4" x14ac:dyDescent="0.25">
      <c r="C4181" s="1"/>
      <c r="D4181" s="1"/>
    </row>
    <row r="4182" spans="3:4" x14ac:dyDescent="0.25">
      <c r="C4182" s="1"/>
      <c r="D4182" s="1"/>
    </row>
    <row r="4183" spans="3:4" x14ac:dyDescent="0.25">
      <c r="C4183" s="1"/>
      <c r="D4183" s="1"/>
    </row>
    <row r="4184" spans="3:4" x14ac:dyDescent="0.25">
      <c r="C4184" s="1"/>
      <c r="D4184" s="1"/>
    </row>
    <row r="4185" spans="3:4" x14ac:dyDescent="0.25">
      <c r="C4185" s="1"/>
      <c r="D4185" s="1"/>
    </row>
    <row r="4186" spans="3:4" x14ac:dyDescent="0.25">
      <c r="C4186" s="1"/>
      <c r="D4186" s="1"/>
    </row>
    <row r="4187" spans="3:4" x14ac:dyDescent="0.25">
      <c r="C4187" s="1"/>
      <c r="D4187" s="1"/>
    </row>
    <row r="4188" spans="3:4" x14ac:dyDescent="0.25">
      <c r="C4188" s="1"/>
      <c r="D4188" s="1"/>
    </row>
    <row r="4189" spans="3:4" x14ac:dyDescent="0.25">
      <c r="C4189" s="1"/>
      <c r="D4189" s="1"/>
    </row>
    <row r="4190" spans="3:4" x14ac:dyDescent="0.25">
      <c r="C4190" s="1"/>
      <c r="D4190" s="1"/>
    </row>
    <row r="4191" spans="3:4" x14ac:dyDescent="0.25">
      <c r="C4191" s="1"/>
      <c r="D4191" s="1"/>
    </row>
    <row r="4192" spans="3:4" x14ac:dyDescent="0.25">
      <c r="C4192" s="1"/>
      <c r="D4192" s="1"/>
    </row>
    <row r="4193" spans="3:4" x14ac:dyDescent="0.25">
      <c r="C4193" s="1"/>
      <c r="D4193" s="1"/>
    </row>
    <row r="4194" spans="3:4" x14ac:dyDescent="0.25">
      <c r="C4194" s="1"/>
      <c r="D4194" s="1"/>
    </row>
    <row r="4195" spans="3:4" x14ac:dyDescent="0.25">
      <c r="C4195" s="1"/>
      <c r="D4195" s="1"/>
    </row>
    <row r="4196" spans="3:4" x14ac:dyDescent="0.25">
      <c r="C4196" s="1"/>
      <c r="D4196" s="1"/>
    </row>
    <row r="4197" spans="3:4" x14ac:dyDescent="0.25">
      <c r="C4197" s="1"/>
      <c r="D4197" s="1"/>
    </row>
    <row r="4198" spans="3:4" x14ac:dyDescent="0.25">
      <c r="C4198" s="1"/>
      <c r="D4198" s="1"/>
    </row>
    <row r="4199" spans="3:4" x14ac:dyDescent="0.25">
      <c r="C4199" s="1"/>
      <c r="D4199" s="1"/>
    </row>
    <row r="4200" spans="3:4" x14ac:dyDescent="0.25">
      <c r="C4200" s="1"/>
      <c r="D4200" s="1"/>
    </row>
    <row r="4201" spans="3:4" x14ac:dyDescent="0.25">
      <c r="C4201" s="1"/>
      <c r="D4201" s="1"/>
    </row>
    <row r="4202" spans="3:4" x14ac:dyDescent="0.25">
      <c r="C4202" s="1"/>
      <c r="D4202" s="1"/>
    </row>
    <row r="4203" spans="3:4" x14ac:dyDescent="0.25">
      <c r="C4203" s="1"/>
      <c r="D4203" s="1"/>
    </row>
    <row r="4204" spans="3:4" x14ac:dyDescent="0.25">
      <c r="C4204" s="1"/>
      <c r="D4204" s="1"/>
    </row>
    <row r="4205" spans="3:4" x14ac:dyDescent="0.25">
      <c r="C4205" s="1"/>
      <c r="D4205" s="1"/>
    </row>
    <row r="4206" spans="3:4" x14ac:dyDescent="0.25">
      <c r="C4206" s="1"/>
      <c r="D4206" s="1"/>
    </row>
    <row r="4207" spans="3:4" x14ac:dyDescent="0.25">
      <c r="C4207" s="1"/>
      <c r="D4207" s="1"/>
    </row>
    <row r="4208" spans="3:4" x14ac:dyDescent="0.25">
      <c r="C4208" s="1"/>
      <c r="D4208" s="1"/>
    </row>
    <row r="4209" spans="3:4" x14ac:dyDescent="0.25">
      <c r="C4209" s="1"/>
      <c r="D4209" s="1"/>
    </row>
    <row r="4210" spans="3:4" x14ac:dyDescent="0.25">
      <c r="C4210" s="1"/>
      <c r="D4210" s="1"/>
    </row>
    <row r="4211" spans="3:4" x14ac:dyDescent="0.25">
      <c r="C4211" s="1"/>
      <c r="D4211" s="1"/>
    </row>
    <row r="4212" spans="3:4" x14ac:dyDescent="0.25">
      <c r="C4212" s="1"/>
      <c r="D4212" s="1"/>
    </row>
    <row r="4213" spans="3:4" x14ac:dyDescent="0.25">
      <c r="C4213" s="1"/>
      <c r="D4213" s="1"/>
    </row>
    <row r="4214" spans="3:4" x14ac:dyDescent="0.25">
      <c r="C4214" s="1"/>
      <c r="D4214" s="1"/>
    </row>
    <row r="4215" spans="3:4" x14ac:dyDescent="0.25">
      <c r="C4215" s="1"/>
      <c r="D4215" s="1"/>
    </row>
    <row r="4216" spans="3:4" x14ac:dyDescent="0.25">
      <c r="C4216" s="1"/>
      <c r="D4216" s="1"/>
    </row>
    <row r="4217" spans="3:4" x14ac:dyDescent="0.25">
      <c r="C4217" s="1"/>
      <c r="D4217" s="1"/>
    </row>
    <row r="4218" spans="3:4" x14ac:dyDescent="0.25">
      <c r="C4218" s="1"/>
      <c r="D4218" s="1"/>
    </row>
    <row r="4219" spans="3:4" x14ac:dyDescent="0.25">
      <c r="C4219" s="1"/>
      <c r="D4219" s="1"/>
    </row>
    <row r="4220" spans="3:4" x14ac:dyDescent="0.25">
      <c r="C4220" s="1"/>
      <c r="D4220" s="1"/>
    </row>
    <row r="4221" spans="3:4" x14ac:dyDescent="0.25">
      <c r="C4221" s="1"/>
      <c r="D4221" s="1"/>
    </row>
    <row r="4222" spans="3:4" x14ac:dyDescent="0.25">
      <c r="C4222" s="1"/>
      <c r="D4222" s="1"/>
    </row>
    <row r="4223" spans="3:4" x14ac:dyDescent="0.25">
      <c r="C4223" s="1"/>
      <c r="D4223" s="1"/>
    </row>
    <row r="4224" spans="3:4" x14ac:dyDescent="0.25">
      <c r="C4224" s="1"/>
      <c r="D4224" s="1"/>
    </row>
    <row r="4225" spans="3:4" x14ac:dyDescent="0.25">
      <c r="C4225" s="1"/>
      <c r="D4225" s="1"/>
    </row>
    <row r="4226" spans="3:4" x14ac:dyDescent="0.25">
      <c r="C4226" s="1"/>
      <c r="D4226" s="1"/>
    </row>
    <row r="4227" spans="3:4" x14ac:dyDescent="0.25">
      <c r="C4227" s="1"/>
      <c r="D4227" s="1"/>
    </row>
    <row r="4228" spans="3:4" x14ac:dyDescent="0.25">
      <c r="C4228" s="1"/>
      <c r="D4228" s="1"/>
    </row>
    <row r="4229" spans="3:4" x14ac:dyDescent="0.25">
      <c r="C4229" s="1"/>
      <c r="D4229" s="1"/>
    </row>
    <row r="4230" spans="3:4" x14ac:dyDescent="0.25">
      <c r="C4230" s="1"/>
      <c r="D4230" s="1"/>
    </row>
    <row r="4231" spans="3:4" x14ac:dyDescent="0.25">
      <c r="C4231" s="1"/>
      <c r="D4231" s="1"/>
    </row>
    <row r="4232" spans="3:4" x14ac:dyDescent="0.25">
      <c r="C4232" s="1"/>
      <c r="D4232" s="1"/>
    </row>
    <row r="4233" spans="3:4" x14ac:dyDescent="0.25">
      <c r="C4233" s="1"/>
      <c r="D4233" s="1"/>
    </row>
    <row r="4234" spans="3:4" x14ac:dyDescent="0.25">
      <c r="C4234" s="1"/>
      <c r="D4234" s="1"/>
    </row>
    <row r="4235" spans="3:4" x14ac:dyDescent="0.25">
      <c r="C4235" s="1"/>
      <c r="D4235" s="1"/>
    </row>
    <row r="4236" spans="3:4" x14ac:dyDescent="0.25">
      <c r="C4236" s="1"/>
      <c r="D4236" s="1"/>
    </row>
    <row r="4237" spans="3:4" x14ac:dyDescent="0.25">
      <c r="C4237" s="1"/>
      <c r="D4237" s="1"/>
    </row>
    <row r="4238" spans="3:4" x14ac:dyDescent="0.25">
      <c r="C4238" s="1"/>
      <c r="D4238" s="1"/>
    </row>
    <row r="4239" spans="3:4" x14ac:dyDescent="0.25">
      <c r="C4239" s="1"/>
      <c r="D4239" s="1"/>
    </row>
    <row r="4240" spans="3:4" x14ac:dyDescent="0.25">
      <c r="C4240" s="1"/>
      <c r="D4240" s="1"/>
    </row>
    <row r="4241" spans="3:4" x14ac:dyDescent="0.25">
      <c r="C4241" s="1"/>
      <c r="D4241" s="1"/>
    </row>
    <row r="4242" spans="3:4" x14ac:dyDescent="0.25">
      <c r="C4242" s="1"/>
      <c r="D4242" s="1"/>
    </row>
    <row r="4243" spans="3:4" x14ac:dyDescent="0.25">
      <c r="C4243" s="1"/>
      <c r="D4243" s="1"/>
    </row>
    <row r="4244" spans="3:4" x14ac:dyDescent="0.25">
      <c r="C4244" s="1"/>
      <c r="D4244" s="1"/>
    </row>
    <row r="4245" spans="3:4" x14ac:dyDescent="0.25">
      <c r="C4245" s="1"/>
      <c r="D4245" s="1"/>
    </row>
    <row r="4246" spans="3:4" x14ac:dyDescent="0.25">
      <c r="C4246" s="1"/>
      <c r="D4246" s="1"/>
    </row>
    <row r="4247" spans="3:4" x14ac:dyDescent="0.25">
      <c r="C4247" s="1"/>
      <c r="D4247" s="1"/>
    </row>
    <row r="4248" spans="3:4" x14ac:dyDescent="0.25">
      <c r="C4248" s="1"/>
      <c r="D4248" s="1"/>
    </row>
    <row r="4249" spans="3:4" x14ac:dyDescent="0.25">
      <c r="C4249" s="1"/>
      <c r="D4249" s="1"/>
    </row>
    <row r="4250" spans="3:4" x14ac:dyDescent="0.25">
      <c r="C4250" s="1"/>
      <c r="D4250" s="1"/>
    </row>
    <row r="4251" spans="3:4" x14ac:dyDescent="0.25">
      <c r="C4251" s="1"/>
      <c r="D4251" s="1"/>
    </row>
    <row r="4252" spans="3:4" x14ac:dyDescent="0.25">
      <c r="C4252" s="1"/>
      <c r="D4252" s="1"/>
    </row>
    <row r="4253" spans="3:4" x14ac:dyDescent="0.25">
      <c r="C4253" s="1"/>
      <c r="D4253" s="1"/>
    </row>
    <row r="4254" spans="3:4" x14ac:dyDescent="0.25">
      <c r="C4254" s="1"/>
      <c r="D4254" s="1"/>
    </row>
    <row r="4255" spans="3:4" x14ac:dyDescent="0.25">
      <c r="C4255" s="1"/>
      <c r="D4255" s="1"/>
    </row>
    <row r="4256" spans="3:4" x14ac:dyDescent="0.25">
      <c r="C4256" s="1"/>
      <c r="D4256" s="1"/>
    </row>
    <row r="4257" spans="3:4" x14ac:dyDescent="0.25">
      <c r="C4257" s="1"/>
      <c r="D4257" s="1"/>
    </row>
    <row r="4258" spans="3:4" x14ac:dyDescent="0.25">
      <c r="C4258" s="1"/>
      <c r="D4258" s="1"/>
    </row>
    <row r="4259" spans="3:4" x14ac:dyDescent="0.25">
      <c r="C4259" s="1"/>
      <c r="D4259" s="1"/>
    </row>
    <row r="4260" spans="3:4" x14ac:dyDescent="0.25">
      <c r="C4260" s="1"/>
      <c r="D4260" s="1"/>
    </row>
    <row r="4261" spans="3:4" x14ac:dyDescent="0.25">
      <c r="C4261" s="1"/>
      <c r="D4261" s="1"/>
    </row>
    <row r="4262" spans="3:4" x14ac:dyDescent="0.25">
      <c r="C4262" s="1"/>
      <c r="D4262" s="1"/>
    </row>
    <row r="4263" spans="3:4" x14ac:dyDescent="0.25">
      <c r="C4263" s="1"/>
      <c r="D4263" s="1"/>
    </row>
    <row r="4264" spans="3:4" x14ac:dyDescent="0.25">
      <c r="C4264" s="1"/>
      <c r="D4264" s="1"/>
    </row>
    <row r="4265" spans="3:4" x14ac:dyDescent="0.25">
      <c r="C4265" s="1"/>
      <c r="D4265" s="1"/>
    </row>
    <row r="4266" spans="3:4" x14ac:dyDescent="0.25">
      <c r="C4266" s="1"/>
      <c r="D4266" s="1"/>
    </row>
    <row r="4267" spans="3:4" x14ac:dyDescent="0.25">
      <c r="C4267" s="1"/>
      <c r="D4267" s="1"/>
    </row>
    <row r="4268" spans="3:4" x14ac:dyDescent="0.25">
      <c r="C4268" s="1"/>
      <c r="D4268" s="1"/>
    </row>
    <row r="4269" spans="3:4" x14ac:dyDescent="0.25">
      <c r="C4269" s="1"/>
      <c r="D4269" s="1"/>
    </row>
    <row r="4270" spans="3:4" x14ac:dyDescent="0.25">
      <c r="C4270" s="1"/>
      <c r="D4270" s="1"/>
    </row>
    <row r="4271" spans="3:4" x14ac:dyDescent="0.25">
      <c r="C4271" s="1"/>
      <c r="D4271" s="1"/>
    </row>
    <row r="4272" spans="3:4" x14ac:dyDescent="0.25">
      <c r="C4272" s="1"/>
      <c r="D4272" s="1"/>
    </row>
    <row r="4273" spans="3:4" x14ac:dyDescent="0.25">
      <c r="C4273" s="1"/>
      <c r="D4273" s="1"/>
    </row>
    <row r="4274" spans="3:4" x14ac:dyDescent="0.25">
      <c r="C4274" s="1"/>
      <c r="D4274" s="1"/>
    </row>
    <row r="4275" spans="3:4" x14ac:dyDescent="0.25">
      <c r="C4275" s="1"/>
      <c r="D4275" s="1"/>
    </row>
    <row r="4276" spans="3:4" x14ac:dyDescent="0.25">
      <c r="C4276" s="1"/>
      <c r="D4276" s="1"/>
    </row>
    <row r="4277" spans="3:4" x14ac:dyDescent="0.25">
      <c r="C4277" s="1"/>
      <c r="D4277" s="1"/>
    </row>
    <row r="4278" spans="3:4" x14ac:dyDescent="0.25">
      <c r="C4278" s="1"/>
      <c r="D4278" s="1"/>
    </row>
    <row r="4279" spans="3:4" x14ac:dyDescent="0.25">
      <c r="C4279" s="1"/>
      <c r="D4279" s="1"/>
    </row>
    <row r="4280" spans="3:4" x14ac:dyDescent="0.25">
      <c r="C4280" s="1"/>
      <c r="D4280" s="1"/>
    </row>
    <row r="4281" spans="3:4" x14ac:dyDescent="0.25">
      <c r="C4281" s="1"/>
      <c r="D4281" s="1"/>
    </row>
    <row r="4282" spans="3:4" x14ac:dyDescent="0.25">
      <c r="C4282" s="1"/>
      <c r="D4282" s="1"/>
    </row>
    <row r="4283" spans="3:4" x14ac:dyDescent="0.25">
      <c r="C4283" s="1"/>
      <c r="D4283" s="1"/>
    </row>
    <row r="4284" spans="3:4" x14ac:dyDescent="0.25">
      <c r="C4284" s="1"/>
      <c r="D4284" s="1"/>
    </row>
    <row r="4285" spans="3:4" x14ac:dyDescent="0.25">
      <c r="C4285" s="1"/>
      <c r="D4285" s="1"/>
    </row>
    <row r="4286" spans="3:4" x14ac:dyDescent="0.25">
      <c r="C4286" s="1"/>
      <c r="D4286" s="1"/>
    </row>
    <row r="4287" spans="3:4" x14ac:dyDescent="0.25">
      <c r="C4287" s="1"/>
      <c r="D4287" s="1"/>
    </row>
    <row r="4288" spans="3:4" x14ac:dyDescent="0.25">
      <c r="C4288" s="1"/>
      <c r="D4288" s="1"/>
    </row>
    <row r="4289" spans="3:4" x14ac:dyDescent="0.25">
      <c r="C4289" s="1"/>
      <c r="D4289" s="1"/>
    </row>
    <row r="4290" spans="3:4" x14ac:dyDescent="0.25">
      <c r="C4290" s="1"/>
      <c r="D4290" s="1"/>
    </row>
    <row r="4291" spans="3:4" x14ac:dyDescent="0.25">
      <c r="C4291" s="1"/>
      <c r="D4291" s="1"/>
    </row>
    <row r="4292" spans="3:4" x14ac:dyDescent="0.25">
      <c r="C4292" s="1"/>
      <c r="D4292" s="1"/>
    </row>
    <row r="4293" spans="3:4" x14ac:dyDescent="0.25">
      <c r="C4293" s="1"/>
      <c r="D4293" s="1"/>
    </row>
    <row r="4294" spans="3:4" x14ac:dyDescent="0.25">
      <c r="C4294" s="1"/>
      <c r="D4294" s="1"/>
    </row>
    <row r="4295" spans="3:4" x14ac:dyDescent="0.25">
      <c r="C4295" s="1"/>
      <c r="D4295" s="1"/>
    </row>
    <row r="4296" spans="3:4" x14ac:dyDescent="0.25">
      <c r="C4296" s="1"/>
      <c r="D4296" s="1"/>
    </row>
    <row r="4297" spans="3:4" x14ac:dyDescent="0.25">
      <c r="C4297" s="1"/>
      <c r="D4297" s="1"/>
    </row>
    <row r="4298" spans="3:4" x14ac:dyDescent="0.25">
      <c r="C4298" s="1"/>
      <c r="D4298" s="1"/>
    </row>
    <row r="4299" spans="3:4" x14ac:dyDescent="0.25">
      <c r="C4299" s="1"/>
      <c r="D4299" s="1"/>
    </row>
    <row r="4300" spans="3:4" x14ac:dyDescent="0.25">
      <c r="C4300" s="1"/>
      <c r="D4300" s="1"/>
    </row>
    <row r="4301" spans="3:4" x14ac:dyDescent="0.25">
      <c r="C4301" s="1"/>
      <c r="D4301" s="1"/>
    </row>
    <row r="4302" spans="3:4" x14ac:dyDescent="0.25">
      <c r="C4302" s="1"/>
      <c r="D4302" s="1"/>
    </row>
    <row r="4303" spans="3:4" x14ac:dyDescent="0.25">
      <c r="C4303" s="1"/>
      <c r="D4303" s="1"/>
    </row>
    <row r="4304" spans="3:4" x14ac:dyDescent="0.25">
      <c r="C4304" s="1"/>
      <c r="D4304" s="1"/>
    </row>
    <row r="4305" spans="3:4" x14ac:dyDescent="0.25">
      <c r="C4305" s="1"/>
      <c r="D4305" s="1"/>
    </row>
    <row r="4306" spans="3:4" x14ac:dyDescent="0.25">
      <c r="C4306" s="1"/>
      <c r="D4306" s="1"/>
    </row>
    <row r="4307" spans="3:4" x14ac:dyDescent="0.25">
      <c r="C4307" s="1"/>
      <c r="D4307" s="1"/>
    </row>
    <row r="4308" spans="3:4" x14ac:dyDescent="0.25">
      <c r="C4308" s="1"/>
      <c r="D4308" s="1"/>
    </row>
    <row r="4309" spans="3:4" x14ac:dyDescent="0.25">
      <c r="C4309" s="1"/>
      <c r="D4309" s="1"/>
    </row>
    <row r="4310" spans="3:4" x14ac:dyDescent="0.25">
      <c r="C4310" s="1"/>
      <c r="D4310" s="1"/>
    </row>
    <row r="4311" spans="3:4" x14ac:dyDescent="0.25">
      <c r="C4311" s="1"/>
      <c r="D4311" s="1"/>
    </row>
    <row r="4312" spans="3:4" x14ac:dyDescent="0.25">
      <c r="C4312" s="1"/>
      <c r="D4312" s="1"/>
    </row>
    <row r="4313" spans="3:4" x14ac:dyDescent="0.25">
      <c r="C4313" s="1"/>
      <c r="D4313" s="1"/>
    </row>
    <row r="4314" spans="3:4" x14ac:dyDescent="0.25">
      <c r="C4314" s="1"/>
      <c r="D4314" s="1"/>
    </row>
    <row r="4315" spans="3:4" x14ac:dyDescent="0.25">
      <c r="C4315" s="1"/>
      <c r="D4315" s="1"/>
    </row>
    <row r="4316" spans="3:4" x14ac:dyDescent="0.25">
      <c r="C4316" s="1"/>
      <c r="D4316" s="1"/>
    </row>
    <row r="4317" spans="3:4" x14ac:dyDescent="0.25">
      <c r="C4317" s="1"/>
      <c r="D4317" s="1"/>
    </row>
    <row r="4318" spans="3:4" x14ac:dyDescent="0.25">
      <c r="C4318" s="1"/>
      <c r="D4318" s="1"/>
    </row>
    <row r="4319" spans="3:4" x14ac:dyDescent="0.25">
      <c r="C4319" s="1"/>
      <c r="D4319" s="1"/>
    </row>
    <row r="4320" spans="3:4" x14ac:dyDescent="0.25">
      <c r="C4320" s="1"/>
      <c r="D4320" s="1"/>
    </row>
    <row r="4321" spans="3:4" x14ac:dyDescent="0.25">
      <c r="C4321" s="1"/>
      <c r="D4321" s="1"/>
    </row>
    <row r="4322" spans="3:4" x14ac:dyDescent="0.25">
      <c r="C4322" s="1"/>
      <c r="D4322" s="1"/>
    </row>
    <row r="4323" spans="3:4" x14ac:dyDescent="0.25">
      <c r="C4323" s="1"/>
      <c r="D4323" s="1"/>
    </row>
    <row r="4324" spans="3:4" x14ac:dyDescent="0.25">
      <c r="C4324" s="1"/>
      <c r="D4324" s="1"/>
    </row>
    <row r="4325" spans="3:4" x14ac:dyDescent="0.25">
      <c r="C4325" s="1"/>
      <c r="D4325" s="1"/>
    </row>
    <row r="4326" spans="3:4" x14ac:dyDescent="0.25">
      <c r="C4326" s="1"/>
      <c r="D4326" s="1"/>
    </row>
    <row r="4327" spans="3:4" x14ac:dyDescent="0.25">
      <c r="C4327" s="1"/>
      <c r="D4327" s="1"/>
    </row>
    <row r="4328" spans="3:4" x14ac:dyDescent="0.25">
      <c r="C4328" s="1"/>
      <c r="D4328" s="1"/>
    </row>
    <row r="4329" spans="3:4" x14ac:dyDescent="0.25">
      <c r="C4329" s="1"/>
      <c r="D4329" s="1"/>
    </row>
    <row r="4330" spans="3:4" x14ac:dyDescent="0.25">
      <c r="C4330" s="1"/>
      <c r="D4330" s="1"/>
    </row>
    <row r="4331" spans="3:4" x14ac:dyDescent="0.25">
      <c r="C4331" s="1"/>
      <c r="D4331" s="1"/>
    </row>
    <row r="4332" spans="3:4" x14ac:dyDescent="0.25">
      <c r="C4332" s="1"/>
      <c r="D4332" s="1"/>
    </row>
    <row r="4333" spans="3:4" x14ac:dyDescent="0.25">
      <c r="C4333" s="1"/>
      <c r="D4333" s="1"/>
    </row>
    <row r="4334" spans="3:4" x14ac:dyDescent="0.25">
      <c r="C4334" s="1"/>
      <c r="D4334" s="1"/>
    </row>
    <row r="4335" spans="3:4" x14ac:dyDescent="0.25">
      <c r="C4335" s="1"/>
      <c r="D4335" s="1"/>
    </row>
    <row r="4336" spans="3:4" x14ac:dyDescent="0.25">
      <c r="C4336" s="1"/>
      <c r="D4336" s="1"/>
    </row>
    <row r="4337" spans="3:4" x14ac:dyDescent="0.25">
      <c r="C4337" s="1"/>
      <c r="D4337" s="1"/>
    </row>
    <row r="4338" spans="3:4" x14ac:dyDescent="0.25">
      <c r="C4338" s="1"/>
      <c r="D4338" s="1"/>
    </row>
    <row r="4339" spans="3:4" x14ac:dyDescent="0.25">
      <c r="C4339" s="1"/>
      <c r="D4339" s="1"/>
    </row>
    <row r="4340" spans="3:4" x14ac:dyDescent="0.25">
      <c r="C4340" s="1"/>
      <c r="D4340" s="1"/>
    </row>
    <row r="4341" spans="3:4" x14ac:dyDescent="0.25">
      <c r="C4341" s="1"/>
      <c r="D4341" s="1"/>
    </row>
    <row r="4342" spans="3:4" x14ac:dyDescent="0.25">
      <c r="C4342" s="1"/>
      <c r="D4342" s="1"/>
    </row>
    <row r="4343" spans="3:4" x14ac:dyDescent="0.25">
      <c r="C4343" s="1"/>
      <c r="D4343" s="1"/>
    </row>
    <row r="4344" spans="3:4" x14ac:dyDescent="0.25">
      <c r="C4344" s="1"/>
      <c r="D4344" s="1"/>
    </row>
    <row r="4345" spans="3:4" x14ac:dyDescent="0.25">
      <c r="C4345" s="1"/>
      <c r="D4345" s="1"/>
    </row>
    <row r="4346" spans="3:4" x14ac:dyDescent="0.25">
      <c r="C4346" s="1"/>
      <c r="D4346" s="1"/>
    </row>
    <row r="4347" spans="3:4" x14ac:dyDescent="0.25">
      <c r="C4347" s="1"/>
      <c r="D4347" s="1"/>
    </row>
    <row r="4348" spans="3:4" x14ac:dyDescent="0.25">
      <c r="C4348" s="1"/>
      <c r="D4348" s="1"/>
    </row>
    <row r="4349" spans="3:4" x14ac:dyDescent="0.25">
      <c r="C4349" s="1"/>
      <c r="D4349" s="1"/>
    </row>
    <row r="4350" spans="3:4" x14ac:dyDescent="0.25">
      <c r="C4350" s="1"/>
      <c r="D4350" s="1"/>
    </row>
    <row r="4351" spans="3:4" x14ac:dyDescent="0.25">
      <c r="C4351" s="1"/>
      <c r="D4351" s="1"/>
    </row>
    <row r="4352" spans="3:4" x14ac:dyDescent="0.25">
      <c r="C4352" s="1"/>
      <c r="D4352" s="1"/>
    </row>
    <row r="4353" spans="3:4" x14ac:dyDescent="0.25">
      <c r="C4353" s="1"/>
      <c r="D4353" s="1"/>
    </row>
    <row r="4354" spans="3:4" x14ac:dyDescent="0.25">
      <c r="C4354" s="1"/>
      <c r="D4354" s="1"/>
    </row>
    <row r="4355" spans="3:4" x14ac:dyDescent="0.25">
      <c r="C4355" s="1"/>
      <c r="D4355" s="1"/>
    </row>
    <row r="4356" spans="3:4" x14ac:dyDescent="0.25">
      <c r="C4356" s="1"/>
      <c r="D4356" s="1"/>
    </row>
    <row r="4357" spans="3:4" x14ac:dyDescent="0.25">
      <c r="C4357" s="1"/>
      <c r="D4357" s="1"/>
    </row>
    <row r="4358" spans="3:4" x14ac:dyDescent="0.25">
      <c r="C4358" s="1"/>
      <c r="D4358" s="1"/>
    </row>
    <row r="4359" spans="3:4" x14ac:dyDescent="0.25">
      <c r="C4359" s="1"/>
      <c r="D4359" s="1"/>
    </row>
    <row r="4360" spans="3:4" x14ac:dyDescent="0.25">
      <c r="C4360" s="1"/>
      <c r="D4360" s="1"/>
    </row>
    <row r="4361" spans="3:4" x14ac:dyDescent="0.25">
      <c r="C4361" s="1"/>
      <c r="D4361" s="1"/>
    </row>
    <row r="4362" spans="3:4" x14ac:dyDescent="0.25">
      <c r="C4362" s="1"/>
      <c r="D4362" s="1"/>
    </row>
    <row r="4363" spans="3:4" x14ac:dyDescent="0.25">
      <c r="C4363" s="1"/>
      <c r="D4363" s="1"/>
    </row>
    <row r="4364" spans="3:4" x14ac:dyDescent="0.25">
      <c r="C4364" s="1"/>
      <c r="D4364" s="1"/>
    </row>
    <row r="4365" spans="3:4" x14ac:dyDescent="0.25">
      <c r="C4365" s="1"/>
      <c r="D4365" s="1"/>
    </row>
    <row r="4366" spans="3:4" x14ac:dyDescent="0.25">
      <c r="C4366" s="1"/>
      <c r="D4366" s="1"/>
    </row>
    <row r="4367" spans="3:4" x14ac:dyDescent="0.25">
      <c r="C4367" s="1"/>
      <c r="D4367" s="1"/>
    </row>
    <row r="4368" spans="3:4" x14ac:dyDescent="0.25">
      <c r="C4368" s="1"/>
      <c r="D4368" s="1"/>
    </row>
    <row r="4369" spans="3:4" x14ac:dyDescent="0.25">
      <c r="C4369" s="1"/>
      <c r="D4369" s="1"/>
    </row>
    <row r="4370" spans="3:4" x14ac:dyDescent="0.25">
      <c r="C4370" s="1"/>
      <c r="D4370" s="1"/>
    </row>
    <row r="4371" spans="3:4" x14ac:dyDescent="0.25">
      <c r="C4371" s="1"/>
      <c r="D4371" s="1"/>
    </row>
    <row r="4372" spans="3:4" x14ac:dyDescent="0.25">
      <c r="C4372" s="1"/>
      <c r="D4372" s="1"/>
    </row>
    <row r="4373" spans="3:4" x14ac:dyDescent="0.25">
      <c r="C4373" s="1"/>
      <c r="D4373" s="1"/>
    </row>
    <row r="4374" spans="3:4" x14ac:dyDescent="0.25">
      <c r="C4374" s="1"/>
      <c r="D4374" s="1"/>
    </row>
    <row r="4375" spans="3:4" x14ac:dyDescent="0.25">
      <c r="C4375" s="1"/>
      <c r="D4375" s="1"/>
    </row>
    <row r="4376" spans="3:4" x14ac:dyDescent="0.25">
      <c r="C4376" s="1"/>
      <c r="D4376" s="1"/>
    </row>
    <row r="4377" spans="3:4" x14ac:dyDescent="0.25">
      <c r="C4377" s="1"/>
      <c r="D4377" s="1"/>
    </row>
    <row r="4378" spans="3:4" x14ac:dyDescent="0.25">
      <c r="C4378" s="1"/>
      <c r="D4378" s="1"/>
    </row>
    <row r="4379" spans="3:4" x14ac:dyDescent="0.25">
      <c r="C4379" s="1"/>
      <c r="D4379" s="1"/>
    </row>
    <row r="4380" spans="3:4" x14ac:dyDescent="0.25">
      <c r="C4380" s="1"/>
      <c r="D4380" s="1"/>
    </row>
    <row r="4381" spans="3:4" x14ac:dyDescent="0.25">
      <c r="C4381" s="1"/>
      <c r="D4381" s="1"/>
    </row>
    <row r="4382" spans="3:4" x14ac:dyDescent="0.25">
      <c r="C4382" s="1"/>
      <c r="D4382" s="1"/>
    </row>
    <row r="4383" spans="3:4" x14ac:dyDescent="0.25">
      <c r="C4383" s="1"/>
      <c r="D4383" s="1"/>
    </row>
    <row r="4384" spans="3:4" x14ac:dyDescent="0.25">
      <c r="C4384" s="1"/>
      <c r="D4384" s="1"/>
    </row>
    <row r="4385" spans="3:4" x14ac:dyDescent="0.25">
      <c r="C4385" s="1"/>
      <c r="D4385" s="1"/>
    </row>
    <row r="4386" spans="3:4" x14ac:dyDescent="0.25">
      <c r="C4386" s="1"/>
      <c r="D4386" s="1"/>
    </row>
    <row r="4387" spans="3:4" x14ac:dyDescent="0.25">
      <c r="C4387" s="1"/>
      <c r="D4387" s="1"/>
    </row>
    <row r="4388" spans="3:4" x14ac:dyDescent="0.25">
      <c r="C4388" s="1"/>
      <c r="D4388" s="1"/>
    </row>
    <row r="4389" spans="3:4" x14ac:dyDescent="0.25">
      <c r="C4389" s="1"/>
      <c r="D4389" s="1"/>
    </row>
    <row r="4390" spans="3:4" x14ac:dyDescent="0.25">
      <c r="C4390" s="1"/>
      <c r="D4390" s="1"/>
    </row>
    <row r="4391" spans="3:4" x14ac:dyDescent="0.25">
      <c r="C4391" s="1"/>
      <c r="D4391" s="1"/>
    </row>
    <row r="4392" spans="3:4" x14ac:dyDescent="0.25">
      <c r="C4392" s="1"/>
      <c r="D4392" s="1"/>
    </row>
    <row r="4393" spans="3:4" x14ac:dyDescent="0.25">
      <c r="C4393" s="1"/>
      <c r="D4393" s="1"/>
    </row>
    <row r="4394" spans="3:4" x14ac:dyDescent="0.25">
      <c r="C4394" s="1"/>
      <c r="D4394" s="1"/>
    </row>
    <row r="4395" spans="3:4" x14ac:dyDescent="0.25">
      <c r="C4395" s="1"/>
      <c r="D4395" s="1"/>
    </row>
    <row r="4396" spans="3:4" x14ac:dyDescent="0.25">
      <c r="C4396" s="1"/>
      <c r="D4396" s="1"/>
    </row>
    <row r="4397" spans="3:4" x14ac:dyDescent="0.25">
      <c r="C4397" s="1"/>
      <c r="D4397" s="1"/>
    </row>
    <row r="4398" spans="3:4" x14ac:dyDescent="0.25">
      <c r="C4398" s="1"/>
      <c r="D4398" s="1"/>
    </row>
    <row r="4399" spans="3:4" x14ac:dyDescent="0.25">
      <c r="C4399" s="1"/>
      <c r="D4399" s="1"/>
    </row>
    <row r="4400" spans="3:4" x14ac:dyDescent="0.25">
      <c r="C4400" s="1"/>
      <c r="D4400" s="1"/>
    </row>
    <row r="4401" spans="3:4" x14ac:dyDescent="0.25">
      <c r="C4401" s="1"/>
      <c r="D4401" s="1"/>
    </row>
    <row r="4402" spans="3:4" x14ac:dyDescent="0.25">
      <c r="C4402" s="1"/>
      <c r="D4402" s="1"/>
    </row>
    <row r="4403" spans="3:4" x14ac:dyDescent="0.25">
      <c r="C4403" s="1"/>
      <c r="D4403" s="1"/>
    </row>
    <row r="4404" spans="3:4" x14ac:dyDescent="0.25">
      <c r="C4404" s="1"/>
      <c r="D4404" s="1"/>
    </row>
    <row r="4405" spans="3:4" x14ac:dyDescent="0.25">
      <c r="C4405" s="1"/>
      <c r="D4405" s="1"/>
    </row>
    <row r="4406" spans="3:4" x14ac:dyDescent="0.25">
      <c r="C4406" s="1"/>
      <c r="D4406" s="1"/>
    </row>
    <row r="4407" spans="3:4" x14ac:dyDescent="0.25">
      <c r="C4407" s="1"/>
      <c r="D4407" s="1"/>
    </row>
    <row r="4408" spans="3:4" x14ac:dyDescent="0.25">
      <c r="C4408" s="1"/>
      <c r="D4408" s="1"/>
    </row>
    <row r="4409" spans="3:4" x14ac:dyDescent="0.25">
      <c r="C4409" s="1"/>
      <c r="D4409" s="1"/>
    </row>
    <row r="4410" spans="3:4" x14ac:dyDescent="0.25">
      <c r="C4410" s="1"/>
      <c r="D4410" s="1"/>
    </row>
    <row r="4411" spans="3:4" x14ac:dyDescent="0.25">
      <c r="C4411" s="1"/>
      <c r="D4411" s="1"/>
    </row>
    <row r="4412" spans="3:4" x14ac:dyDescent="0.25">
      <c r="C4412" s="1"/>
      <c r="D4412" s="1"/>
    </row>
    <row r="4413" spans="3:4" x14ac:dyDescent="0.25">
      <c r="C4413" s="1"/>
      <c r="D4413" s="1"/>
    </row>
    <row r="4414" spans="3:4" x14ac:dyDescent="0.25">
      <c r="C4414" s="1"/>
      <c r="D4414" s="1"/>
    </row>
    <row r="4415" spans="3:4" x14ac:dyDescent="0.25">
      <c r="C4415" s="1"/>
      <c r="D4415" s="1"/>
    </row>
    <row r="4416" spans="3:4" x14ac:dyDescent="0.25">
      <c r="C4416" s="1"/>
      <c r="D4416" s="1"/>
    </row>
    <row r="4417" spans="3:4" x14ac:dyDescent="0.25">
      <c r="C4417" s="1"/>
      <c r="D4417" s="1"/>
    </row>
    <row r="4418" spans="3:4" x14ac:dyDescent="0.25">
      <c r="C4418" s="1"/>
      <c r="D4418" s="1"/>
    </row>
    <row r="4419" spans="3:4" x14ac:dyDescent="0.25">
      <c r="C4419" s="1"/>
      <c r="D4419" s="1"/>
    </row>
    <row r="4420" spans="3:4" x14ac:dyDescent="0.25">
      <c r="C4420" s="1"/>
      <c r="D4420" s="1"/>
    </row>
    <row r="4421" spans="3:4" x14ac:dyDescent="0.25">
      <c r="C4421" s="1"/>
      <c r="D4421" s="1"/>
    </row>
    <row r="4422" spans="3:4" x14ac:dyDescent="0.25">
      <c r="C4422" s="1"/>
      <c r="D4422" s="1"/>
    </row>
    <row r="4423" spans="3:4" x14ac:dyDescent="0.25">
      <c r="C4423" s="1"/>
      <c r="D4423" s="1"/>
    </row>
    <row r="4424" spans="3:4" x14ac:dyDescent="0.25">
      <c r="C4424" s="1"/>
      <c r="D4424" s="1"/>
    </row>
    <row r="4425" spans="3:4" x14ac:dyDescent="0.25">
      <c r="C4425" s="1"/>
      <c r="D4425" s="1"/>
    </row>
    <row r="4426" spans="3:4" x14ac:dyDescent="0.25">
      <c r="C4426" s="1"/>
      <c r="D4426" s="1"/>
    </row>
    <row r="4427" spans="3:4" x14ac:dyDescent="0.25">
      <c r="C4427" s="1"/>
      <c r="D4427" s="1"/>
    </row>
    <row r="4428" spans="3:4" x14ac:dyDescent="0.25">
      <c r="C4428" s="1"/>
      <c r="D4428" s="1"/>
    </row>
    <row r="4429" spans="3:4" x14ac:dyDescent="0.25">
      <c r="C4429" s="1"/>
      <c r="D4429" s="1"/>
    </row>
    <row r="4430" spans="3:4" x14ac:dyDescent="0.25">
      <c r="C4430" s="1"/>
      <c r="D4430" s="1"/>
    </row>
    <row r="4431" spans="3:4" x14ac:dyDescent="0.25">
      <c r="C4431" s="1"/>
      <c r="D4431" s="1"/>
    </row>
    <row r="4432" spans="3:4" x14ac:dyDescent="0.25">
      <c r="C4432" s="1"/>
      <c r="D4432" s="1"/>
    </row>
    <row r="4433" spans="3:4" x14ac:dyDescent="0.25">
      <c r="C4433" s="1"/>
      <c r="D4433" s="1"/>
    </row>
    <row r="4434" spans="3:4" x14ac:dyDescent="0.25">
      <c r="C4434" s="1"/>
      <c r="D4434" s="1"/>
    </row>
    <row r="4435" spans="3:4" x14ac:dyDescent="0.25">
      <c r="C4435" s="1"/>
      <c r="D4435" s="1"/>
    </row>
    <row r="4436" spans="3:4" x14ac:dyDescent="0.25">
      <c r="C4436" s="1"/>
      <c r="D4436" s="1"/>
    </row>
    <row r="4437" spans="3:4" x14ac:dyDescent="0.25">
      <c r="C4437" s="1"/>
      <c r="D4437" s="1"/>
    </row>
    <row r="4438" spans="3:4" x14ac:dyDescent="0.25">
      <c r="C4438" s="1"/>
      <c r="D4438" s="1"/>
    </row>
    <row r="4439" spans="3:4" x14ac:dyDescent="0.25">
      <c r="C4439" s="1"/>
      <c r="D4439" s="1"/>
    </row>
    <row r="4440" spans="3:4" x14ac:dyDescent="0.25">
      <c r="C4440" s="1"/>
      <c r="D4440" s="1"/>
    </row>
    <row r="4441" spans="3:4" x14ac:dyDescent="0.25">
      <c r="C4441" s="1"/>
      <c r="D4441" s="1"/>
    </row>
    <row r="4442" spans="3:4" x14ac:dyDescent="0.25">
      <c r="C4442" s="1"/>
      <c r="D4442" s="1"/>
    </row>
    <row r="4443" spans="3:4" x14ac:dyDescent="0.25">
      <c r="C4443" s="1"/>
      <c r="D4443" s="1"/>
    </row>
    <row r="4444" spans="3:4" x14ac:dyDescent="0.25">
      <c r="C4444" s="1"/>
      <c r="D4444" s="1"/>
    </row>
    <row r="4445" spans="3:4" x14ac:dyDescent="0.25">
      <c r="C4445" s="1"/>
      <c r="D4445" s="1"/>
    </row>
    <row r="4446" spans="3:4" x14ac:dyDescent="0.25">
      <c r="C4446" s="1"/>
      <c r="D4446" s="1"/>
    </row>
    <row r="4447" spans="3:4" x14ac:dyDescent="0.25">
      <c r="C4447" s="1"/>
      <c r="D4447" s="1"/>
    </row>
    <row r="4448" spans="3:4" x14ac:dyDescent="0.25">
      <c r="C4448" s="1"/>
      <c r="D4448" s="1"/>
    </row>
    <row r="4449" spans="3:4" x14ac:dyDescent="0.25">
      <c r="C4449" s="1"/>
      <c r="D4449" s="1"/>
    </row>
    <row r="4450" spans="3:4" x14ac:dyDescent="0.25">
      <c r="C4450" s="1"/>
      <c r="D4450" s="1"/>
    </row>
    <row r="4451" spans="3:4" x14ac:dyDescent="0.25">
      <c r="C4451" s="1"/>
      <c r="D4451" s="1"/>
    </row>
    <row r="4452" spans="3:4" x14ac:dyDescent="0.25">
      <c r="C4452" s="1"/>
      <c r="D4452" s="1"/>
    </row>
    <row r="4453" spans="3:4" x14ac:dyDescent="0.25">
      <c r="C4453" s="1"/>
      <c r="D4453" s="1"/>
    </row>
    <row r="4454" spans="3:4" x14ac:dyDescent="0.25">
      <c r="C4454" s="1"/>
      <c r="D4454" s="1"/>
    </row>
    <row r="4455" spans="3:4" x14ac:dyDescent="0.25">
      <c r="C4455" s="1"/>
      <c r="D4455" s="1"/>
    </row>
    <row r="4456" spans="3:4" x14ac:dyDescent="0.25">
      <c r="C4456" s="1"/>
      <c r="D4456" s="1"/>
    </row>
    <row r="4457" spans="3:4" x14ac:dyDescent="0.25">
      <c r="C4457" s="1"/>
      <c r="D4457" s="1"/>
    </row>
    <row r="4458" spans="3:4" x14ac:dyDescent="0.25">
      <c r="C4458" s="1"/>
      <c r="D4458" s="1"/>
    </row>
    <row r="4459" spans="3:4" x14ac:dyDescent="0.25">
      <c r="C4459" s="1"/>
      <c r="D4459" s="1"/>
    </row>
    <row r="4460" spans="3:4" x14ac:dyDescent="0.25">
      <c r="C4460" s="1"/>
      <c r="D4460" s="1"/>
    </row>
    <row r="4461" spans="3:4" x14ac:dyDescent="0.25">
      <c r="C4461" s="1"/>
      <c r="D4461" s="1"/>
    </row>
    <row r="4462" spans="3:4" x14ac:dyDescent="0.25">
      <c r="C4462" s="1"/>
      <c r="D4462" s="1"/>
    </row>
    <row r="4463" spans="3:4" x14ac:dyDescent="0.25">
      <c r="C4463" s="1"/>
      <c r="D4463" s="1"/>
    </row>
    <row r="4464" spans="3:4" x14ac:dyDescent="0.25">
      <c r="C4464" s="1"/>
      <c r="D4464" s="1"/>
    </row>
    <row r="4465" spans="3:4" x14ac:dyDescent="0.25">
      <c r="C4465" s="1"/>
      <c r="D4465" s="1"/>
    </row>
    <row r="4466" spans="3:4" x14ac:dyDescent="0.25">
      <c r="C4466" s="1"/>
      <c r="D4466" s="1"/>
    </row>
    <row r="4467" spans="3:4" x14ac:dyDescent="0.25">
      <c r="C4467" s="1"/>
      <c r="D4467" s="1"/>
    </row>
    <row r="4468" spans="3:4" x14ac:dyDescent="0.25">
      <c r="C4468" s="1"/>
      <c r="D4468" s="1"/>
    </row>
    <row r="4469" spans="3:4" x14ac:dyDescent="0.25">
      <c r="C4469" s="1"/>
      <c r="D4469" s="1"/>
    </row>
    <row r="4470" spans="3:4" x14ac:dyDescent="0.25">
      <c r="C4470" s="1"/>
      <c r="D4470" s="1"/>
    </row>
    <row r="4471" spans="3:4" x14ac:dyDescent="0.25">
      <c r="C4471" s="1"/>
      <c r="D4471" s="1"/>
    </row>
    <row r="4472" spans="3:4" x14ac:dyDescent="0.25">
      <c r="C4472" s="1"/>
      <c r="D4472" s="1"/>
    </row>
    <row r="4473" spans="3:4" x14ac:dyDescent="0.25">
      <c r="C4473" s="1"/>
      <c r="D4473" s="1"/>
    </row>
    <row r="4474" spans="3:4" x14ac:dyDescent="0.25">
      <c r="C4474" s="1"/>
      <c r="D4474" s="1"/>
    </row>
    <row r="4475" spans="3:4" x14ac:dyDescent="0.25">
      <c r="C4475" s="1"/>
      <c r="D4475" s="1"/>
    </row>
    <row r="4476" spans="3:4" x14ac:dyDescent="0.25">
      <c r="C4476" s="1"/>
      <c r="D4476" s="1"/>
    </row>
    <row r="4477" spans="3:4" x14ac:dyDescent="0.25">
      <c r="C4477" s="1"/>
      <c r="D4477" s="1"/>
    </row>
    <row r="4478" spans="3:4" x14ac:dyDescent="0.25">
      <c r="C4478" s="1"/>
      <c r="D4478" s="1"/>
    </row>
    <row r="4479" spans="3:4" x14ac:dyDescent="0.25">
      <c r="C4479" s="1"/>
      <c r="D4479" s="1"/>
    </row>
    <row r="4480" spans="3:4" x14ac:dyDescent="0.25">
      <c r="C4480" s="1"/>
      <c r="D4480" s="1"/>
    </row>
    <row r="4481" spans="3:4" x14ac:dyDescent="0.25">
      <c r="C4481" s="1"/>
      <c r="D4481" s="1"/>
    </row>
    <row r="4482" spans="3:4" x14ac:dyDescent="0.25">
      <c r="C4482" s="1"/>
      <c r="D4482" s="1"/>
    </row>
    <row r="4483" spans="3:4" x14ac:dyDescent="0.25">
      <c r="C4483" s="1"/>
      <c r="D4483" s="1"/>
    </row>
    <row r="4484" spans="3:4" x14ac:dyDescent="0.25">
      <c r="C4484" s="1"/>
      <c r="D4484" s="1"/>
    </row>
    <row r="4485" spans="3:4" x14ac:dyDescent="0.25">
      <c r="C4485" s="1"/>
      <c r="D4485" s="1"/>
    </row>
    <row r="4486" spans="3:4" x14ac:dyDescent="0.25">
      <c r="C4486" s="1"/>
      <c r="D4486" s="1"/>
    </row>
    <row r="4487" spans="3:4" x14ac:dyDescent="0.25">
      <c r="C4487" s="1"/>
      <c r="D4487" s="1"/>
    </row>
    <row r="4488" spans="3:4" x14ac:dyDescent="0.25">
      <c r="C4488" s="1"/>
      <c r="D4488" s="1"/>
    </row>
    <row r="4489" spans="3:4" x14ac:dyDescent="0.25">
      <c r="C4489" s="1"/>
      <c r="D4489" s="1"/>
    </row>
    <row r="4490" spans="3:4" x14ac:dyDescent="0.25">
      <c r="C4490" s="1"/>
      <c r="D4490" s="1"/>
    </row>
    <row r="4491" spans="3:4" x14ac:dyDescent="0.25">
      <c r="C4491" s="1"/>
      <c r="D4491" s="1"/>
    </row>
    <row r="4492" spans="3:4" x14ac:dyDescent="0.25">
      <c r="C4492" s="1"/>
      <c r="D4492" s="1"/>
    </row>
    <row r="4493" spans="3:4" x14ac:dyDescent="0.25">
      <c r="C4493" s="1"/>
      <c r="D4493" s="1"/>
    </row>
    <row r="4494" spans="3:4" x14ac:dyDescent="0.25">
      <c r="C4494" s="1"/>
      <c r="D4494" s="1"/>
    </row>
    <row r="4495" spans="3:4" x14ac:dyDescent="0.25">
      <c r="C4495" s="1"/>
      <c r="D4495" s="1"/>
    </row>
    <row r="4496" spans="3:4" x14ac:dyDescent="0.25">
      <c r="C4496" s="1"/>
      <c r="D4496" s="1"/>
    </row>
    <row r="4497" spans="3:4" x14ac:dyDescent="0.25">
      <c r="C4497" s="1"/>
      <c r="D4497" s="1"/>
    </row>
    <row r="4498" spans="3:4" x14ac:dyDescent="0.25">
      <c r="C4498" s="1"/>
      <c r="D4498" s="1"/>
    </row>
    <row r="4499" spans="3:4" x14ac:dyDescent="0.25">
      <c r="C4499" s="1"/>
      <c r="D4499" s="1"/>
    </row>
    <row r="4500" spans="3:4" x14ac:dyDescent="0.25">
      <c r="C4500" s="1"/>
      <c r="D4500" s="1"/>
    </row>
    <row r="4501" spans="3:4" x14ac:dyDescent="0.25">
      <c r="C4501" s="1"/>
      <c r="D4501" s="1"/>
    </row>
    <row r="4502" spans="3:4" x14ac:dyDescent="0.25">
      <c r="C4502" s="1"/>
      <c r="D4502" s="1"/>
    </row>
    <row r="4503" spans="3:4" x14ac:dyDescent="0.25">
      <c r="C4503" s="1"/>
      <c r="D4503" s="1"/>
    </row>
    <row r="4504" spans="3:4" x14ac:dyDescent="0.25">
      <c r="C4504" s="1"/>
      <c r="D4504" s="1"/>
    </row>
    <row r="4505" spans="3:4" x14ac:dyDescent="0.25">
      <c r="C4505" s="1"/>
      <c r="D4505" s="1"/>
    </row>
    <row r="4506" spans="3:4" x14ac:dyDescent="0.25">
      <c r="C4506" s="1"/>
      <c r="D4506" s="1"/>
    </row>
    <row r="4507" spans="3:4" x14ac:dyDescent="0.25">
      <c r="C4507" s="1"/>
      <c r="D4507" s="1"/>
    </row>
    <row r="4508" spans="3:4" x14ac:dyDescent="0.25">
      <c r="C4508" s="1"/>
      <c r="D4508" s="1"/>
    </row>
    <row r="4509" spans="3:4" x14ac:dyDescent="0.25">
      <c r="C4509" s="1"/>
      <c r="D4509" s="1"/>
    </row>
    <row r="4510" spans="3:4" x14ac:dyDescent="0.25">
      <c r="C4510" s="1"/>
      <c r="D4510" s="1"/>
    </row>
    <row r="4511" spans="3:4" x14ac:dyDescent="0.25">
      <c r="C4511" s="1"/>
      <c r="D4511" s="1"/>
    </row>
    <row r="4512" spans="3:4" x14ac:dyDescent="0.25">
      <c r="C4512" s="1"/>
      <c r="D4512" s="1"/>
    </row>
    <row r="4513" spans="3:4" x14ac:dyDescent="0.25">
      <c r="C4513" s="1"/>
      <c r="D4513" s="1"/>
    </row>
    <row r="4514" spans="3:4" x14ac:dyDescent="0.25">
      <c r="C4514" s="1"/>
      <c r="D4514" s="1"/>
    </row>
    <row r="4515" spans="3:4" x14ac:dyDescent="0.25">
      <c r="C4515" s="1"/>
      <c r="D4515" s="1"/>
    </row>
    <row r="4516" spans="3:4" x14ac:dyDescent="0.25">
      <c r="C4516" s="1"/>
      <c r="D4516" s="1"/>
    </row>
    <row r="4517" spans="3:4" x14ac:dyDescent="0.25">
      <c r="C4517" s="1"/>
      <c r="D4517" s="1"/>
    </row>
    <row r="4518" spans="3:4" x14ac:dyDescent="0.25">
      <c r="C4518" s="1"/>
      <c r="D4518" s="1"/>
    </row>
    <row r="4519" spans="3:4" x14ac:dyDescent="0.25">
      <c r="C4519" s="1"/>
      <c r="D4519" s="1"/>
    </row>
    <row r="4520" spans="3:4" x14ac:dyDescent="0.25">
      <c r="C4520" s="1"/>
      <c r="D4520" s="1"/>
    </row>
    <row r="4521" spans="3:4" x14ac:dyDescent="0.25">
      <c r="C4521" s="1"/>
      <c r="D4521" s="1"/>
    </row>
    <row r="4522" spans="3:4" x14ac:dyDescent="0.25">
      <c r="C4522" s="1"/>
      <c r="D4522" s="1"/>
    </row>
    <row r="4523" spans="3:4" x14ac:dyDescent="0.25">
      <c r="C4523" s="1"/>
      <c r="D4523" s="1"/>
    </row>
    <row r="4524" spans="3:4" x14ac:dyDescent="0.25">
      <c r="C4524" s="1"/>
      <c r="D4524" s="1"/>
    </row>
    <row r="4525" spans="3:4" x14ac:dyDescent="0.25">
      <c r="C4525" s="1"/>
      <c r="D4525" s="1"/>
    </row>
    <row r="4526" spans="3:4" x14ac:dyDescent="0.25">
      <c r="C4526" s="1"/>
      <c r="D4526" s="1"/>
    </row>
    <row r="4527" spans="3:4" x14ac:dyDescent="0.25">
      <c r="C4527" s="1"/>
      <c r="D4527" s="1"/>
    </row>
    <row r="4528" spans="3:4" x14ac:dyDescent="0.25">
      <c r="C4528" s="1"/>
      <c r="D4528" s="1"/>
    </row>
    <row r="4529" spans="3:4" x14ac:dyDescent="0.25">
      <c r="C4529" s="1"/>
      <c r="D4529" s="1"/>
    </row>
    <row r="4530" spans="3:4" x14ac:dyDescent="0.25">
      <c r="C4530" s="1"/>
      <c r="D4530" s="1"/>
    </row>
    <row r="4531" spans="3:4" x14ac:dyDescent="0.25">
      <c r="C4531" s="1"/>
      <c r="D4531" s="1"/>
    </row>
    <row r="4532" spans="3:4" x14ac:dyDescent="0.25">
      <c r="C4532" s="1"/>
      <c r="D4532" s="1"/>
    </row>
    <row r="4533" spans="3:4" x14ac:dyDescent="0.25">
      <c r="C4533" s="1"/>
      <c r="D4533" s="1"/>
    </row>
    <row r="4534" spans="3:4" x14ac:dyDescent="0.25">
      <c r="C4534" s="1"/>
      <c r="D4534" s="1"/>
    </row>
    <row r="4535" spans="3:4" x14ac:dyDescent="0.25">
      <c r="C4535" s="1"/>
      <c r="D4535" s="1"/>
    </row>
    <row r="4536" spans="3:4" x14ac:dyDescent="0.25">
      <c r="C4536" s="1"/>
      <c r="D4536" s="1"/>
    </row>
    <row r="4537" spans="3:4" x14ac:dyDescent="0.25">
      <c r="C4537" s="1"/>
      <c r="D4537" s="1"/>
    </row>
    <row r="4538" spans="3:4" x14ac:dyDescent="0.25">
      <c r="C4538" s="1"/>
      <c r="D4538" s="1"/>
    </row>
    <row r="4539" spans="3:4" x14ac:dyDescent="0.25">
      <c r="C4539" s="1"/>
      <c r="D4539" s="1"/>
    </row>
    <row r="4540" spans="3:4" x14ac:dyDescent="0.25">
      <c r="C4540" s="1"/>
      <c r="D4540" s="1"/>
    </row>
    <row r="4541" spans="3:4" x14ac:dyDescent="0.25">
      <c r="C4541" s="1"/>
      <c r="D4541" s="1"/>
    </row>
    <row r="4542" spans="3:4" x14ac:dyDescent="0.25">
      <c r="C4542" s="1"/>
      <c r="D4542" s="1"/>
    </row>
    <row r="4543" spans="3:4" x14ac:dyDescent="0.25">
      <c r="C4543" s="1"/>
      <c r="D4543" s="1"/>
    </row>
    <row r="4544" spans="3:4" x14ac:dyDescent="0.25">
      <c r="C4544" s="1"/>
      <c r="D4544" s="1"/>
    </row>
    <row r="4545" spans="3:4" x14ac:dyDescent="0.25">
      <c r="C4545" s="1"/>
      <c r="D4545" s="1"/>
    </row>
    <row r="4546" spans="3:4" x14ac:dyDescent="0.25">
      <c r="C4546" s="1"/>
      <c r="D4546" s="1"/>
    </row>
    <row r="4547" spans="3:4" x14ac:dyDescent="0.25">
      <c r="C4547" s="1"/>
      <c r="D4547" s="1"/>
    </row>
    <row r="4548" spans="3:4" x14ac:dyDescent="0.25">
      <c r="C4548" s="1"/>
      <c r="D4548" s="1"/>
    </row>
    <row r="4549" spans="3:4" x14ac:dyDescent="0.25">
      <c r="C4549" s="1"/>
      <c r="D4549" s="1"/>
    </row>
    <row r="4550" spans="3:4" x14ac:dyDescent="0.25">
      <c r="C4550" s="1"/>
      <c r="D4550" s="1"/>
    </row>
    <row r="4551" spans="3:4" x14ac:dyDescent="0.25">
      <c r="C4551" s="1"/>
      <c r="D4551" s="1"/>
    </row>
    <row r="4552" spans="3:4" x14ac:dyDescent="0.25">
      <c r="C4552" s="1"/>
      <c r="D4552" s="1"/>
    </row>
    <row r="4553" spans="3:4" x14ac:dyDescent="0.25">
      <c r="C4553" s="1"/>
      <c r="D4553" s="1"/>
    </row>
    <row r="4554" spans="3:4" x14ac:dyDescent="0.25">
      <c r="C4554" s="1"/>
      <c r="D4554" s="1"/>
    </row>
    <row r="4555" spans="3:4" x14ac:dyDescent="0.25">
      <c r="C4555" s="1"/>
      <c r="D4555" s="1"/>
    </row>
    <row r="4556" spans="3:4" x14ac:dyDescent="0.25">
      <c r="C4556" s="1"/>
      <c r="D4556" s="1"/>
    </row>
    <row r="4557" spans="3:4" x14ac:dyDescent="0.25">
      <c r="C4557" s="1"/>
      <c r="D4557" s="1"/>
    </row>
    <row r="4558" spans="3:4" x14ac:dyDescent="0.25">
      <c r="C4558" s="1"/>
      <c r="D4558" s="1"/>
    </row>
    <row r="4559" spans="3:4" x14ac:dyDescent="0.25">
      <c r="C4559" s="1"/>
      <c r="D4559" s="1"/>
    </row>
    <row r="4560" spans="3:4" x14ac:dyDescent="0.25">
      <c r="C4560" s="1"/>
      <c r="D4560" s="1"/>
    </row>
    <row r="4561" spans="3:4" x14ac:dyDescent="0.25">
      <c r="C4561" s="1"/>
      <c r="D4561" s="1"/>
    </row>
    <row r="4562" spans="3:4" x14ac:dyDescent="0.25">
      <c r="C4562" s="1"/>
      <c r="D4562" s="1"/>
    </row>
    <row r="4563" spans="3:4" x14ac:dyDescent="0.25">
      <c r="C4563" s="1"/>
      <c r="D4563" s="1"/>
    </row>
    <row r="4564" spans="3:4" x14ac:dyDescent="0.25">
      <c r="C4564" s="1"/>
      <c r="D4564" s="1"/>
    </row>
    <row r="4565" spans="3:4" x14ac:dyDescent="0.25">
      <c r="C4565" s="1"/>
      <c r="D4565" s="1"/>
    </row>
    <row r="4566" spans="3:4" x14ac:dyDescent="0.25">
      <c r="C4566" s="1"/>
      <c r="D4566" s="1"/>
    </row>
    <row r="4567" spans="3:4" x14ac:dyDescent="0.25">
      <c r="C4567" s="1"/>
      <c r="D4567" s="1"/>
    </row>
    <row r="4568" spans="3:4" x14ac:dyDescent="0.25">
      <c r="C4568" s="1"/>
      <c r="D4568" s="1"/>
    </row>
    <row r="4569" spans="3:4" x14ac:dyDescent="0.25">
      <c r="C4569" s="1"/>
      <c r="D4569" s="1"/>
    </row>
    <row r="4570" spans="3:4" x14ac:dyDescent="0.25">
      <c r="C4570" s="1"/>
      <c r="D4570" s="1"/>
    </row>
    <row r="4571" spans="3:4" x14ac:dyDescent="0.25">
      <c r="C4571" s="1"/>
      <c r="D4571" s="1"/>
    </row>
    <row r="4572" spans="3:4" x14ac:dyDescent="0.25">
      <c r="C4572" s="1"/>
      <c r="D4572" s="1"/>
    </row>
    <row r="4573" spans="3:4" x14ac:dyDescent="0.25">
      <c r="C4573" s="1"/>
      <c r="D4573" s="1"/>
    </row>
    <row r="4574" spans="3:4" x14ac:dyDescent="0.25">
      <c r="C4574" s="1"/>
      <c r="D4574" s="1"/>
    </row>
    <row r="4575" spans="3:4" x14ac:dyDescent="0.25">
      <c r="C4575" s="1"/>
      <c r="D4575" s="1"/>
    </row>
    <row r="4576" spans="3:4" x14ac:dyDescent="0.25">
      <c r="C4576" s="1"/>
      <c r="D4576" s="1"/>
    </row>
    <row r="4577" spans="3:4" x14ac:dyDescent="0.25">
      <c r="C4577" s="1"/>
      <c r="D4577" s="1"/>
    </row>
    <row r="4578" spans="3:4" x14ac:dyDescent="0.25">
      <c r="C4578" s="1"/>
      <c r="D4578" s="1"/>
    </row>
    <row r="4579" spans="3:4" x14ac:dyDescent="0.25">
      <c r="C4579" s="1"/>
      <c r="D4579" s="1"/>
    </row>
    <row r="4580" spans="3:4" x14ac:dyDescent="0.25">
      <c r="C4580" s="1"/>
      <c r="D4580" s="1"/>
    </row>
    <row r="4581" spans="3:4" x14ac:dyDescent="0.25">
      <c r="C4581" s="1"/>
      <c r="D4581" s="1"/>
    </row>
    <row r="4582" spans="3:4" x14ac:dyDescent="0.25">
      <c r="C4582" s="1"/>
      <c r="D4582" s="1"/>
    </row>
    <row r="4583" spans="3:4" x14ac:dyDescent="0.25">
      <c r="C4583" s="1"/>
      <c r="D4583" s="1"/>
    </row>
    <row r="4584" spans="3:4" x14ac:dyDescent="0.25">
      <c r="C4584" s="1"/>
      <c r="D4584" s="1"/>
    </row>
    <row r="4585" spans="3:4" x14ac:dyDescent="0.25">
      <c r="C4585" s="1"/>
      <c r="D4585" s="1"/>
    </row>
    <row r="4586" spans="3:4" x14ac:dyDescent="0.25">
      <c r="C4586" s="1"/>
      <c r="D4586" s="1"/>
    </row>
    <row r="4587" spans="3:4" x14ac:dyDescent="0.25">
      <c r="C4587" s="1"/>
      <c r="D4587" s="1"/>
    </row>
    <row r="4588" spans="3:4" x14ac:dyDescent="0.25">
      <c r="C4588" s="1"/>
      <c r="D4588" s="1"/>
    </row>
    <row r="4589" spans="3:4" x14ac:dyDescent="0.25">
      <c r="C4589" s="1"/>
      <c r="D4589" s="1"/>
    </row>
    <row r="4590" spans="3:4" x14ac:dyDescent="0.25">
      <c r="C4590" s="1"/>
      <c r="D4590" s="1"/>
    </row>
    <row r="4591" spans="3:4" x14ac:dyDescent="0.25">
      <c r="C4591" s="1"/>
      <c r="D4591" s="1"/>
    </row>
    <row r="4592" spans="3:4" x14ac:dyDescent="0.25">
      <c r="C4592" s="1"/>
      <c r="D4592" s="1"/>
    </row>
    <row r="4593" spans="3:4" x14ac:dyDescent="0.25">
      <c r="C4593" s="1"/>
      <c r="D4593" s="1"/>
    </row>
    <row r="4594" spans="3:4" x14ac:dyDescent="0.25">
      <c r="C4594" s="1"/>
      <c r="D4594" s="1"/>
    </row>
    <row r="4595" spans="3:4" x14ac:dyDescent="0.25">
      <c r="C4595" s="1"/>
      <c r="D4595" s="1"/>
    </row>
    <row r="4596" spans="3:4" x14ac:dyDescent="0.25">
      <c r="C4596" s="1"/>
      <c r="D4596" s="1"/>
    </row>
    <row r="4597" spans="3:4" x14ac:dyDescent="0.25">
      <c r="C4597" s="1"/>
      <c r="D4597" s="1"/>
    </row>
    <row r="4598" spans="3:4" x14ac:dyDescent="0.25">
      <c r="C4598" s="1"/>
      <c r="D4598" s="1"/>
    </row>
    <row r="4599" spans="3:4" x14ac:dyDescent="0.25">
      <c r="C4599" s="1"/>
      <c r="D4599" s="1"/>
    </row>
    <row r="4600" spans="3:4" x14ac:dyDescent="0.25">
      <c r="C4600" s="1"/>
      <c r="D4600" s="1"/>
    </row>
    <row r="4601" spans="3:4" x14ac:dyDescent="0.25">
      <c r="C4601" s="1"/>
      <c r="D4601" s="1"/>
    </row>
    <row r="4602" spans="3:4" x14ac:dyDescent="0.25">
      <c r="C4602" s="1"/>
      <c r="D4602" s="1"/>
    </row>
    <row r="4603" spans="3:4" x14ac:dyDescent="0.25">
      <c r="C4603" s="1"/>
      <c r="D4603" s="1"/>
    </row>
    <row r="4604" spans="3:4" x14ac:dyDescent="0.25">
      <c r="C4604" s="1"/>
      <c r="D4604" s="1"/>
    </row>
    <row r="4605" spans="3:4" x14ac:dyDescent="0.25">
      <c r="C4605" s="1"/>
      <c r="D4605" s="1"/>
    </row>
    <row r="4606" spans="3:4" x14ac:dyDescent="0.25">
      <c r="C4606" s="1"/>
      <c r="D4606" s="1"/>
    </row>
    <row r="4607" spans="3:4" x14ac:dyDescent="0.25">
      <c r="C4607" s="1"/>
      <c r="D4607" s="1"/>
    </row>
    <row r="4608" spans="3:4" x14ac:dyDescent="0.25">
      <c r="C4608" s="1"/>
      <c r="D4608" s="1"/>
    </row>
    <row r="4609" spans="3:4" x14ac:dyDescent="0.25">
      <c r="C4609" s="1"/>
      <c r="D4609" s="1"/>
    </row>
    <row r="4610" spans="3:4" x14ac:dyDescent="0.25">
      <c r="C4610" s="1"/>
      <c r="D4610" s="1"/>
    </row>
    <row r="4611" spans="3:4" x14ac:dyDescent="0.25">
      <c r="C4611" s="1"/>
      <c r="D4611" s="1"/>
    </row>
    <row r="4612" spans="3:4" x14ac:dyDescent="0.25">
      <c r="C4612" s="1"/>
      <c r="D4612" s="1"/>
    </row>
    <row r="4613" spans="3:4" x14ac:dyDescent="0.25">
      <c r="C4613" s="1"/>
      <c r="D4613" s="1"/>
    </row>
    <row r="4614" spans="3:4" x14ac:dyDescent="0.25">
      <c r="C4614" s="1"/>
      <c r="D4614" s="1"/>
    </row>
    <row r="4615" spans="3:4" x14ac:dyDescent="0.25">
      <c r="C4615" s="1"/>
      <c r="D4615" s="1"/>
    </row>
    <row r="4616" spans="3:4" x14ac:dyDescent="0.25">
      <c r="C4616" s="1"/>
      <c r="D4616" s="1"/>
    </row>
    <row r="4617" spans="3:4" x14ac:dyDescent="0.25">
      <c r="C4617" s="1"/>
      <c r="D4617" s="1"/>
    </row>
    <row r="4618" spans="3:4" x14ac:dyDescent="0.25">
      <c r="C4618" s="1"/>
      <c r="D4618" s="1"/>
    </row>
    <row r="4619" spans="3:4" x14ac:dyDescent="0.25">
      <c r="C4619" s="1"/>
      <c r="D4619" s="1"/>
    </row>
    <row r="4620" spans="3:4" x14ac:dyDescent="0.25">
      <c r="C4620" s="1"/>
      <c r="D4620" s="1"/>
    </row>
    <row r="4621" spans="3:4" x14ac:dyDescent="0.25">
      <c r="C4621" s="1"/>
      <c r="D4621" s="1"/>
    </row>
    <row r="4622" spans="3:4" x14ac:dyDescent="0.25">
      <c r="C4622" s="1"/>
      <c r="D4622" s="1"/>
    </row>
    <row r="4623" spans="3:4" x14ac:dyDescent="0.25">
      <c r="C4623" s="1"/>
      <c r="D4623" s="1"/>
    </row>
    <row r="4624" spans="3:4" x14ac:dyDescent="0.25">
      <c r="C4624" s="1"/>
      <c r="D4624" s="1"/>
    </row>
    <row r="4625" spans="3:4" x14ac:dyDescent="0.25">
      <c r="C4625" s="1"/>
      <c r="D4625" s="1"/>
    </row>
    <row r="4626" spans="3:4" x14ac:dyDescent="0.25">
      <c r="C4626" s="1"/>
      <c r="D4626" s="1"/>
    </row>
    <row r="4627" spans="3:4" x14ac:dyDescent="0.25">
      <c r="C4627" s="1"/>
      <c r="D4627" s="1"/>
    </row>
    <row r="4628" spans="3:4" x14ac:dyDescent="0.25">
      <c r="C4628" s="1"/>
      <c r="D4628" s="1"/>
    </row>
    <row r="4629" spans="3:4" x14ac:dyDescent="0.25">
      <c r="C4629" s="1"/>
      <c r="D4629" s="1"/>
    </row>
    <row r="4630" spans="3:4" x14ac:dyDescent="0.25">
      <c r="C4630" s="1"/>
      <c r="D4630" s="1"/>
    </row>
    <row r="4631" spans="3:4" x14ac:dyDescent="0.25">
      <c r="C4631" s="1"/>
      <c r="D4631" s="1"/>
    </row>
    <row r="4632" spans="3:4" x14ac:dyDescent="0.25">
      <c r="C4632" s="1"/>
      <c r="D4632" s="1"/>
    </row>
    <row r="4633" spans="3:4" x14ac:dyDescent="0.25">
      <c r="C4633" s="1"/>
      <c r="D4633" s="1"/>
    </row>
    <row r="4634" spans="3:4" x14ac:dyDescent="0.25">
      <c r="C4634" s="1"/>
      <c r="D4634" s="1"/>
    </row>
    <row r="4635" spans="3:4" x14ac:dyDescent="0.25">
      <c r="C4635" s="1"/>
      <c r="D4635" s="1"/>
    </row>
    <row r="4636" spans="3:4" x14ac:dyDescent="0.25">
      <c r="C4636" s="1"/>
      <c r="D4636" s="1"/>
    </row>
    <row r="4637" spans="3:4" x14ac:dyDescent="0.25">
      <c r="C4637" s="1"/>
      <c r="D4637" s="1"/>
    </row>
    <row r="4638" spans="3:4" x14ac:dyDescent="0.25">
      <c r="C4638" s="1"/>
      <c r="D4638" s="1"/>
    </row>
    <row r="4639" spans="3:4" x14ac:dyDescent="0.25">
      <c r="C4639" s="1"/>
      <c r="D4639" s="1"/>
    </row>
    <row r="4640" spans="3:4" x14ac:dyDescent="0.25">
      <c r="C4640" s="1"/>
      <c r="D4640" s="1"/>
    </row>
    <row r="4641" spans="3:4" x14ac:dyDescent="0.25">
      <c r="C4641" s="1"/>
      <c r="D4641" s="1"/>
    </row>
    <row r="4642" spans="3:4" x14ac:dyDescent="0.25">
      <c r="C4642" s="1"/>
      <c r="D4642" s="1"/>
    </row>
    <row r="4643" spans="3:4" x14ac:dyDescent="0.25">
      <c r="C4643" s="1"/>
      <c r="D4643" s="1"/>
    </row>
    <row r="4644" spans="3:4" x14ac:dyDescent="0.25">
      <c r="C4644" s="1"/>
      <c r="D4644" s="1"/>
    </row>
    <row r="4645" spans="3:4" x14ac:dyDescent="0.25">
      <c r="C4645" s="1"/>
      <c r="D4645" s="1"/>
    </row>
    <row r="4646" spans="3:4" x14ac:dyDescent="0.25">
      <c r="C4646" s="1"/>
      <c r="D4646" s="1"/>
    </row>
    <row r="4647" spans="3:4" x14ac:dyDescent="0.25">
      <c r="C4647" s="1"/>
      <c r="D4647" s="1"/>
    </row>
    <row r="4648" spans="3:4" x14ac:dyDescent="0.25">
      <c r="C4648" s="1"/>
      <c r="D4648" s="1"/>
    </row>
    <row r="4649" spans="3:4" x14ac:dyDescent="0.25">
      <c r="C4649" s="1"/>
      <c r="D4649" s="1"/>
    </row>
    <row r="4650" spans="3:4" x14ac:dyDescent="0.25">
      <c r="C4650" s="1"/>
      <c r="D4650" s="1"/>
    </row>
    <row r="4651" spans="3:4" x14ac:dyDescent="0.25">
      <c r="C4651" s="1"/>
      <c r="D4651" s="1"/>
    </row>
    <row r="4652" spans="3:4" x14ac:dyDescent="0.25">
      <c r="C4652" s="1"/>
      <c r="D4652" s="1"/>
    </row>
    <row r="4653" spans="3:4" x14ac:dyDescent="0.25">
      <c r="C4653" s="1"/>
      <c r="D4653" s="1"/>
    </row>
    <row r="4654" spans="3:4" x14ac:dyDescent="0.25">
      <c r="C4654" s="1"/>
      <c r="D4654" s="1"/>
    </row>
    <row r="4655" spans="3:4" x14ac:dyDescent="0.25">
      <c r="C4655" s="1"/>
      <c r="D4655" s="1"/>
    </row>
    <row r="4656" spans="3:4" x14ac:dyDescent="0.25">
      <c r="C4656" s="1"/>
      <c r="D4656" s="1"/>
    </row>
    <row r="4657" spans="3:4" x14ac:dyDescent="0.25">
      <c r="C4657" s="1"/>
      <c r="D4657" s="1"/>
    </row>
    <row r="4658" spans="3:4" x14ac:dyDescent="0.25">
      <c r="C4658" s="1"/>
      <c r="D4658" s="1"/>
    </row>
    <row r="4659" spans="3:4" x14ac:dyDescent="0.25">
      <c r="C4659" s="1"/>
      <c r="D4659" s="1"/>
    </row>
    <row r="4660" spans="3:4" x14ac:dyDescent="0.25">
      <c r="C4660" s="1"/>
      <c r="D4660" s="1"/>
    </row>
    <row r="4661" spans="3:4" x14ac:dyDescent="0.25">
      <c r="C4661" s="1"/>
      <c r="D4661" s="1"/>
    </row>
    <row r="4662" spans="3:4" x14ac:dyDescent="0.25">
      <c r="C4662" s="1"/>
      <c r="D4662" s="1"/>
    </row>
    <row r="4663" spans="3:4" x14ac:dyDescent="0.25">
      <c r="C4663" s="1"/>
      <c r="D4663" s="1"/>
    </row>
    <row r="4664" spans="3:4" x14ac:dyDescent="0.25">
      <c r="C4664" s="1"/>
      <c r="D4664" s="1"/>
    </row>
    <row r="4665" spans="3:4" x14ac:dyDescent="0.25">
      <c r="C4665" s="1"/>
      <c r="D4665" s="1"/>
    </row>
    <row r="4666" spans="3:4" x14ac:dyDescent="0.25">
      <c r="C4666" s="1"/>
      <c r="D4666" s="1"/>
    </row>
    <row r="4667" spans="3:4" x14ac:dyDescent="0.25">
      <c r="C4667" s="1"/>
      <c r="D4667" s="1"/>
    </row>
    <row r="4668" spans="3:4" x14ac:dyDescent="0.25">
      <c r="C4668" s="1"/>
      <c r="D4668" s="1"/>
    </row>
    <row r="4669" spans="3:4" x14ac:dyDescent="0.25">
      <c r="C4669" s="1"/>
      <c r="D4669" s="1"/>
    </row>
    <row r="4670" spans="3:4" x14ac:dyDescent="0.25">
      <c r="C4670" s="1"/>
      <c r="D4670" s="1"/>
    </row>
    <row r="4671" spans="3:4" x14ac:dyDescent="0.25">
      <c r="C4671" s="1"/>
      <c r="D4671" s="1"/>
    </row>
    <row r="4672" spans="3:4" x14ac:dyDescent="0.25">
      <c r="C4672" s="1"/>
      <c r="D4672" s="1"/>
    </row>
    <row r="4673" spans="3:4" x14ac:dyDescent="0.25">
      <c r="C4673" s="1"/>
      <c r="D4673" s="1"/>
    </row>
    <row r="4674" spans="3:4" x14ac:dyDescent="0.25">
      <c r="C4674" s="1"/>
      <c r="D4674" s="1"/>
    </row>
    <row r="4675" spans="3:4" x14ac:dyDescent="0.25">
      <c r="C4675" s="1"/>
      <c r="D4675" s="1"/>
    </row>
    <row r="4676" spans="3:4" x14ac:dyDescent="0.25">
      <c r="C4676" s="1"/>
      <c r="D4676" s="1"/>
    </row>
    <row r="4677" spans="3:4" x14ac:dyDescent="0.25">
      <c r="C4677" s="1"/>
      <c r="D4677" s="1"/>
    </row>
    <row r="4678" spans="3:4" x14ac:dyDescent="0.25">
      <c r="C4678" s="1"/>
      <c r="D4678" s="1"/>
    </row>
    <row r="4679" spans="3:4" x14ac:dyDescent="0.25">
      <c r="C4679" s="1"/>
      <c r="D4679" s="1"/>
    </row>
    <row r="4680" spans="3:4" x14ac:dyDescent="0.25">
      <c r="C4680" s="1"/>
      <c r="D4680" s="1"/>
    </row>
    <row r="4681" spans="3:4" x14ac:dyDescent="0.25">
      <c r="C4681" s="1"/>
      <c r="D4681" s="1"/>
    </row>
    <row r="4682" spans="3:4" x14ac:dyDescent="0.25">
      <c r="C4682" s="1"/>
      <c r="D4682" s="1"/>
    </row>
    <row r="4683" spans="3:4" x14ac:dyDescent="0.25">
      <c r="C4683" s="1"/>
      <c r="D4683" s="1"/>
    </row>
    <row r="4684" spans="3:4" x14ac:dyDescent="0.25">
      <c r="C4684" s="1"/>
      <c r="D4684" s="1"/>
    </row>
    <row r="4685" spans="3:4" x14ac:dyDescent="0.25">
      <c r="C4685" s="1"/>
      <c r="D4685" s="1"/>
    </row>
    <row r="4686" spans="3:4" x14ac:dyDescent="0.25">
      <c r="C4686" s="1"/>
      <c r="D4686" s="1"/>
    </row>
    <row r="4687" spans="3:4" x14ac:dyDescent="0.25">
      <c r="C4687" s="1"/>
      <c r="D4687" s="1"/>
    </row>
    <row r="4688" spans="3:4" x14ac:dyDescent="0.25">
      <c r="C4688" s="1"/>
      <c r="D4688" s="1"/>
    </row>
    <row r="4689" spans="3:4" x14ac:dyDescent="0.25">
      <c r="C4689" s="1"/>
      <c r="D4689" s="1"/>
    </row>
    <row r="4690" spans="3:4" x14ac:dyDescent="0.25">
      <c r="C4690" s="1"/>
      <c r="D4690" s="1"/>
    </row>
    <row r="4691" spans="3:4" x14ac:dyDescent="0.25">
      <c r="C4691" s="1"/>
      <c r="D4691" s="1"/>
    </row>
    <row r="4692" spans="3:4" x14ac:dyDescent="0.25">
      <c r="C4692" s="1"/>
      <c r="D4692" s="1"/>
    </row>
    <row r="4693" spans="3:4" x14ac:dyDescent="0.25">
      <c r="C4693" s="1"/>
      <c r="D4693" s="1"/>
    </row>
    <row r="4694" spans="3:4" x14ac:dyDescent="0.25">
      <c r="C4694" s="1"/>
      <c r="D4694" s="1"/>
    </row>
    <row r="4695" spans="3:4" x14ac:dyDescent="0.25">
      <c r="C4695" s="1"/>
      <c r="D4695" s="1"/>
    </row>
    <row r="4696" spans="3:4" x14ac:dyDescent="0.25">
      <c r="C4696" s="1"/>
      <c r="D4696" s="1"/>
    </row>
    <row r="4697" spans="3:4" x14ac:dyDescent="0.25">
      <c r="C4697" s="1"/>
      <c r="D4697" s="1"/>
    </row>
    <row r="4698" spans="3:4" x14ac:dyDescent="0.25">
      <c r="C4698" s="1"/>
      <c r="D4698" s="1"/>
    </row>
    <row r="4699" spans="3:4" x14ac:dyDescent="0.25">
      <c r="C4699" s="1"/>
      <c r="D4699" s="1"/>
    </row>
    <row r="4700" spans="3:4" x14ac:dyDescent="0.25">
      <c r="C4700" s="1"/>
      <c r="D4700" s="1"/>
    </row>
    <row r="4701" spans="3:4" x14ac:dyDescent="0.25">
      <c r="C4701" s="1"/>
      <c r="D4701" s="1"/>
    </row>
    <row r="4702" spans="3:4" x14ac:dyDescent="0.25">
      <c r="C4702" s="1"/>
      <c r="D4702" s="1"/>
    </row>
    <row r="4703" spans="3:4" x14ac:dyDescent="0.25">
      <c r="C4703" s="1"/>
      <c r="D4703" s="1"/>
    </row>
    <row r="4704" spans="3:4" x14ac:dyDescent="0.25">
      <c r="C4704" s="1"/>
      <c r="D4704" s="1"/>
    </row>
    <row r="4705" spans="3:4" x14ac:dyDescent="0.25">
      <c r="C4705" s="1"/>
      <c r="D4705" s="1"/>
    </row>
    <row r="4706" spans="3:4" x14ac:dyDescent="0.25">
      <c r="C4706" s="1"/>
      <c r="D4706" s="1"/>
    </row>
    <row r="4707" spans="3:4" x14ac:dyDescent="0.25">
      <c r="C4707" s="1"/>
      <c r="D4707" s="1"/>
    </row>
    <row r="4708" spans="3:4" x14ac:dyDescent="0.25">
      <c r="C4708" s="1"/>
      <c r="D4708" s="1"/>
    </row>
    <row r="4709" spans="3:4" x14ac:dyDescent="0.25">
      <c r="C4709" s="1"/>
      <c r="D4709" s="1"/>
    </row>
    <row r="4710" spans="3:4" x14ac:dyDescent="0.25">
      <c r="C4710" s="1"/>
      <c r="D4710" s="1"/>
    </row>
    <row r="4711" spans="3:4" x14ac:dyDescent="0.25">
      <c r="C4711" s="1"/>
      <c r="D4711" s="1"/>
    </row>
    <row r="4712" spans="3:4" x14ac:dyDescent="0.25">
      <c r="C4712" s="1"/>
      <c r="D4712" s="1"/>
    </row>
    <row r="4713" spans="3:4" x14ac:dyDescent="0.25">
      <c r="C4713" s="1"/>
      <c r="D4713" s="1"/>
    </row>
    <row r="4714" spans="3:4" x14ac:dyDescent="0.25">
      <c r="C4714" s="1"/>
      <c r="D4714" s="1"/>
    </row>
    <row r="4715" spans="3:4" x14ac:dyDescent="0.25">
      <c r="C4715" s="1"/>
      <c r="D4715" s="1"/>
    </row>
    <row r="4716" spans="3:4" x14ac:dyDescent="0.25">
      <c r="C4716" s="1"/>
      <c r="D4716" s="1"/>
    </row>
    <row r="4717" spans="3:4" x14ac:dyDescent="0.25">
      <c r="C4717" s="1"/>
      <c r="D4717" s="1"/>
    </row>
    <row r="4718" spans="3:4" x14ac:dyDescent="0.25">
      <c r="C4718" s="1"/>
      <c r="D4718" s="1"/>
    </row>
    <row r="4719" spans="3:4" x14ac:dyDescent="0.25">
      <c r="C4719" s="1"/>
      <c r="D4719" s="1"/>
    </row>
    <row r="4720" spans="3:4" x14ac:dyDescent="0.25">
      <c r="C4720" s="1"/>
      <c r="D4720" s="1"/>
    </row>
    <row r="4721" spans="3:4" x14ac:dyDescent="0.25">
      <c r="C4721" s="1"/>
      <c r="D4721" s="1"/>
    </row>
    <row r="4722" spans="3:4" x14ac:dyDescent="0.25">
      <c r="C4722" s="1"/>
      <c r="D4722" s="1"/>
    </row>
    <row r="4723" spans="3:4" x14ac:dyDescent="0.25">
      <c r="C4723" s="1"/>
      <c r="D4723" s="1"/>
    </row>
    <row r="4724" spans="3:4" x14ac:dyDescent="0.25">
      <c r="C4724" s="1"/>
      <c r="D4724" s="1"/>
    </row>
    <row r="4725" spans="3:4" x14ac:dyDescent="0.25">
      <c r="C4725" s="1"/>
      <c r="D4725" s="1"/>
    </row>
    <row r="4726" spans="3:4" x14ac:dyDescent="0.25">
      <c r="C4726" s="1"/>
      <c r="D4726" s="1"/>
    </row>
    <row r="4727" spans="3:4" x14ac:dyDescent="0.25">
      <c r="C4727" s="1"/>
      <c r="D4727" s="1"/>
    </row>
    <row r="4728" spans="3:4" x14ac:dyDescent="0.25">
      <c r="C4728" s="1"/>
      <c r="D4728" s="1"/>
    </row>
    <row r="4729" spans="3:4" x14ac:dyDescent="0.25">
      <c r="C4729" s="1"/>
      <c r="D4729" s="1"/>
    </row>
    <row r="4730" spans="3:4" x14ac:dyDescent="0.25">
      <c r="C4730" s="1"/>
      <c r="D4730" s="1"/>
    </row>
    <row r="4731" spans="3:4" x14ac:dyDescent="0.25">
      <c r="C4731" s="1"/>
      <c r="D4731" s="1"/>
    </row>
    <row r="4732" spans="3:4" x14ac:dyDescent="0.25">
      <c r="C4732" s="1"/>
      <c r="D4732" s="1"/>
    </row>
    <row r="4733" spans="3:4" x14ac:dyDescent="0.25">
      <c r="C4733" s="1"/>
      <c r="D4733" s="1"/>
    </row>
    <row r="4734" spans="3:4" x14ac:dyDescent="0.25">
      <c r="C4734" s="1"/>
      <c r="D4734" s="1"/>
    </row>
    <row r="4735" spans="3:4" x14ac:dyDescent="0.25">
      <c r="C4735" s="1"/>
      <c r="D4735" s="1"/>
    </row>
    <row r="4736" spans="3:4" x14ac:dyDescent="0.25">
      <c r="C4736" s="1"/>
      <c r="D4736" s="1"/>
    </row>
    <row r="4737" spans="3:4" x14ac:dyDescent="0.25">
      <c r="C4737" s="1"/>
      <c r="D4737" s="1"/>
    </row>
    <row r="4738" spans="3:4" x14ac:dyDescent="0.25">
      <c r="C4738" s="1"/>
      <c r="D4738" s="1"/>
    </row>
    <row r="4739" spans="3:4" x14ac:dyDescent="0.25">
      <c r="C4739" s="1"/>
      <c r="D4739" s="1"/>
    </row>
    <row r="4740" spans="3:4" x14ac:dyDescent="0.25">
      <c r="C4740" s="1"/>
      <c r="D4740" s="1"/>
    </row>
    <row r="4741" spans="3:4" x14ac:dyDescent="0.25">
      <c r="C4741" s="1"/>
      <c r="D4741" s="1"/>
    </row>
    <row r="4742" spans="3:4" x14ac:dyDescent="0.25">
      <c r="C4742" s="1"/>
      <c r="D4742" s="1"/>
    </row>
    <row r="4743" spans="3:4" x14ac:dyDescent="0.25">
      <c r="C4743" s="1"/>
      <c r="D4743" s="1"/>
    </row>
    <row r="4744" spans="3:4" x14ac:dyDescent="0.25">
      <c r="C4744" s="1"/>
      <c r="D4744" s="1"/>
    </row>
    <row r="4745" spans="3:4" x14ac:dyDescent="0.25">
      <c r="C4745" s="1"/>
      <c r="D4745" s="1"/>
    </row>
    <row r="4746" spans="3:4" x14ac:dyDescent="0.25">
      <c r="C4746" s="1"/>
      <c r="D4746" s="1"/>
    </row>
    <row r="4747" spans="3:4" x14ac:dyDescent="0.25">
      <c r="C4747" s="1"/>
      <c r="D4747" s="1"/>
    </row>
    <row r="4748" spans="3:4" x14ac:dyDescent="0.25">
      <c r="C4748" s="1"/>
      <c r="D4748" s="1"/>
    </row>
    <row r="4749" spans="3:4" x14ac:dyDescent="0.25">
      <c r="C4749" s="1"/>
      <c r="D4749" s="1"/>
    </row>
    <row r="4750" spans="3:4" x14ac:dyDescent="0.25">
      <c r="C4750" s="1"/>
      <c r="D4750" s="1"/>
    </row>
    <row r="4751" spans="3:4" x14ac:dyDescent="0.25">
      <c r="C4751" s="1"/>
      <c r="D4751" s="1"/>
    </row>
    <row r="4752" spans="3:4" x14ac:dyDescent="0.25">
      <c r="C4752" s="1"/>
      <c r="D4752" s="1"/>
    </row>
    <row r="4753" spans="3:4" x14ac:dyDescent="0.25">
      <c r="C4753" s="1"/>
      <c r="D4753" s="1"/>
    </row>
    <row r="4754" spans="3:4" x14ac:dyDescent="0.25">
      <c r="C4754" s="1"/>
      <c r="D4754" s="1"/>
    </row>
    <row r="4755" spans="3:4" x14ac:dyDescent="0.25">
      <c r="C4755" s="1"/>
      <c r="D4755" s="1"/>
    </row>
    <row r="4756" spans="3:4" x14ac:dyDescent="0.25">
      <c r="C4756" s="1"/>
      <c r="D4756" s="1"/>
    </row>
    <row r="4757" spans="3:4" x14ac:dyDescent="0.25">
      <c r="C4757" s="1"/>
      <c r="D4757" s="1"/>
    </row>
    <row r="4758" spans="3:4" x14ac:dyDescent="0.25">
      <c r="C4758" s="1"/>
      <c r="D4758" s="1"/>
    </row>
    <row r="4759" spans="3:4" x14ac:dyDescent="0.25">
      <c r="C4759" s="1"/>
      <c r="D4759" s="1"/>
    </row>
    <row r="4760" spans="3:4" x14ac:dyDescent="0.25">
      <c r="C4760" s="1"/>
      <c r="D4760" s="1"/>
    </row>
    <row r="4761" spans="3:4" x14ac:dyDescent="0.25">
      <c r="C4761" s="1"/>
      <c r="D4761" s="1"/>
    </row>
    <row r="4762" spans="3:4" x14ac:dyDescent="0.25">
      <c r="C4762" s="1"/>
      <c r="D4762" s="1"/>
    </row>
    <row r="4763" spans="3:4" x14ac:dyDescent="0.25">
      <c r="C4763" s="1"/>
      <c r="D4763" s="1"/>
    </row>
    <row r="4764" spans="3:4" x14ac:dyDescent="0.25">
      <c r="C4764" s="1"/>
      <c r="D4764" s="1"/>
    </row>
    <row r="4765" spans="3:4" x14ac:dyDescent="0.25">
      <c r="C4765" s="1"/>
      <c r="D4765" s="1"/>
    </row>
    <row r="4766" spans="3:4" x14ac:dyDescent="0.25">
      <c r="C4766" s="1"/>
      <c r="D4766" s="1"/>
    </row>
    <row r="4767" spans="3:4" x14ac:dyDescent="0.25">
      <c r="C4767" s="1"/>
      <c r="D4767" s="1"/>
    </row>
    <row r="4768" spans="3:4" x14ac:dyDescent="0.25">
      <c r="C4768" s="1"/>
      <c r="D4768" s="1"/>
    </row>
    <row r="4769" spans="3:4" x14ac:dyDescent="0.25">
      <c r="C4769" s="1"/>
      <c r="D4769" s="1"/>
    </row>
    <row r="4770" spans="3:4" x14ac:dyDescent="0.25">
      <c r="C4770" s="1"/>
      <c r="D4770" s="1"/>
    </row>
    <row r="4771" spans="3:4" x14ac:dyDescent="0.25">
      <c r="C4771" s="1"/>
      <c r="D4771" s="1"/>
    </row>
    <row r="4772" spans="3:4" x14ac:dyDescent="0.25">
      <c r="C4772" s="1"/>
      <c r="D4772" s="1"/>
    </row>
    <row r="4773" spans="3:4" x14ac:dyDescent="0.25">
      <c r="C4773" s="1"/>
      <c r="D4773" s="1"/>
    </row>
    <row r="4774" spans="3:4" x14ac:dyDescent="0.25">
      <c r="C4774" s="1"/>
      <c r="D4774" s="1"/>
    </row>
    <row r="4775" spans="3:4" x14ac:dyDescent="0.25">
      <c r="C4775" s="1"/>
      <c r="D4775" s="1"/>
    </row>
    <row r="4776" spans="3:4" x14ac:dyDescent="0.25">
      <c r="C4776" s="1"/>
      <c r="D4776" s="1"/>
    </row>
    <row r="4777" spans="3:4" x14ac:dyDescent="0.25">
      <c r="C4777" s="1"/>
      <c r="D4777" s="1"/>
    </row>
    <row r="4778" spans="3:4" x14ac:dyDescent="0.25">
      <c r="C4778" s="1"/>
      <c r="D4778" s="1"/>
    </row>
    <row r="4779" spans="3:4" x14ac:dyDescent="0.25">
      <c r="C4779" s="1"/>
      <c r="D4779" s="1"/>
    </row>
    <row r="4780" spans="3:4" x14ac:dyDescent="0.25">
      <c r="C4780" s="1"/>
      <c r="D4780" s="1"/>
    </row>
    <row r="4781" spans="3:4" x14ac:dyDescent="0.25">
      <c r="C4781" s="1"/>
      <c r="D4781" s="1"/>
    </row>
    <row r="4782" spans="3:4" x14ac:dyDescent="0.25">
      <c r="C4782" s="1"/>
      <c r="D4782" s="1"/>
    </row>
    <row r="4783" spans="3:4" x14ac:dyDescent="0.25">
      <c r="C4783" s="1"/>
      <c r="D4783" s="1"/>
    </row>
    <row r="4784" spans="3:4" x14ac:dyDescent="0.25">
      <c r="C4784" s="1"/>
      <c r="D4784" s="1"/>
    </row>
    <row r="4785" spans="3:4" x14ac:dyDescent="0.25">
      <c r="C4785" s="1"/>
      <c r="D4785" s="1"/>
    </row>
    <row r="4786" spans="3:4" x14ac:dyDescent="0.25">
      <c r="C4786" s="1"/>
      <c r="D4786" s="1"/>
    </row>
    <row r="4787" spans="3:4" x14ac:dyDescent="0.25">
      <c r="C4787" s="1"/>
      <c r="D4787" s="1"/>
    </row>
    <row r="4788" spans="3:4" x14ac:dyDescent="0.25">
      <c r="C4788" s="1"/>
      <c r="D4788" s="1"/>
    </row>
    <row r="4789" spans="3:4" x14ac:dyDescent="0.25">
      <c r="C4789" s="1"/>
      <c r="D4789" s="1"/>
    </row>
    <row r="4790" spans="3:4" x14ac:dyDescent="0.25">
      <c r="C4790" s="1"/>
      <c r="D4790" s="1"/>
    </row>
    <row r="4791" spans="3:4" x14ac:dyDescent="0.25">
      <c r="C4791" s="1"/>
      <c r="D4791" s="1"/>
    </row>
    <row r="4792" spans="3:4" x14ac:dyDescent="0.25">
      <c r="C4792" s="1"/>
      <c r="D4792" s="1"/>
    </row>
    <row r="4793" spans="3:4" x14ac:dyDescent="0.25">
      <c r="C4793" s="1"/>
      <c r="D4793" s="1"/>
    </row>
    <row r="4794" spans="3:4" x14ac:dyDescent="0.25">
      <c r="C4794" s="1"/>
      <c r="D4794" s="1"/>
    </row>
    <row r="4795" spans="3:4" x14ac:dyDescent="0.25">
      <c r="C4795" s="1"/>
      <c r="D4795" s="1"/>
    </row>
    <row r="4796" spans="3:4" x14ac:dyDescent="0.25">
      <c r="C4796" s="1"/>
      <c r="D4796" s="1"/>
    </row>
    <row r="4797" spans="3:4" x14ac:dyDescent="0.25">
      <c r="C4797" s="1"/>
      <c r="D4797" s="1"/>
    </row>
    <row r="4798" spans="3:4" x14ac:dyDescent="0.25">
      <c r="C4798" s="1"/>
      <c r="D4798" s="1"/>
    </row>
    <row r="4799" spans="3:4" x14ac:dyDescent="0.25">
      <c r="C4799" s="1"/>
      <c r="D4799" s="1"/>
    </row>
    <row r="4800" spans="3:4" x14ac:dyDescent="0.25">
      <c r="C4800" s="1"/>
      <c r="D4800" s="1"/>
    </row>
    <row r="4801" spans="3:4" x14ac:dyDescent="0.25">
      <c r="C4801" s="1"/>
      <c r="D4801" s="1"/>
    </row>
    <row r="4802" spans="3:4" x14ac:dyDescent="0.25">
      <c r="C4802" s="1"/>
      <c r="D4802" s="1"/>
    </row>
    <row r="4803" spans="3:4" x14ac:dyDescent="0.25">
      <c r="C4803" s="1"/>
      <c r="D4803" s="1"/>
    </row>
    <row r="4804" spans="3:4" x14ac:dyDescent="0.25">
      <c r="C4804" s="1"/>
      <c r="D4804" s="1"/>
    </row>
    <row r="4805" spans="3:4" x14ac:dyDescent="0.25">
      <c r="C4805" s="1"/>
      <c r="D4805" s="1"/>
    </row>
    <row r="4806" spans="3:4" x14ac:dyDescent="0.25">
      <c r="C4806" s="1"/>
      <c r="D4806" s="1"/>
    </row>
    <row r="4807" spans="3:4" x14ac:dyDescent="0.25">
      <c r="C4807" s="1"/>
      <c r="D4807" s="1"/>
    </row>
    <row r="4808" spans="3:4" x14ac:dyDescent="0.25">
      <c r="C4808" s="1"/>
      <c r="D4808" s="1"/>
    </row>
    <row r="4809" spans="3:4" x14ac:dyDescent="0.25">
      <c r="C4809" s="1"/>
      <c r="D4809" s="1"/>
    </row>
    <row r="4810" spans="3:4" x14ac:dyDescent="0.25">
      <c r="C4810" s="1"/>
      <c r="D4810" s="1"/>
    </row>
    <row r="4811" spans="3:4" x14ac:dyDescent="0.25">
      <c r="C4811" s="1"/>
      <c r="D4811" s="1"/>
    </row>
    <row r="4812" spans="3:4" x14ac:dyDescent="0.25">
      <c r="C4812" s="1"/>
      <c r="D4812" s="1"/>
    </row>
    <row r="4813" spans="3:4" x14ac:dyDescent="0.25">
      <c r="C4813" s="1"/>
      <c r="D4813" s="1"/>
    </row>
    <row r="4814" spans="3:4" x14ac:dyDescent="0.25">
      <c r="C4814" s="1"/>
      <c r="D4814" s="1"/>
    </row>
    <row r="4815" spans="3:4" x14ac:dyDescent="0.25">
      <c r="C4815" s="1"/>
      <c r="D4815" s="1"/>
    </row>
    <row r="4816" spans="3:4" x14ac:dyDescent="0.25">
      <c r="C4816" s="1"/>
      <c r="D4816" s="1"/>
    </row>
    <row r="4817" spans="3:4" x14ac:dyDescent="0.25">
      <c r="C4817" s="1"/>
      <c r="D4817" s="1"/>
    </row>
    <row r="4818" spans="3:4" x14ac:dyDescent="0.25">
      <c r="C4818" s="1"/>
      <c r="D4818" s="1"/>
    </row>
    <row r="4819" spans="3:4" x14ac:dyDescent="0.25">
      <c r="C4819" s="1"/>
      <c r="D4819" s="1"/>
    </row>
    <row r="4820" spans="3:4" x14ac:dyDescent="0.25">
      <c r="C4820" s="1"/>
      <c r="D4820" s="1"/>
    </row>
    <row r="4821" spans="3:4" x14ac:dyDescent="0.25">
      <c r="C4821" s="1"/>
      <c r="D4821" s="1"/>
    </row>
    <row r="4822" spans="3:4" x14ac:dyDescent="0.25">
      <c r="C4822" s="1"/>
      <c r="D4822" s="1"/>
    </row>
    <row r="4823" spans="3:4" x14ac:dyDescent="0.25">
      <c r="C4823" s="1"/>
      <c r="D4823" s="1"/>
    </row>
    <row r="4824" spans="3:4" x14ac:dyDescent="0.25">
      <c r="C4824" s="1"/>
      <c r="D4824" s="1"/>
    </row>
    <row r="4825" spans="3:4" x14ac:dyDescent="0.25">
      <c r="C4825" s="1"/>
      <c r="D4825" s="1"/>
    </row>
    <row r="4826" spans="3:4" x14ac:dyDescent="0.25">
      <c r="C4826" s="1"/>
      <c r="D4826" s="1"/>
    </row>
    <row r="4827" spans="3:4" x14ac:dyDescent="0.25">
      <c r="C4827" s="1"/>
      <c r="D4827" s="1"/>
    </row>
    <row r="4828" spans="3:4" x14ac:dyDescent="0.25">
      <c r="C4828" s="1"/>
      <c r="D4828" s="1"/>
    </row>
    <row r="4829" spans="3:4" x14ac:dyDescent="0.25">
      <c r="C4829" s="1"/>
      <c r="D4829" s="1"/>
    </row>
    <row r="4830" spans="3:4" x14ac:dyDescent="0.25">
      <c r="C4830" s="1"/>
      <c r="D4830" s="1"/>
    </row>
    <row r="4831" spans="3:4" x14ac:dyDescent="0.25">
      <c r="C4831" s="1"/>
      <c r="D4831" s="1"/>
    </row>
    <row r="4832" spans="3:4" x14ac:dyDescent="0.25">
      <c r="C4832" s="1"/>
      <c r="D4832" s="1"/>
    </row>
    <row r="4833" spans="3:4" x14ac:dyDescent="0.25">
      <c r="C4833" s="1"/>
      <c r="D4833" s="1"/>
    </row>
    <row r="4834" spans="3:4" x14ac:dyDescent="0.25">
      <c r="C4834" s="1"/>
      <c r="D4834" s="1"/>
    </row>
    <row r="4835" spans="3:4" x14ac:dyDescent="0.25">
      <c r="C4835" s="1"/>
      <c r="D4835" s="1"/>
    </row>
    <row r="4836" spans="3:4" x14ac:dyDescent="0.25">
      <c r="C4836" s="1"/>
      <c r="D4836" s="1"/>
    </row>
    <row r="4837" spans="3:4" x14ac:dyDescent="0.25">
      <c r="C4837" s="1"/>
      <c r="D4837" s="1"/>
    </row>
    <row r="4838" spans="3:4" x14ac:dyDescent="0.25">
      <c r="C4838" s="1"/>
      <c r="D4838" s="1"/>
    </row>
    <row r="4839" spans="3:4" x14ac:dyDescent="0.25">
      <c r="C4839" s="1"/>
      <c r="D4839" s="1"/>
    </row>
    <row r="4840" spans="3:4" x14ac:dyDescent="0.25">
      <c r="C4840" s="1"/>
      <c r="D4840" s="1"/>
    </row>
    <row r="4841" spans="3:4" x14ac:dyDescent="0.25">
      <c r="C4841" s="1"/>
      <c r="D4841" s="1"/>
    </row>
    <row r="4842" spans="3:4" x14ac:dyDescent="0.25">
      <c r="C4842" s="1"/>
      <c r="D4842" s="1"/>
    </row>
    <row r="4843" spans="3:4" x14ac:dyDescent="0.25">
      <c r="C4843" s="1"/>
      <c r="D4843" s="1"/>
    </row>
    <row r="4844" spans="3:4" x14ac:dyDescent="0.25">
      <c r="C4844" s="1"/>
      <c r="D4844" s="1"/>
    </row>
    <row r="4845" spans="3:4" x14ac:dyDescent="0.25">
      <c r="C4845" s="1"/>
      <c r="D4845" s="1"/>
    </row>
    <row r="4846" spans="3:4" x14ac:dyDescent="0.25">
      <c r="C4846" s="1"/>
      <c r="D4846" s="1"/>
    </row>
    <row r="4847" spans="3:4" x14ac:dyDescent="0.25">
      <c r="C4847" s="1"/>
      <c r="D4847" s="1"/>
    </row>
    <row r="4848" spans="3:4" x14ac:dyDescent="0.25">
      <c r="C4848" s="1"/>
      <c r="D4848" s="1"/>
    </row>
    <row r="4849" spans="3:4" x14ac:dyDescent="0.25">
      <c r="C4849" s="1"/>
      <c r="D4849" s="1"/>
    </row>
    <row r="4850" spans="3:4" x14ac:dyDescent="0.25">
      <c r="C4850" s="1"/>
      <c r="D4850" s="1"/>
    </row>
    <row r="4851" spans="3:4" x14ac:dyDescent="0.25">
      <c r="C4851" s="1"/>
      <c r="D4851" s="1"/>
    </row>
    <row r="4852" spans="3:4" x14ac:dyDescent="0.25">
      <c r="C4852" s="1"/>
      <c r="D4852" s="1"/>
    </row>
    <row r="4853" spans="3:4" x14ac:dyDescent="0.25">
      <c r="C4853" s="1"/>
      <c r="D4853" s="1"/>
    </row>
    <row r="4854" spans="3:4" x14ac:dyDescent="0.25">
      <c r="C4854" s="1"/>
      <c r="D4854" s="1"/>
    </row>
    <row r="4855" spans="3:4" x14ac:dyDescent="0.25">
      <c r="C4855" s="1"/>
      <c r="D4855" s="1"/>
    </row>
    <row r="4856" spans="3:4" x14ac:dyDescent="0.25">
      <c r="C4856" s="1"/>
      <c r="D4856" s="1"/>
    </row>
    <row r="4857" spans="3:4" x14ac:dyDescent="0.25">
      <c r="C4857" s="1"/>
      <c r="D4857" s="1"/>
    </row>
    <row r="4858" spans="3:4" x14ac:dyDescent="0.25">
      <c r="C4858" s="1"/>
      <c r="D4858" s="1"/>
    </row>
    <row r="4859" spans="3:4" x14ac:dyDescent="0.25">
      <c r="C4859" s="1"/>
      <c r="D4859" s="1"/>
    </row>
    <row r="4860" spans="3:4" x14ac:dyDescent="0.25">
      <c r="C4860" s="1"/>
      <c r="D4860" s="1"/>
    </row>
    <row r="4861" spans="3:4" x14ac:dyDescent="0.25">
      <c r="C4861" s="1"/>
      <c r="D4861" s="1"/>
    </row>
    <row r="4862" spans="3:4" x14ac:dyDescent="0.25">
      <c r="C4862" s="1"/>
      <c r="D4862" s="1"/>
    </row>
    <row r="4863" spans="3:4" x14ac:dyDescent="0.25">
      <c r="C4863" s="1"/>
      <c r="D4863" s="1"/>
    </row>
    <row r="4864" spans="3:4" x14ac:dyDescent="0.25">
      <c r="C4864" s="1"/>
      <c r="D4864" s="1"/>
    </row>
    <row r="4865" spans="3:4" x14ac:dyDescent="0.25">
      <c r="C4865" s="1"/>
      <c r="D4865" s="1"/>
    </row>
    <row r="4866" spans="3:4" x14ac:dyDescent="0.25">
      <c r="C4866" s="1"/>
      <c r="D4866" s="1"/>
    </row>
    <row r="4867" spans="3:4" x14ac:dyDescent="0.25">
      <c r="C4867" s="1"/>
      <c r="D4867" s="1"/>
    </row>
    <row r="4868" spans="3:4" x14ac:dyDescent="0.25">
      <c r="C4868" s="1"/>
      <c r="D4868" s="1"/>
    </row>
    <row r="4869" spans="3:4" x14ac:dyDescent="0.25">
      <c r="C4869" s="1"/>
      <c r="D4869" s="1"/>
    </row>
    <row r="4870" spans="3:4" x14ac:dyDescent="0.25">
      <c r="C4870" s="1"/>
      <c r="D4870" s="1"/>
    </row>
    <row r="4871" spans="3:4" x14ac:dyDescent="0.25">
      <c r="C4871" s="1"/>
      <c r="D4871" s="1"/>
    </row>
    <row r="4872" spans="3:4" x14ac:dyDescent="0.25">
      <c r="C4872" s="1"/>
      <c r="D4872" s="1"/>
    </row>
    <row r="4873" spans="3:4" x14ac:dyDescent="0.25">
      <c r="C4873" s="1"/>
      <c r="D4873" s="1"/>
    </row>
    <row r="4874" spans="3:4" x14ac:dyDescent="0.25">
      <c r="C4874" s="1"/>
      <c r="D4874" s="1"/>
    </row>
    <row r="4875" spans="3:4" x14ac:dyDescent="0.25">
      <c r="C4875" s="1"/>
      <c r="D4875" s="1"/>
    </row>
    <row r="4876" spans="3:4" x14ac:dyDescent="0.25">
      <c r="C4876" s="1"/>
      <c r="D4876" s="1"/>
    </row>
    <row r="4877" spans="3:4" x14ac:dyDescent="0.25">
      <c r="C4877" s="1"/>
      <c r="D4877" s="1"/>
    </row>
    <row r="4878" spans="3:4" x14ac:dyDescent="0.25">
      <c r="C4878" s="1"/>
      <c r="D4878" s="1"/>
    </row>
    <row r="4879" spans="3:4" x14ac:dyDescent="0.25">
      <c r="C4879" s="1"/>
      <c r="D4879" s="1"/>
    </row>
    <row r="4880" spans="3:4" x14ac:dyDescent="0.25">
      <c r="C4880" s="1"/>
      <c r="D4880" s="1"/>
    </row>
    <row r="4881" spans="3:4" x14ac:dyDescent="0.25">
      <c r="C4881" s="1"/>
      <c r="D4881" s="1"/>
    </row>
    <row r="4882" spans="3:4" x14ac:dyDescent="0.25">
      <c r="C4882" s="1"/>
      <c r="D4882" s="1"/>
    </row>
    <row r="4883" spans="3:4" x14ac:dyDescent="0.25">
      <c r="C4883" s="1"/>
      <c r="D4883" s="1"/>
    </row>
    <row r="4884" spans="3:4" x14ac:dyDescent="0.25">
      <c r="C4884" s="1"/>
      <c r="D4884" s="1"/>
    </row>
    <row r="4885" spans="3:4" x14ac:dyDescent="0.25">
      <c r="C4885" s="1"/>
      <c r="D4885" s="1"/>
    </row>
    <row r="4886" spans="3:4" x14ac:dyDescent="0.25">
      <c r="C4886" s="1"/>
      <c r="D4886" s="1"/>
    </row>
    <row r="4887" spans="3:4" x14ac:dyDescent="0.25">
      <c r="C4887" s="1"/>
      <c r="D4887" s="1"/>
    </row>
    <row r="4888" spans="3:4" x14ac:dyDescent="0.25">
      <c r="C4888" s="1"/>
      <c r="D4888" s="1"/>
    </row>
    <row r="4889" spans="3:4" x14ac:dyDescent="0.25">
      <c r="C4889" s="1"/>
      <c r="D4889" s="1"/>
    </row>
    <row r="4890" spans="3:4" x14ac:dyDescent="0.25">
      <c r="C4890" s="1"/>
      <c r="D4890" s="1"/>
    </row>
    <row r="4891" spans="3:4" x14ac:dyDescent="0.25">
      <c r="C4891" s="1"/>
      <c r="D4891" s="1"/>
    </row>
    <row r="4892" spans="3:4" x14ac:dyDescent="0.25">
      <c r="C4892" s="1"/>
      <c r="D4892" s="1"/>
    </row>
    <row r="4893" spans="3:4" x14ac:dyDescent="0.25">
      <c r="C4893" s="1"/>
      <c r="D4893" s="1"/>
    </row>
    <row r="4894" spans="3:4" x14ac:dyDescent="0.25">
      <c r="C4894" s="1"/>
      <c r="D4894" s="1"/>
    </row>
    <row r="4895" spans="3:4" x14ac:dyDescent="0.25">
      <c r="C4895" s="1"/>
      <c r="D4895" s="1"/>
    </row>
    <row r="4896" spans="3:4" x14ac:dyDescent="0.25">
      <c r="C4896" s="1"/>
      <c r="D4896" s="1"/>
    </row>
    <row r="4897" spans="3:4" x14ac:dyDescent="0.25">
      <c r="C4897" s="1"/>
      <c r="D4897" s="1"/>
    </row>
    <row r="4898" spans="3:4" x14ac:dyDescent="0.25">
      <c r="C4898" s="1"/>
      <c r="D4898" s="1"/>
    </row>
    <row r="4899" spans="3:4" x14ac:dyDescent="0.25">
      <c r="C4899" s="1"/>
      <c r="D4899" s="1"/>
    </row>
    <row r="4900" spans="3:4" x14ac:dyDescent="0.25">
      <c r="C4900" s="1"/>
      <c r="D4900" s="1"/>
    </row>
    <row r="4901" spans="3:4" x14ac:dyDescent="0.25">
      <c r="C4901" s="1"/>
      <c r="D4901" s="1"/>
    </row>
    <row r="4902" spans="3:4" x14ac:dyDescent="0.25">
      <c r="C4902" s="1"/>
      <c r="D4902" s="1"/>
    </row>
    <row r="4903" spans="3:4" x14ac:dyDescent="0.25">
      <c r="C4903" s="1"/>
      <c r="D4903" s="1"/>
    </row>
    <row r="4904" spans="3:4" x14ac:dyDescent="0.25">
      <c r="C4904" s="1"/>
      <c r="D4904" s="1"/>
    </row>
    <row r="4905" spans="3:4" x14ac:dyDescent="0.25">
      <c r="C4905" s="1"/>
      <c r="D4905" s="1"/>
    </row>
    <row r="4906" spans="3:4" x14ac:dyDescent="0.25">
      <c r="C4906" s="1"/>
      <c r="D4906" s="1"/>
    </row>
    <row r="4907" spans="3:4" x14ac:dyDescent="0.25">
      <c r="C4907" s="1"/>
      <c r="D4907" s="1"/>
    </row>
    <row r="4908" spans="3:4" x14ac:dyDescent="0.25">
      <c r="C4908" s="1"/>
      <c r="D4908" s="1"/>
    </row>
    <row r="4909" spans="3:4" x14ac:dyDescent="0.25">
      <c r="C4909" s="1"/>
      <c r="D4909" s="1"/>
    </row>
    <row r="4910" spans="3:4" x14ac:dyDescent="0.25">
      <c r="C4910" s="1"/>
      <c r="D4910" s="1"/>
    </row>
    <row r="4911" spans="3:4" x14ac:dyDescent="0.25">
      <c r="C4911" s="1"/>
      <c r="D4911" s="1"/>
    </row>
    <row r="4912" spans="3:4" x14ac:dyDescent="0.25">
      <c r="C4912" s="1"/>
      <c r="D4912" s="1"/>
    </row>
    <row r="4913" spans="3:4" x14ac:dyDescent="0.25">
      <c r="C4913" s="1"/>
      <c r="D4913" s="1"/>
    </row>
    <row r="4914" spans="3:4" x14ac:dyDescent="0.25">
      <c r="C4914" s="1"/>
      <c r="D4914" s="1"/>
    </row>
    <row r="4915" spans="3:4" x14ac:dyDescent="0.25">
      <c r="C4915" s="1"/>
      <c r="D4915" s="1"/>
    </row>
    <row r="4916" spans="3:4" x14ac:dyDescent="0.25">
      <c r="C4916" s="1"/>
      <c r="D4916" s="1"/>
    </row>
    <row r="4917" spans="3:4" x14ac:dyDescent="0.25">
      <c r="C4917" s="1"/>
      <c r="D4917" s="1"/>
    </row>
    <row r="4918" spans="3:4" x14ac:dyDescent="0.25">
      <c r="C4918" s="1"/>
      <c r="D4918" s="1"/>
    </row>
    <row r="4919" spans="3:4" x14ac:dyDescent="0.25">
      <c r="C4919" s="1"/>
      <c r="D4919" s="1"/>
    </row>
    <row r="4920" spans="3:4" x14ac:dyDescent="0.25">
      <c r="C4920" s="1"/>
      <c r="D4920" s="1"/>
    </row>
    <row r="4921" spans="3:4" x14ac:dyDescent="0.25">
      <c r="C4921" s="1"/>
      <c r="D4921" s="1"/>
    </row>
    <row r="4922" spans="3:4" x14ac:dyDescent="0.25">
      <c r="C4922" s="1"/>
      <c r="D4922" s="1"/>
    </row>
    <row r="4923" spans="3:4" x14ac:dyDescent="0.25">
      <c r="C4923" s="1"/>
      <c r="D4923" s="1"/>
    </row>
    <row r="4924" spans="3:4" x14ac:dyDescent="0.25">
      <c r="C4924" s="1"/>
      <c r="D4924" s="1"/>
    </row>
    <row r="4925" spans="3:4" x14ac:dyDescent="0.25">
      <c r="C4925" s="1"/>
      <c r="D4925" s="1"/>
    </row>
    <row r="4926" spans="3:4" x14ac:dyDescent="0.25">
      <c r="C4926" s="1"/>
      <c r="D4926" s="1"/>
    </row>
    <row r="4927" spans="3:4" x14ac:dyDescent="0.25">
      <c r="C4927" s="1"/>
      <c r="D4927" s="1"/>
    </row>
    <row r="4928" spans="3:4" x14ac:dyDescent="0.25">
      <c r="C4928" s="1"/>
      <c r="D4928" s="1"/>
    </row>
    <row r="4929" spans="3:4" x14ac:dyDescent="0.25">
      <c r="C4929" s="1"/>
      <c r="D4929" s="1"/>
    </row>
    <row r="4930" spans="3:4" x14ac:dyDescent="0.25">
      <c r="C4930" s="1"/>
      <c r="D4930" s="1"/>
    </row>
    <row r="4931" spans="3:4" x14ac:dyDescent="0.25">
      <c r="C4931" s="1"/>
      <c r="D4931" s="1"/>
    </row>
    <row r="4932" spans="3:4" x14ac:dyDescent="0.25">
      <c r="C4932" s="1"/>
      <c r="D4932" s="1"/>
    </row>
    <row r="4933" spans="3:4" x14ac:dyDescent="0.25">
      <c r="C4933" s="1"/>
      <c r="D4933" s="1"/>
    </row>
    <row r="4934" spans="3:4" x14ac:dyDescent="0.25">
      <c r="C4934" s="1"/>
      <c r="D4934" s="1"/>
    </row>
    <row r="4935" spans="3:4" x14ac:dyDescent="0.25">
      <c r="C4935" s="1"/>
      <c r="D4935" s="1"/>
    </row>
    <row r="4936" spans="3:4" x14ac:dyDescent="0.25">
      <c r="C4936" s="1"/>
      <c r="D4936" s="1"/>
    </row>
    <row r="4937" spans="3:4" x14ac:dyDescent="0.25">
      <c r="C4937" s="1"/>
      <c r="D4937" s="1"/>
    </row>
    <row r="4938" spans="3:4" x14ac:dyDescent="0.25">
      <c r="C4938" s="1"/>
      <c r="D4938" s="1"/>
    </row>
    <row r="4939" spans="3:4" x14ac:dyDescent="0.25">
      <c r="C4939" s="1"/>
      <c r="D4939" s="1"/>
    </row>
    <row r="4940" spans="3:4" x14ac:dyDescent="0.25">
      <c r="C4940" s="1"/>
      <c r="D4940" s="1"/>
    </row>
    <row r="4941" spans="3:4" x14ac:dyDescent="0.25">
      <c r="C4941" s="1"/>
      <c r="D4941" s="1"/>
    </row>
    <row r="4942" spans="3:4" x14ac:dyDescent="0.25">
      <c r="C4942" s="1"/>
      <c r="D4942" s="1"/>
    </row>
    <row r="4943" spans="3:4" x14ac:dyDescent="0.25">
      <c r="C4943" s="1"/>
      <c r="D4943" s="1"/>
    </row>
    <row r="4944" spans="3:4" x14ac:dyDescent="0.25">
      <c r="C4944" s="1"/>
      <c r="D4944" s="1"/>
    </row>
    <row r="4945" spans="3:4" x14ac:dyDescent="0.25">
      <c r="C4945" s="1"/>
      <c r="D4945" s="1"/>
    </row>
    <row r="4946" spans="3:4" x14ac:dyDescent="0.25">
      <c r="C4946" s="1"/>
      <c r="D4946" s="1"/>
    </row>
    <row r="4947" spans="3:4" x14ac:dyDescent="0.25">
      <c r="C4947" s="1"/>
      <c r="D4947" s="1"/>
    </row>
    <row r="4948" spans="3:4" x14ac:dyDescent="0.25">
      <c r="C4948" s="1"/>
      <c r="D4948" s="1"/>
    </row>
    <row r="4949" spans="3:4" x14ac:dyDescent="0.25">
      <c r="C4949" s="1"/>
      <c r="D4949" s="1"/>
    </row>
    <row r="4950" spans="3:4" x14ac:dyDescent="0.25">
      <c r="C4950" s="1"/>
      <c r="D4950" s="1"/>
    </row>
    <row r="4951" spans="3:4" x14ac:dyDescent="0.25">
      <c r="C4951" s="1"/>
      <c r="D4951" s="1"/>
    </row>
    <row r="4952" spans="3:4" x14ac:dyDescent="0.25">
      <c r="C4952" s="1"/>
      <c r="D4952" s="1"/>
    </row>
    <row r="4953" spans="3:4" x14ac:dyDescent="0.25">
      <c r="C4953" s="1"/>
      <c r="D4953" s="1"/>
    </row>
    <row r="4954" spans="3:4" x14ac:dyDescent="0.25">
      <c r="C4954" s="1"/>
      <c r="D4954" s="1"/>
    </row>
    <row r="4955" spans="3:4" x14ac:dyDescent="0.25">
      <c r="C4955" s="1"/>
      <c r="D4955" s="1"/>
    </row>
    <row r="4956" spans="3:4" x14ac:dyDescent="0.25">
      <c r="C4956" s="1"/>
      <c r="D4956" s="1"/>
    </row>
    <row r="4957" spans="3:4" x14ac:dyDescent="0.25">
      <c r="C4957" s="1"/>
      <c r="D4957" s="1"/>
    </row>
    <row r="4958" spans="3:4" x14ac:dyDescent="0.25">
      <c r="C4958" s="1"/>
      <c r="D4958" s="1"/>
    </row>
    <row r="4959" spans="3:4" x14ac:dyDescent="0.25">
      <c r="C4959" s="1"/>
      <c r="D4959" s="1"/>
    </row>
    <row r="4960" spans="3:4" x14ac:dyDescent="0.25">
      <c r="C4960" s="1"/>
      <c r="D4960" s="1"/>
    </row>
    <row r="4961" spans="3:4" x14ac:dyDescent="0.25">
      <c r="C4961" s="1"/>
      <c r="D4961" s="1"/>
    </row>
    <row r="4962" spans="3:4" x14ac:dyDescent="0.25">
      <c r="C4962" s="1"/>
      <c r="D4962" s="1"/>
    </row>
    <row r="4963" spans="3:4" x14ac:dyDescent="0.25">
      <c r="C4963" s="1"/>
      <c r="D4963" s="1"/>
    </row>
    <row r="4964" spans="3:4" x14ac:dyDescent="0.25">
      <c r="C4964" s="1"/>
      <c r="D4964" s="1"/>
    </row>
    <row r="4965" spans="3:4" x14ac:dyDescent="0.25">
      <c r="C4965" s="1"/>
      <c r="D4965" s="1"/>
    </row>
    <row r="4966" spans="3:4" x14ac:dyDescent="0.25">
      <c r="C4966" s="1"/>
      <c r="D4966" s="1"/>
    </row>
    <row r="4967" spans="3:4" x14ac:dyDescent="0.25">
      <c r="C4967" s="1"/>
      <c r="D4967" s="1"/>
    </row>
    <row r="4968" spans="3:4" x14ac:dyDescent="0.25">
      <c r="C4968" s="1"/>
      <c r="D4968" s="1"/>
    </row>
    <row r="4969" spans="3:4" x14ac:dyDescent="0.25">
      <c r="C4969" s="1"/>
      <c r="D4969" s="1"/>
    </row>
    <row r="4970" spans="3:4" x14ac:dyDescent="0.25">
      <c r="C4970" s="1"/>
      <c r="D4970" s="1"/>
    </row>
    <row r="4971" spans="3:4" x14ac:dyDescent="0.25">
      <c r="C4971" s="1"/>
      <c r="D4971" s="1"/>
    </row>
    <row r="4972" spans="3:4" x14ac:dyDescent="0.25">
      <c r="C4972" s="1"/>
      <c r="D4972" s="1"/>
    </row>
    <row r="4973" spans="3:4" x14ac:dyDescent="0.25">
      <c r="C4973" s="1"/>
      <c r="D4973" s="1"/>
    </row>
    <row r="4974" spans="3:4" x14ac:dyDescent="0.25">
      <c r="C4974" s="1"/>
      <c r="D4974" s="1"/>
    </row>
    <row r="4975" spans="3:4" x14ac:dyDescent="0.25">
      <c r="C4975" s="1"/>
      <c r="D4975" s="1"/>
    </row>
    <row r="4976" spans="3:4" x14ac:dyDescent="0.25">
      <c r="C4976" s="1"/>
      <c r="D4976" s="1"/>
    </row>
    <row r="4977" spans="3:4" x14ac:dyDescent="0.25">
      <c r="C4977" s="1"/>
      <c r="D4977" s="1"/>
    </row>
    <row r="4978" spans="3:4" x14ac:dyDescent="0.25">
      <c r="C4978" s="1"/>
      <c r="D4978" s="1"/>
    </row>
    <row r="4979" spans="3:4" x14ac:dyDescent="0.25">
      <c r="C4979" s="1"/>
      <c r="D4979" s="1"/>
    </row>
    <row r="4980" spans="3:4" x14ac:dyDescent="0.25">
      <c r="C4980" s="1"/>
      <c r="D4980" s="1"/>
    </row>
    <row r="4981" spans="3:4" x14ac:dyDescent="0.25">
      <c r="C4981" s="1"/>
      <c r="D4981" s="1"/>
    </row>
    <row r="4982" spans="3:4" x14ac:dyDescent="0.25">
      <c r="C4982" s="1"/>
      <c r="D4982" s="1"/>
    </row>
    <row r="4983" spans="3:4" x14ac:dyDescent="0.25">
      <c r="C4983" s="1"/>
      <c r="D4983" s="1"/>
    </row>
    <row r="4984" spans="3:4" x14ac:dyDescent="0.25">
      <c r="C4984" s="1"/>
      <c r="D4984" s="1"/>
    </row>
    <row r="4985" spans="3:4" x14ac:dyDescent="0.25">
      <c r="C4985" s="1"/>
      <c r="D4985" s="1"/>
    </row>
    <row r="4986" spans="3:4" x14ac:dyDescent="0.25">
      <c r="C4986" s="1"/>
      <c r="D4986" s="1"/>
    </row>
    <row r="4987" spans="3:4" x14ac:dyDescent="0.25">
      <c r="C4987" s="1"/>
      <c r="D4987" s="1"/>
    </row>
    <row r="4988" spans="3:4" x14ac:dyDescent="0.25">
      <c r="C4988" s="1"/>
      <c r="D4988" s="1"/>
    </row>
    <row r="4989" spans="3:4" x14ac:dyDescent="0.25">
      <c r="C4989" s="1"/>
      <c r="D4989" s="1"/>
    </row>
    <row r="4990" spans="3:4" x14ac:dyDescent="0.25">
      <c r="C4990" s="1"/>
      <c r="D4990" s="1"/>
    </row>
    <row r="4991" spans="3:4" x14ac:dyDescent="0.25">
      <c r="C4991" s="1"/>
      <c r="D4991" s="1"/>
    </row>
    <row r="4992" spans="3:4" x14ac:dyDescent="0.25">
      <c r="C4992" s="1"/>
      <c r="D4992" s="1"/>
    </row>
    <row r="4993" spans="3:4" x14ac:dyDescent="0.25">
      <c r="C4993" s="1"/>
      <c r="D4993" s="1"/>
    </row>
    <row r="4994" spans="3:4" x14ac:dyDescent="0.25">
      <c r="C4994" s="1"/>
      <c r="D4994" s="1"/>
    </row>
    <row r="4995" spans="3:4" x14ac:dyDescent="0.25">
      <c r="C4995" s="1"/>
      <c r="D4995" s="1"/>
    </row>
    <row r="4996" spans="3:4" x14ac:dyDescent="0.25">
      <c r="C4996" s="1"/>
      <c r="D4996" s="1"/>
    </row>
    <row r="4997" spans="3:4" x14ac:dyDescent="0.25">
      <c r="C4997" s="1"/>
      <c r="D4997" s="1"/>
    </row>
    <row r="4998" spans="3:4" x14ac:dyDescent="0.25">
      <c r="C4998" s="1"/>
      <c r="D4998" s="1"/>
    </row>
    <row r="4999" spans="3:4" x14ac:dyDescent="0.25">
      <c r="C4999" s="1"/>
      <c r="D4999" s="1"/>
    </row>
    <row r="5000" spans="3:4" x14ac:dyDescent="0.25">
      <c r="C5000" s="1"/>
      <c r="D5000" s="1"/>
    </row>
    <row r="5001" spans="3:4" x14ac:dyDescent="0.25">
      <c r="C5001" s="1"/>
      <c r="D5001" s="1"/>
    </row>
    <row r="5002" spans="3:4" x14ac:dyDescent="0.25">
      <c r="C5002" s="1"/>
      <c r="D5002" s="1"/>
    </row>
    <row r="5003" spans="3:4" x14ac:dyDescent="0.25">
      <c r="C5003" s="1"/>
      <c r="D5003" s="1"/>
    </row>
    <row r="5004" spans="3:4" x14ac:dyDescent="0.25">
      <c r="C5004" s="1"/>
      <c r="D5004" s="1"/>
    </row>
    <row r="5005" spans="3:4" x14ac:dyDescent="0.25">
      <c r="C5005" s="1"/>
      <c r="D5005" s="1"/>
    </row>
    <row r="5006" spans="3:4" x14ac:dyDescent="0.25">
      <c r="C5006" s="1"/>
      <c r="D5006" s="1"/>
    </row>
    <row r="5007" spans="3:4" x14ac:dyDescent="0.25">
      <c r="C5007" s="1"/>
      <c r="D5007" s="1"/>
    </row>
    <row r="5008" spans="3:4" x14ac:dyDescent="0.25">
      <c r="C5008" s="1"/>
      <c r="D5008" s="1"/>
    </row>
    <row r="5009" spans="3:4" x14ac:dyDescent="0.25">
      <c r="C5009" s="1"/>
      <c r="D5009" s="1"/>
    </row>
    <row r="5010" spans="3:4" x14ac:dyDescent="0.25">
      <c r="C5010" s="1"/>
      <c r="D5010" s="1"/>
    </row>
    <row r="5011" spans="3:4" x14ac:dyDescent="0.25">
      <c r="C5011" s="1"/>
      <c r="D5011" s="1"/>
    </row>
    <row r="5012" spans="3:4" x14ac:dyDescent="0.25">
      <c r="C5012" s="1"/>
      <c r="D5012" s="1"/>
    </row>
    <row r="5013" spans="3:4" x14ac:dyDescent="0.25">
      <c r="C5013" s="1"/>
      <c r="D5013" s="1"/>
    </row>
    <row r="5014" spans="3:4" x14ac:dyDescent="0.25">
      <c r="C5014" s="1"/>
      <c r="D5014" s="1"/>
    </row>
    <row r="5015" spans="3:4" x14ac:dyDescent="0.25">
      <c r="C5015" s="1"/>
      <c r="D5015" s="1"/>
    </row>
    <row r="5016" spans="3:4" x14ac:dyDescent="0.25">
      <c r="C5016" s="1"/>
      <c r="D5016" s="1"/>
    </row>
    <row r="5017" spans="3:4" x14ac:dyDescent="0.25">
      <c r="C5017" s="1"/>
      <c r="D5017" s="1"/>
    </row>
    <row r="5018" spans="3:4" x14ac:dyDescent="0.25">
      <c r="C5018" s="1"/>
      <c r="D5018" s="1"/>
    </row>
    <row r="5019" spans="3:4" x14ac:dyDescent="0.25">
      <c r="C5019" s="1"/>
      <c r="D5019" s="1"/>
    </row>
    <row r="5020" spans="3:4" x14ac:dyDescent="0.25">
      <c r="C5020" s="1"/>
      <c r="D5020" s="1"/>
    </row>
    <row r="5021" spans="3:4" x14ac:dyDescent="0.25">
      <c r="C5021" s="1"/>
      <c r="D5021" s="1"/>
    </row>
    <row r="5022" spans="3:4" x14ac:dyDescent="0.25">
      <c r="C5022" s="1"/>
      <c r="D5022" s="1"/>
    </row>
    <row r="5023" spans="3:4" x14ac:dyDescent="0.25">
      <c r="C5023" s="1"/>
      <c r="D5023" s="1"/>
    </row>
    <row r="5024" spans="3:4" x14ac:dyDescent="0.25">
      <c r="C5024" s="1"/>
      <c r="D5024" s="1"/>
    </row>
    <row r="5025" spans="3:4" x14ac:dyDescent="0.25">
      <c r="C5025" s="1"/>
      <c r="D5025" s="1"/>
    </row>
    <row r="5026" spans="3:4" x14ac:dyDescent="0.25">
      <c r="C5026" s="1"/>
      <c r="D5026" s="1"/>
    </row>
    <row r="5027" spans="3:4" x14ac:dyDescent="0.25">
      <c r="C5027" s="1"/>
      <c r="D5027" s="1"/>
    </row>
    <row r="5028" spans="3:4" x14ac:dyDescent="0.25">
      <c r="C5028" s="1"/>
      <c r="D5028" s="1"/>
    </row>
    <row r="5029" spans="3:4" x14ac:dyDescent="0.25">
      <c r="C5029" s="1"/>
      <c r="D5029" s="1"/>
    </row>
    <row r="5030" spans="3:4" x14ac:dyDescent="0.25">
      <c r="C5030" s="1"/>
      <c r="D5030" s="1"/>
    </row>
    <row r="5031" spans="3:4" x14ac:dyDescent="0.25">
      <c r="C5031" s="1"/>
      <c r="D5031" s="1"/>
    </row>
    <row r="5032" spans="3:4" x14ac:dyDescent="0.25">
      <c r="C5032" s="1"/>
      <c r="D5032" s="1"/>
    </row>
    <row r="5033" spans="3:4" x14ac:dyDescent="0.25">
      <c r="C5033" s="1"/>
      <c r="D5033" s="1"/>
    </row>
    <row r="5034" spans="3:4" x14ac:dyDescent="0.25">
      <c r="C5034" s="1"/>
      <c r="D5034" s="1"/>
    </row>
    <row r="5035" spans="3:4" x14ac:dyDescent="0.25">
      <c r="C5035" s="1"/>
      <c r="D5035" s="1"/>
    </row>
    <row r="5036" spans="3:4" x14ac:dyDescent="0.25">
      <c r="C5036" s="1"/>
      <c r="D5036" s="1"/>
    </row>
    <row r="5037" spans="3:4" x14ac:dyDescent="0.25">
      <c r="C5037" s="1"/>
      <c r="D5037" s="1"/>
    </row>
    <row r="5038" spans="3:4" x14ac:dyDescent="0.25">
      <c r="C5038" s="1"/>
      <c r="D5038" s="1"/>
    </row>
    <row r="5039" spans="3:4" x14ac:dyDescent="0.25">
      <c r="C5039" s="1"/>
      <c r="D5039" s="1"/>
    </row>
    <row r="5040" spans="3:4" x14ac:dyDescent="0.25">
      <c r="C5040" s="1"/>
      <c r="D5040" s="1"/>
    </row>
    <row r="5041" spans="3:4" x14ac:dyDescent="0.25">
      <c r="C5041" s="1"/>
      <c r="D5041" s="1"/>
    </row>
    <row r="5042" spans="3:4" x14ac:dyDescent="0.25">
      <c r="C5042" s="1"/>
      <c r="D5042" s="1"/>
    </row>
    <row r="5043" spans="3:4" x14ac:dyDescent="0.25">
      <c r="C5043" s="1"/>
      <c r="D5043" s="1"/>
    </row>
    <row r="5044" spans="3:4" x14ac:dyDescent="0.25">
      <c r="C5044" s="1"/>
      <c r="D5044" s="1"/>
    </row>
    <row r="5045" spans="3:4" x14ac:dyDescent="0.25">
      <c r="C5045" s="1"/>
      <c r="D5045" s="1"/>
    </row>
    <row r="5046" spans="3:4" x14ac:dyDescent="0.25">
      <c r="C5046" s="1"/>
      <c r="D5046" s="1"/>
    </row>
    <row r="5047" spans="3:4" x14ac:dyDescent="0.25">
      <c r="C5047" s="1"/>
      <c r="D5047" s="1"/>
    </row>
    <row r="5048" spans="3:4" x14ac:dyDescent="0.25">
      <c r="C5048" s="1"/>
      <c r="D5048" s="1"/>
    </row>
    <row r="5049" spans="3:4" x14ac:dyDescent="0.25">
      <c r="C5049" s="1"/>
      <c r="D5049" s="1"/>
    </row>
    <row r="5050" spans="3:4" x14ac:dyDescent="0.25">
      <c r="C5050" s="1"/>
      <c r="D5050" s="1"/>
    </row>
    <row r="5051" spans="3:4" x14ac:dyDescent="0.25">
      <c r="C5051" s="1"/>
      <c r="D5051" s="1"/>
    </row>
    <row r="5052" spans="3:4" x14ac:dyDescent="0.25">
      <c r="C5052" s="1"/>
      <c r="D5052" s="1"/>
    </row>
    <row r="5053" spans="3:4" x14ac:dyDescent="0.25">
      <c r="C5053" s="1"/>
      <c r="D5053" s="1"/>
    </row>
    <row r="5054" spans="3:4" x14ac:dyDescent="0.25">
      <c r="C5054" s="1"/>
      <c r="D5054" s="1"/>
    </row>
    <row r="5055" spans="3:4" x14ac:dyDescent="0.25">
      <c r="C5055" s="1"/>
      <c r="D5055" s="1"/>
    </row>
    <row r="5056" spans="3:4" x14ac:dyDescent="0.25">
      <c r="C5056" s="1"/>
      <c r="D5056" s="1"/>
    </row>
    <row r="5057" spans="3:4" x14ac:dyDescent="0.25">
      <c r="C5057" s="1"/>
      <c r="D5057" s="1"/>
    </row>
    <row r="5058" spans="3:4" x14ac:dyDescent="0.25">
      <c r="C5058" s="1"/>
      <c r="D5058" s="1"/>
    </row>
    <row r="5059" spans="3:4" x14ac:dyDescent="0.25">
      <c r="C5059" s="1"/>
      <c r="D5059" s="1"/>
    </row>
    <row r="5060" spans="3:4" x14ac:dyDescent="0.25">
      <c r="C5060" s="1"/>
      <c r="D5060" s="1"/>
    </row>
    <row r="5061" spans="3:4" x14ac:dyDescent="0.25">
      <c r="C5061" s="1"/>
      <c r="D5061" s="1"/>
    </row>
    <row r="5062" spans="3:4" x14ac:dyDescent="0.25">
      <c r="C5062" s="1"/>
      <c r="D5062" s="1"/>
    </row>
    <row r="5063" spans="3:4" x14ac:dyDescent="0.25">
      <c r="C5063" s="1"/>
      <c r="D5063" s="1"/>
    </row>
    <row r="5064" spans="3:4" x14ac:dyDescent="0.25">
      <c r="C5064" s="1"/>
      <c r="D5064" s="1"/>
    </row>
    <row r="5065" spans="3:4" x14ac:dyDescent="0.25">
      <c r="C5065" s="1"/>
      <c r="D5065" s="1"/>
    </row>
    <row r="5066" spans="3:4" x14ac:dyDescent="0.25">
      <c r="C5066" s="1"/>
      <c r="D5066" s="1"/>
    </row>
    <row r="5067" spans="3:4" x14ac:dyDescent="0.25">
      <c r="C5067" s="1"/>
      <c r="D5067" s="1"/>
    </row>
    <row r="5068" spans="3:4" x14ac:dyDescent="0.25">
      <c r="C5068" s="1"/>
      <c r="D5068" s="1"/>
    </row>
    <row r="5069" spans="3:4" x14ac:dyDescent="0.25">
      <c r="C5069" s="1"/>
      <c r="D5069" s="1"/>
    </row>
    <row r="5070" spans="3:4" x14ac:dyDescent="0.25">
      <c r="C5070" s="1"/>
      <c r="D5070" s="1"/>
    </row>
    <row r="5071" spans="3:4" x14ac:dyDescent="0.25">
      <c r="C5071" s="1"/>
      <c r="D5071" s="1"/>
    </row>
    <row r="5072" spans="3:4" x14ac:dyDescent="0.25">
      <c r="C5072" s="1"/>
      <c r="D5072" s="1"/>
    </row>
    <row r="5073" spans="3:4" x14ac:dyDescent="0.25">
      <c r="C5073" s="1"/>
      <c r="D5073" s="1"/>
    </row>
    <row r="5074" spans="3:4" x14ac:dyDescent="0.25">
      <c r="C5074" s="1"/>
      <c r="D5074" s="1"/>
    </row>
    <row r="5075" spans="3:4" x14ac:dyDescent="0.25">
      <c r="C5075" s="1"/>
      <c r="D5075" s="1"/>
    </row>
    <row r="5076" spans="3:4" x14ac:dyDescent="0.25">
      <c r="C5076" s="1"/>
      <c r="D5076" s="1"/>
    </row>
    <row r="5077" spans="3:4" x14ac:dyDescent="0.25">
      <c r="C5077" s="1"/>
      <c r="D5077" s="1"/>
    </row>
    <row r="5078" spans="3:4" x14ac:dyDescent="0.25">
      <c r="C5078" s="1"/>
      <c r="D5078" s="1"/>
    </row>
    <row r="5079" spans="3:4" x14ac:dyDescent="0.25">
      <c r="C5079" s="1"/>
      <c r="D5079" s="1"/>
    </row>
    <row r="5080" spans="3:4" x14ac:dyDescent="0.25">
      <c r="C5080" s="1"/>
      <c r="D5080" s="1"/>
    </row>
    <row r="5081" spans="3:4" x14ac:dyDescent="0.25">
      <c r="C5081" s="1"/>
      <c r="D5081" s="1"/>
    </row>
    <row r="5082" spans="3:4" x14ac:dyDescent="0.25">
      <c r="C5082" s="1"/>
      <c r="D5082" s="1"/>
    </row>
    <row r="5083" spans="3:4" x14ac:dyDescent="0.25">
      <c r="C5083" s="1"/>
      <c r="D5083" s="1"/>
    </row>
    <row r="5084" spans="3:4" x14ac:dyDescent="0.25">
      <c r="C5084" s="1"/>
      <c r="D5084" s="1"/>
    </row>
    <row r="5085" spans="3:4" x14ac:dyDescent="0.25">
      <c r="C5085" s="1"/>
      <c r="D5085" s="1"/>
    </row>
    <row r="5086" spans="3:4" x14ac:dyDescent="0.25">
      <c r="C5086" s="1"/>
      <c r="D5086" s="1"/>
    </row>
    <row r="5087" spans="3:4" x14ac:dyDescent="0.25">
      <c r="C5087" s="1"/>
      <c r="D5087" s="1"/>
    </row>
    <row r="5088" spans="3:4" x14ac:dyDescent="0.25">
      <c r="C5088" s="1"/>
      <c r="D5088" s="1"/>
    </row>
    <row r="5089" spans="3:4" x14ac:dyDescent="0.25">
      <c r="C5089" s="1"/>
      <c r="D5089" s="1"/>
    </row>
    <row r="5090" spans="3:4" x14ac:dyDescent="0.25">
      <c r="C5090" s="1"/>
      <c r="D5090" s="1"/>
    </row>
    <row r="5091" spans="3:4" x14ac:dyDescent="0.25">
      <c r="C5091" s="1"/>
      <c r="D5091" s="1"/>
    </row>
    <row r="5092" spans="3:4" x14ac:dyDescent="0.25">
      <c r="C5092" s="1"/>
      <c r="D5092" s="1"/>
    </row>
    <row r="5093" spans="3:4" x14ac:dyDescent="0.25">
      <c r="C5093" s="1"/>
      <c r="D5093" s="1"/>
    </row>
    <row r="5094" spans="3:4" x14ac:dyDescent="0.25">
      <c r="C5094" s="1"/>
      <c r="D5094" s="1"/>
    </row>
    <row r="5095" spans="3:4" x14ac:dyDescent="0.25">
      <c r="C5095" s="1"/>
      <c r="D5095" s="1"/>
    </row>
    <row r="5096" spans="3:4" x14ac:dyDescent="0.25">
      <c r="C5096" s="1"/>
      <c r="D5096" s="1"/>
    </row>
    <row r="5097" spans="3:4" x14ac:dyDescent="0.25">
      <c r="C5097" s="1"/>
      <c r="D5097" s="1"/>
    </row>
    <row r="5098" spans="3:4" x14ac:dyDescent="0.25">
      <c r="C5098" s="1"/>
      <c r="D5098" s="1"/>
    </row>
    <row r="5099" spans="3:4" x14ac:dyDescent="0.25">
      <c r="C5099" s="1"/>
      <c r="D5099" s="1"/>
    </row>
    <row r="5100" spans="3:4" x14ac:dyDescent="0.25">
      <c r="C5100" s="1"/>
      <c r="D5100" s="1"/>
    </row>
    <row r="5101" spans="3:4" x14ac:dyDescent="0.25">
      <c r="C5101" s="1"/>
      <c r="D5101" s="1"/>
    </row>
    <row r="5102" spans="3:4" x14ac:dyDescent="0.25">
      <c r="C5102" s="1"/>
      <c r="D5102" s="1"/>
    </row>
    <row r="5103" spans="3:4" x14ac:dyDescent="0.25">
      <c r="C5103" s="1"/>
      <c r="D5103" s="1"/>
    </row>
    <row r="5104" spans="3:4" x14ac:dyDescent="0.25">
      <c r="C5104" s="1"/>
      <c r="D5104" s="1"/>
    </row>
    <row r="5105" spans="3:4" x14ac:dyDescent="0.25">
      <c r="C5105" s="1"/>
      <c r="D5105" s="1"/>
    </row>
    <row r="5106" spans="3:4" x14ac:dyDescent="0.25">
      <c r="C5106" s="1"/>
      <c r="D5106" s="1"/>
    </row>
    <row r="5107" spans="3:4" x14ac:dyDescent="0.25">
      <c r="C5107" s="1"/>
      <c r="D5107" s="1"/>
    </row>
    <row r="5108" spans="3:4" x14ac:dyDescent="0.25">
      <c r="C5108" s="1"/>
      <c r="D5108" s="1"/>
    </row>
    <row r="5109" spans="3:4" x14ac:dyDescent="0.25">
      <c r="C5109" s="1"/>
      <c r="D5109" s="1"/>
    </row>
    <row r="5110" spans="3:4" x14ac:dyDescent="0.25">
      <c r="C5110" s="1"/>
      <c r="D5110" s="1"/>
    </row>
    <row r="5111" spans="3:4" x14ac:dyDescent="0.25">
      <c r="C5111" s="1"/>
      <c r="D5111" s="1"/>
    </row>
    <row r="5112" spans="3:4" x14ac:dyDescent="0.25">
      <c r="C5112" s="1"/>
      <c r="D5112" s="1"/>
    </row>
    <row r="5113" spans="3:4" x14ac:dyDescent="0.25">
      <c r="C5113" s="1"/>
      <c r="D5113" s="1"/>
    </row>
    <row r="5114" spans="3:4" x14ac:dyDescent="0.25">
      <c r="C5114" s="1"/>
      <c r="D5114" s="1"/>
    </row>
    <row r="5115" spans="3:4" x14ac:dyDescent="0.25">
      <c r="C5115" s="1"/>
      <c r="D5115" s="1"/>
    </row>
    <row r="5116" spans="3:4" x14ac:dyDescent="0.25">
      <c r="C5116" s="1"/>
      <c r="D5116" s="1"/>
    </row>
    <row r="5117" spans="3:4" x14ac:dyDescent="0.25">
      <c r="C5117" s="1"/>
      <c r="D5117" s="1"/>
    </row>
    <row r="5118" spans="3:4" x14ac:dyDescent="0.25">
      <c r="C5118" s="1"/>
      <c r="D5118" s="1"/>
    </row>
    <row r="5119" spans="3:4" x14ac:dyDescent="0.25">
      <c r="C5119" s="1"/>
      <c r="D5119" s="1"/>
    </row>
    <row r="5120" spans="3:4" x14ac:dyDescent="0.25">
      <c r="C5120" s="1"/>
      <c r="D5120" s="1"/>
    </row>
    <row r="5121" spans="3:4" x14ac:dyDescent="0.25">
      <c r="C5121" s="1"/>
      <c r="D5121" s="1"/>
    </row>
    <row r="5122" spans="3:4" x14ac:dyDescent="0.25">
      <c r="C5122" s="1"/>
      <c r="D5122" s="1"/>
    </row>
    <row r="5123" spans="3:4" x14ac:dyDescent="0.25">
      <c r="C5123" s="1"/>
      <c r="D5123" s="1"/>
    </row>
    <row r="5124" spans="3:4" x14ac:dyDescent="0.25">
      <c r="C5124" s="1"/>
      <c r="D5124" s="1"/>
    </row>
    <row r="5125" spans="3:4" x14ac:dyDescent="0.25">
      <c r="C5125" s="1"/>
      <c r="D5125" s="1"/>
    </row>
    <row r="5126" spans="3:4" x14ac:dyDescent="0.25">
      <c r="C5126" s="1"/>
      <c r="D5126" s="1"/>
    </row>
    <row r="5127" spans="3:4" x14ac:dyDescent="0.25">
      <c r="C5127" s="1"/>
      <c r="D5127" s="1"/>
    </row>
    <row r="5128" spans="3:4" x14ac:dyDescent="0.25">
      <c r="C5128" s="1"/>
      <c r="D5128" s="1"/>
    </row>
    <row r="5129" spans="3:4" x14ac:dyDescent="0.25">
      <c r="C5129" s="1"/>
      <c r="D5129" s="1"/>
    </row>
    <row r="5130" spans="3:4" x14ac:dyDescent="0.25">
      <c r="C5130" s="1"/>
      <c r="D5130" s="1"/>
    </row>
    <row r="5131" spans="3:4" x14ac:dyDescent="0.25">
      <c r="C5131" s="1"/>
      <c r="D5131" s="1"/>
    </row>
    <row r="5132" spans="3:4" x14ac:dyDescent="0.25">
      <c r="C5132" s="1"/>
      <c r="D5132" s="1"/>
    </row>
    <row r="5133" spans="3:4" x14ac:dyDescent="0.25">
      <c r="C5133" s="1"/>
      <c r="D5133" s="1"/>
    </row>
    <row r="5134" spans="3:4" x14ac:dyDescent="0.25">
      <c r="C5134" s="1"/>
      <c r="D5134" s="1"/>
    </row>
    <row r="5135" spans="3:4" x14ac:dyDescent="0.25">
      <c r="C5135" s="1"/>
      <c r="D5135" s="1"/>
    </row>
    <row r="5136" spans="3:4" x14ac:dyDescent="0.25">
      <c r="C5136" s="1"/>
      <c r="D5136" s="1"/>
    </row>
    <row r="5137" spans="3:4" x14ac:dyDescent="0.25">
      <c r="C5137" s="1"/>
      <c r="D5137" s="1"/>
    </row>
    <row r="5138" spans="3:4" x14ac:dyDescent="0.25">
      <c r="C5138" s="1"/>
      <c r="D5138" s="1"/>
    </row>
    <row r="5139" spans="3:4" x14ac:dyDescent="0.25">
      <c r="C5139" s="1"/>
      <c r="D5139" s="1"/>
    </row>
    <row r="5140" spans="3:4" x14ac:dyDescent="0.25">
      <c r="C5140" s="1"/>
      <c r="D5140" s="1"/>
    </row>
    <row r="5141" spans="3:4" x14ac:dyDescent="0.25">
      <c r="C5141" s="1"/>
      <c r="D5141" s="1"/>
    </row>
    <row r="5142" spans="3:4" x14ac:dyDescent="0.25">
      <c r="C5142" s="1"/>
      <c r="D5142" s="1"/>
    </row>
    <row r="5143" spans="3:4" x14ac:dyDescent="0.25">
      <c r="C5143" s="1"/>
      <c r="D5143" s="1"/>
    </row>
    <row r="5144" spans="3:4" x14ac:dyDescent="0.25">
      <c r="C5144" s="1"/>
      <c r="D5144" s="1"/>
    </row>
    <row r="5145" spans="3:4" x14ac:dyDescent="0.25">
      <c r="C5145" s="1"/>
      <c r="D5145" s="1"/>
    </row>
    <row r="5146" spans="3:4" x14ac:dyDescent="0.25">
      <c r="C5146" s="1"/>
      <c r="D5146" s="1"/>
    </row>
    <row r="5147" spans="3:4" x14ac:dyDescent="0.25">
      <c r="C5147" s="1"/>
      <c r="D5147" s="1"/>
    </row>
    <row r="5148" spans="3:4" x14ac:dyDescent="0.25">
      <c r="C5148" s="1"/>
      <c r="D5148" s="1"/>
    </row>
    <row r="5149" spans="3:4" x14ac:dyDescent="0.25">
      <c r="C5149" s="1"/>
      <c r="D5149" s="1"/>
    </row>
    <row r="5150" spans="3:4" x14ac:dyDescent="0.25">
      <c r="C5150" s="1"/>
      <c r="D5150" s="1"/>
    </row>
    <row r="5151" spans="3:4" x14ac:dyDescent="0.25">
      <c r="C5151" s="1"/>
      <c r="D5151" s="1"/>
    </row>
    <row r="5152" spans="3:4" x14ac:dyDescent="0.25">
      <c r="C5152" s="1"/>
      <c r="D5152" s="1"/>
    </row>
    <row r="5153" spans="3:4" x14ac:dyDescent="0.25">
      <c r="C5153" s="1"/>
      <c r="D5153" s="1"/>
    </row>
    <row r="5154" spans="3:4" x14ac:dyDescent="0.25">
      <c r="C5154" s="1"/>
      <c r="D5154" s="1"/>
    </row>
    <row r="5155" spans="3:4" x14ac:dyDescent="0.25">
      <c r="C5155" s="1"/>
      <c r="D5155" s="1"/>
    </row>
    <row r="5156" spans="3:4" x14ac:dyDescent="0.25">
      <c r="C5156" s="1"/>
      <c r="D5156" s="1"/>
    </row>
    <row r="5157" spans="3:4" x14ac:dyDescent="0.25">
      <c r="C5157" s="1"/>
      <c r="D5157" s="1"/>
    </row>
    <row r="5158" spans="3:4" x14ac:dyDescent="0.25">
      <c r="C5158" s="1"/>
      <c r="D5158" s="1"/>
    </row>
    <row r="5159" spans="3:4" x14ac:dyDescent="0.25">
      <c r="C5159" s="1"/>
      <c r="D5159" s="1"/>
    </row>
    <row r="5160" spans="3:4" x14ac:dyDescent="0.25">
      <c r="C5160" s="1"/>
      <c r="D5160" s="1"/>
    </row>
    <row r="5161" spans="3:4" x14ac:dyDescent="0.25">
      <c r="C5161" s="1"/>
      <c r="D5161" s="1"/>
    </row>
    <row r="5162" spans="3:4" x14ac:dyDescent="0.25">
      <c r="C5162" s="1"/>
      <c r="D5162" s="1"/>
    </row>
    <row r="5163" spans="3:4" x14ac:dyDescent="0.25">
      <c r="C5163" s="1"/>
      <c r="D5163" s="1"/>
    </row>
    <row r="5164" spans="3:4" x14ac:dyDescent="0.25">
      <c r="C5164" s="1"/>
      <c r="D5164" s="1"/>
    </row>
    <row r="5165" spans="3:4" x14ac:dyDescent="0.25">
      <c r="C5165" s="1"/>
      <c r="D5165" s="1"/>
    </row>
    <row r="5166" spans="3:4" x14ac:dyDescent="0.25">
      <c r="C5166" s="1"/>
      <c r="D5166" s="1"/>
    </row>
    <row r="5167" spans="3:4" x14ac:dyDescent="0.25">
      <c r="C5167" s="1"/>
      <c r="D5167" s="1"/>
    </row>
    <row r="5168" spans="3:4" x14ac:dyDescent="0.25">
      <c r="C5168" s="1"/>
      <c r="D5168" s="1"/>
    </row>
    <row r="5169" spans="3:4" x14ac:dyDescent="0.25">
      <c r="C5169" s="1"/>
      <c r="D5169" s="1"/>
    </row>
    <row r="5170" spans="3:4" x14ac:dyDescent="0.25">
      <c r="C5170" s="1"/>
      <c r="D5170" s="1"/>
    </row>
    <row r="5171" spans="3:4" x14ac:dyDescent="0.25">
      <c r="C5171" s="1"/>
      <c r="D5171" s="1"/>
    </row>
    <row r="5172" spans="3:4" x14ac:dyDescent="0.25">
      <c r="C5172" s="1"/>
      <c r="D5172" s="1"/>
    </row>
    <row r="5173" spans="3:4" x14ac:dyDescent="0.25">
      <c r="C5173" s="1"/>
      <c r="D5173" s="1"/>
    </row>
    <row r="5174" spans="3:4" x14ac:dyDescent="0.25">
      <c r="C5174" s="1"/>
      <c r="D5174" s="1"/>
    </row>
    <row r="5175" spans="3:4" x14ac:dyDescent="0.25">
      <c r="C5175" s="1"/>
      <c r="D5175" s="1"/>
    </row>
    <row r="5176" spans="3:4" x14ac:dyDescent="0.25">
      <c r="C5176" s="1"/>
      <c r="D5176" s="1"/>
    </row>
    <row r="5177" spans="3:4" x14ac:dyDescent="0.25">
      <c r="C5177" s="1"/>
      <c r="D5177" s="1"/>
    </row>
    <row r="5178" spans="3:4" x14ac:dyDescent="0.25">
      <c r="C5178" s="1"/>
      <c r="D5178" s="1"/>
    </row>
    <row r="5179" spans="3:4" x14ac:dyDescent="0.25">
      <c r="C5179" s="1"/>
      <c r="D5179" s="1"/>
    </row>
    <row r="5180" spans="3:4" x14ac:dyDescent="0.25">
      <c r="C5180" s="1"/>
      <c r="D5180" s="1"/>
    </row>
    <row r="5181" spans="3:4" x14ac:dyDescent="0.25">
      <c r="C5181" s="1"/>
      <c r="D5181" s="1"/>
    </row>
    <row r="5182" spans="3:4" x14ac:dyDescent="0.25">
      <c r="C5182" s="1"/>
      <c r="D5182" s="1"/>
    </row>
    <row r="5183" spans="3:4" x14ac:dyDescent="0.25">
      <c r="C5183" s="1"/>
      <c r="D5183" s="1"/>
    </row>
    <row r="5184" spans="3:4" x14ac:dyDescent="0.25">
      <c r="C5184" s="1"/>
      <c r="D5184" s="1"/>
    </row>
    <row r="5185" spans="3:4" x14ac:dyDescent="0.25">
      <c r="C5185" s="1"/>
      <c r="D5185" s="1"/>
    </row>
    <row r="5186" spans="3:4" x14ac:dyDescent="0.25">
      <c r="C5186" s="1"/>
      <c r="D5186" s="1"/>
    </row>
    <row r="5187" spans="3:4" x14ac:dyDescent="0.25">
      <c r="C5187" s="1"/>
      <c r="D5187" s="1"/>
    </row>
    <row r="5188" spans="3:4" x14ac:dyDescent="0.25">
      <c r="C5188" s="1"/>
      <c r="D5188" s="1"/>
    </row>
    <row r="5189" spans="3:4" x14ac:dyDescent="0.25">
      <c r="C5189" s="1"/>
      <c r="D5189" s="1"/>
    </row>
    <row r="5190" spans="3:4" x14ac:dyDescent="0.25">
      <c r="C5190" s="1"/>
      <c r="D5190" s="1"/>
    </row>
    <row r="5191" spans="3:4" x14ac:dyDescent="0.25">
      <c r="C5191" s="1"/>
      <c r="D5191" s="1"/>
    </row>
    <row r="5192" spans="3:4" x14ac:dyDescent="0.25">
      <c r="C5192" s="1"/>
      <c r="D5192" s="1"/>
    </row>
    <row r="5193" spans="3:4" x14ac:dyDescent="0.25">
      <c r="C5193" s="1"/>
      <c r="D5193" s="1"/>
    </row>
    <row r="5194" spans="3:4" x14ac:dyDescent="0.25">
      <c r="C5194" s="1"/>
      <c r="D5194" s="1"/>
    </row>
    <row r="5195" spans="3:4" x14ac:dyDescent="0.25">
      <c r="C5195" s="1"/>
      <c r="D5195" s="1"/>
    </row>
    <row r="5196" spans="3:4" x14ac:dyDescent="0.25">
      <c r="C5196" s="1"/>
      <c r="D5196" s="1"/>
    </row>
    <row r="5197" spans="3:4" x14ac:dyDescent="0.25">
      <c r="C5197" s="1"/>
      <c r="D5197" s="1"/>
    </row>
    <row r="5198" spans="3:4" x14ac:dyDescent="0.25">
      <c r="C5198" s="1"/>
      <c r="D5198" s="1"/>
    </row>
    <row r="5199" spans="3:4" x14ac:dyDescent="0.25">
      <c r="C5199" s="1"/>
      <c r="D5199" s="1"/>
    </row>
    <row r="5200" spans="3:4" x14ac:dyDescent="0.25">
      <c r="C5200" s="1"/>
      <c r="D5200" s="1"/>
    </row>
    <row r="5201" spans="3:4" x14ac:dyDescent="0.25">
      <c r="C5201" s="1"/>
      <c r="D5201" s="1"/>
    </row>
    <row r="5202" spans="3:4" x14ac:dyDescent="0.25">
      <c r="C5202" s="1"/>
      <c r="D5202" s="1"/>
    </row>
    <row r="5203" spans="3:4" x14ac:dyDescent="0.25">
      <c r="C5203" s="1"/>
      <c r="D5203" s="1"/>
    </row>
    <row r="5204" spans="3:4" x14ac:dyDescent="0.25">
      <c r="C5204" s="1"/>
      <c r="D5204" s="1"/>
    </row>
    <row r="5205" spans="3:4" x14ac:dyDescent="0.25">
      <c r="C5205" s="1"/>
      <c r="D5205" s="1"/>
    </row>
    <row r="5206" spans="3:4" x14ac:dyDescent="0.25">
      <c r="C5206" s="1"/>
      <c r="D5206" s="1"/>
    </row>
    <row r="5207" spans="3:4" x14ac:dyDescent="0.25">
      <c r="C5207" s="1"/>
      <c r="D5207" s="1"/>
    </row>
    <row r="5208" spans="3:4" x14ac:dyDescent="0.25">
      <c r="C5208" s="1"/>
      <c r="D5208" s="1"/>
    </row>
    <row r="5209" spans="3:4" x14ac:dyDescent="0.25">
      <c r="C5209" s="1"/>
      <c r="D5209" s="1"/>
    </row>
    <row r="5210" spans="3:4" x14ac:dyDescent="0.25">
      <c r="C5210" s="1"/>
      <c r="D5210" s="1"/>
    </row>
    <row r="5211" spans="3:4" x14ac:dyDescent="0.25">
      <c r="C5211" s="1"/>
      <c r="D5211" s="1"/>
    </row>
    <row r="5212" spans="3:4" x14ac:dyDescent="0.25">
      <c r="C5212" s="1"/>
      <c r="D5212" s="1"/>
    </row>
    <row r="5213" spans="3:4" x14ac:dyDescent="0.25">
      <c r="C5213" s="1"/>
      <c r="D5213" s="1"/>
    </row>
    <row r="5214" spans="3:4" x14ac:dyDescent="0.25">
      <c r="C5214" s="1"/>
      <c r="D5214" s="1"/>
    </row>
    <row r="5215" spans="3:4" x14ac:dyDescent="0.25">
      <c r="C5215" s="1"/>
      <c r="D5215" s="1"/>
    </row>
    <row r="5216" spans="3:4" x14ac:dyDescent="0.25">
      <c r="C5216" s="1"/>
      <c r="D5216" s="1"/>
    </row>
    <row r="5217" spans="3:4" x14ac:dyDescent="0.25">
      <c r="C5217" s="1"/>
      <c r="D5217" s="1"/>
    </row>
    <row r="5218" spans="3:4" x14ac:dyDescent="0.25">
      <c r="C5218" s="1"/>
      <c r="D5218" s="1"/>
    </row>
    <row r="5219" spans="3:4" x14ac:dyDescent="0.25">
      <c r="C5219" s="1"/>
      <c r="D5219" s="1"/>
    </row>
    <row r="5220" spans="3:4" x14ac:dyDescent="0.25">
      <c r="C5220" s="1"/>
      <c r="D5220" s="1"/>
    </row>
    <row r="5221" spans="3:4" x14ac:dyDescent="0.25">
      <c r="C5221" s="1"/>
      <c r="D5221" s="1"/>
    </row>
    <row r="5222" spans="3:4" x14ac:dyDescent="0.25">
      <c r="C5222" s="1"/>
      <c r="D5222" s="1"/>
    </row>
    <row r="5223" spans="3:4" x14ac:dyDescent="0.25">
      <c r="C5223" s="1"/>
      <c r="D5223" s="1"/>
    </row>
    <row r="5224" spans="3:4" x14ac:dyDescent="0.25">
      <c r="C5224" s="1"/>
      <c r="D5224" s="1"/>
    </row>
    <row r="5225" spans="3:4" x14ac:dyDescent="0.25">
      <c r="C5225" s="1"/>
      <c r="D5225" s="1"/>
    </row>
    <row r="5226" spans="3:4" x14ac:dyDescent="0.25">
      <c r="C5226" s="1"/>
      <c r="D5226" s="1"/>
    </row>
    <row r="5227" spans="3:4" x14ac:dyDescent="0.25">
      <c r="C5227" s="1"/>
      <c r="D5227" s="1"/>
    </row>
    <row r="5228" spans="3:4" x14ac:dyDescent="0.25">
      <c r="C5228" s="1"/>
      <c r="D5228" s="1"/>
    </row>
    <row r="5229" spans="3:4" x14ac:dyDescent="0.25">
      <c r="C5229" s="1"/>
      <c r="D5229" s="1"/>
    </row>
    <row r="5230" spans="3:4" x14ac:dyDescent="0.25">
      <c r="C5230" s="1"/>
      <c r="D5230" s="1"/>
    </row>
    <row r="5231" spans="3:4" x14ac:dyDescent="0.25">
      <c r="C5231" s="1"/>
      <c r="D5231" s="1"/>
    </row>
    <row r="5232" spans="3:4" x14ac:dyDescent="0.25">
      <c r="C5232" s="1"/>
      <c r="D5232" s="1"/>
    </row>
    <row r="5233" spans="3:4" x14ac:dyDescent="0.25">
      <c r="C5233" s="1"/>
      <c r="D5233" s="1"/>
    </row>
    <row r="5234" spans="3:4" x14ac:dyDescent="0.25">
      <c r="C5234" s="1"/>
      <c r="D5234" s="1"/>
    </row>
    <row r="5235" spans="3:4" x14ac:dyDescent="0.25">
      <c r="C5235" s="1"/>
      <c r="D5235" s="1"/>
    </row>
    <row r="5236" spans="3:4" x14ac:dyDescent="0.25">
      <c r="C5236" s="1"/>
      <c r="D5236" s="1"/>
    </row>
    <row r="5237" spans="3:4" x14ac:dyDescent="0.25">
      <c r="C5237" s="1"/>
      <c r="D5237" s="1"/>
    </row>
    <row r="5238" spans="3:4" x14ac:dyDescent="0.25">
      <c r="C5238" s="1"/>
      <c r="D5238" s="1"/>
    </row>
    <row r="5239" spans="3:4" x14ac:dyDescent="0.25">
      <c r="C5239" s="1"/>
      <c r="D5239" s="1"/>
    </row>
    <row r="5240" spans="3:4" x14ac:dyDescent="0.25">
      <c r="C5240" s="1"/>
      <c r="D5240" s="1"/>
    </row>
    <row r="5241" spans="3:4" x14ac:dyDescent="0.25">
      <c r="C5241" s="1"/>
      <c r="D5241" s="1"/>
    </row>
    <row r="5242" spans="3:4" x14ac:dyDescent="0.25">
      <c r="C5242" s="1"/>
      <c r="D5242" s="1"/>
    </row>
    <row r="5243" spans="3:4" x14ac:dyDescent="0.25">
      <c r="C5243" s="1"/>
      <c r="D5243" s="1"/>
    </row>
    <row r="5244" spans="3:4" x14ac:dyDescent="0.25">
      <c r="C5244" s="1"/>
      <c r="D5244" s="1"/>
    </row>
    <row r="5245" spans="3:4" x14ac:dyDescent="0.25">
      <c r="C5245" s="1"/>
      <c r="D5245" s="1"/>
    </row>
    <row r="5246" spans="3:4" x14ac:dyDescent="0.25">
      <c r="C5246" s="1"/>
      <c r="D5246" s="1"/>
    </row>
    <row r="5247" spans="3:4" x14ac:dyDescent="0.25">
      <c r="C5247" s="1"/>
      <c r="D5247" s="1"/>
    </row>
    <row r="5248" spans="3:4" x14ac:dyDescent="0.25">
      <c r="C5248" s="1"/>
      <c r="D5248" s="1"/>
    </row>
    <row r="5249" spans="3:4" x14ac:dyDescent="0.25">
      <c r="C5249" s="1"/>
      <c r="D5249" s="1"/>
    </row>
    <row r="5250" spans="3:4" x14ac:dyDescent="0.25">
      <c r="C5250" s="1"/>
      <c r="D5250" s="1"/>
    </row>
    <row r="5251" spans="3:4" x14ac:dyDescent="0.25">
      <c r="C5251" s="1"/>
      <c r="D5251" s="1"/>
    </row>
    <row r="5252" spans="3:4" x14ac:dyDescent="0.25">
      <c r="C5252" s="1"/>
      <c r="D5252" s="1"/>
    </row>
    <row r="5253" spans="3:4" x14ac:dyDescent="0.25">
      <c r="C5253" s="1"/>
      <c r="D5253" s="1"/>
    </row>
    <row r="5254" spans="3:4" x14ac:dyDescent="0.25">
      <c r="C5254" s="1"/>
      <c r="D5254" s="1"/>
    </row>
    <row r="5255" spans="3:4" x14ac:dyDescent="0.25">
      <c r="C5255" s="1"/>
      <c r="D5255" s="1"/>
    </row>
    <row r="5256" spans="3:4" x14ac:dyDescent="0.25">
      <c r="C5256" s="1"/>
      <c r="D5256" s="1"/>
    </row>
    <row r="5257" spans="3:4" x14ac:dyDescent="0.25">
      <c r="C5257" s="1"/>
      <c r="D5257" s="1"/>
    </row>
    <row r="5258" spans="3:4" x14ac:dyDescent="0.25">
      <c r="C5258" s="1"/>
      <c r="D5258" s="1"/>
    </row>
    <row r="5259" spans="3:4" x14ac:dyDescent="0.25">
      <c r="C5259" s="1"/>
      <c r="D5259" s="1"/>
    </row>
    <row r="5260" spans="3:4" x14ac:dyDescent="0.25">
      <c r="C5260" s="1"/>
      <c r="D5260" s="1"/>
    </row>
    <row r="5261" spans="3:4" x14ac:dyDescent="0.25">
      <c r="C5261" s="1"/>
      <c r="D5261" s="1"/>
    </row>
    <row r="5262" spans="3:4" x14ac:dyDescent="0.25">
      <c r="C5262" s="1"/>
      <c r="D5262" s="1"/>
    </row>
    <row r="5263" spans="3:4" x14ac:dyDescent="0.25">
      <c r="C5263" s="1"/>
      <c r="D5263" s="1"/>
    </row>
    <row r="5264" spans="3:4" x14ac:dyDescent="0.25">
      <c r="C5264" s="1"/>
      <c r="D5264" s="1"/>
    </row>
    <row r="5265" spans="3:4" x14ac:dyDescent="0.25">
      <c r="C5265" s="1"/>
      <c r="D5265" s="1"/>
    </row>
    <row r="5266" spans="3:4" x14ac:dyDescent="0.25">
      <c r="C5266" s="1"/>
      <c r="D5266" s="1"/>
    </row>
    <row r="5267" spans="3:4" x14ac:dyDescent="0.25">
      <c r="C5267" s="1"/>
      <c r="D5267" s="1"/>
    </row>
    <row r="5268" spans="3:4" x14ac:dyDescent="0.25">
      <c r="C5268" s="1"/>
      <c r="D5268" s="1"/>
    </row>
    <row r="5269" spans="3:4" x14ac:dyDescent="0.25">
      <c r="C5269" s="1"/>
      <c r="D5269" s="1"/>
    </row>
    <row r="5270" spans="3:4" x14ac:dyDescent="0.25">
      <c r="C5270" s="1"/>
      <c r="D5270" s="1"/>
    </row>
    <row r="5271" spans="3:4" x14ac:dyDescent="0.25">
      <c r="C5271" s="1"/>
      <c r="D5271" s="1"/>
    </row>
    <row r="5272" spans="3:4" x14ac:dyDescent="0.25">
      <c r="C5272" s="1"/>
      <c r="D5272" s="1"/>
    </row>
    <row r="5273" spans="3:4" x14ac:dyDescent="0.25">
      <c r="C5273" s="1"/>
      <c r="D5273" s="1"/>
    </row>
    <row r="5274" spans="3:4" x14ac:dyDescent="0.25">
      <c r="C5274" s="1"/>
      <c r="D5274" s="1"/>
    </row>
    <row r="5275" spans="3:4" x14ac:dyDescent="0.25">
      <c r="C5275" s="1"/>
      <c r="D5275" s="1"/>
    </row>
    <row r="5276" spans="3:4" x14ac:dyDescent="0.25">
      <c r="C5276" s="1"/>
      <c r="D5276" s="1"/>
    </row>
    <row r="5277" spans="3:4" x14ac:dyDescent="0.25">
      <c r="C5277" s="1"/>
      <c r="D5277" s="1"/>
    </row>
    <row r="5278" spans="3:4" x14ac:dyDescent="0.25">
      <c r="C5278" s="1"/>
      <c r="D5278" s="1"/>
    </row>
    <row r="5279" spans="3:4" x14ac:dyDescent="0.25">
      <c r="C5279" s="1"/>
      <c r="D5279" s="1"/>
    </row>
    <row r="5280" spans="3:4" x14ac:dyDescent="0.25">
      <c r="C5280" s="1"/>
      <c r="D5280" s="1"/>
    </row>
    <row r="5281" spans="3:4" x14ac:dyDescent="0.25">
      <c r="C5281" s="1"/>
      <c r="D5281" s="1"/>
    </row>
    <row r="5282" spans="3:4" x14ac:dyDescent="0.25">
      <c r="C5282" s="1"/>
      <c r="D5282" s="1"/>
    </row>
    <row r="5283" spans="3:4" x14ac:dyDescent="0.25">
      <c r="C5283" s="1"/>
      <c r="D5283" s="1"/>
    </row>
    <row r="5284" spans="3:4" x14ac:dyDescent="0.25">
      <c r="C5284" s="1"/>
      <c r="D5284" s="1"/>
    </row>
    <row r="5285" spans="3:4" x14ac:dyDescent="0.25">
      <c r="C5285" s="1"/>
      <c r="D5285" s="1"/>
    </row>
    <row r="5286" spans="3:4" x14ac:dyDescent="0.25">
      <c r="C5286" s="1"/>
      <c r="D5286" s="1"/>
    </row>
    <row r="5287" spans="3:4" x14ac:dyDescent="0.25">
      <c r="C5287" s="1"/>
      <c r="D5287" s="1"/>
    </row>
    <row r="5288" spans="3:4" x14ac:dyDescent="0.25">
      <c r="C5288" s="1"/>
      <c r="D5288" s="1"/>
    </row>
    <row r="5289" spans="3:4" x14ac:dyDescent="0.25">
      <c r="C5289" s="1"/>
      <c r="D5289" s="1"/>
    </row>
    <row r="5290" spans="3:4" x14ac:dyDescent="0.25">
      <c r="C5290" s="1"/>
      <c r="D5290" s="1"/>
    </row>
    <row r="5291" spans="3:4" x14ac:dyDescent="0.25">
      <c r="C5291" s="1"/>
      <c r="D5291" s="1"/>
    </row>
    <row r="5292" spans="3:4" x14ac:dyDescent="0.25">
      <c r="C5292" s="1"/>
      <c r="D5292" s="1"/>
    </row>
    <row r="5293" spans="3:4" x14ac:dyDescent="0.25">
      <c r="C5293" s="1"/>
      <c r="D5293" s="1"/>
    </row>
    <row r="5294" spans="3:4" x14ac:dyDescent="0.25">
      <c r="C5294" s="1"/>
      <c r="D5294" s="1"/>
    </row>
    <row r="5295" spans="3:4" x14ac:dyDescent="0.25">
      <c r="C5295" s="1"/>
      <c r="D5295" s="1"/>
    </row>
    <row r="5296" spans="3:4" x14ac:dyDescent="0.25">
      <c r="C5296" s="1"/>
      <c r="D5296" s="1"/>
    </row>
    <row r="5297" spans="3:4" x14ac:dyDescent="0.25">
      <c r="C5297" s="1"/>
      <c r="D5297" s="1"/>
    </row>
    <row r="5298" spans="3:4" x14ac:dyDescent="0.25">
      <c r="C5298" s="1"/>
      <c r="D5298" s="1"/>
    </row>
    <row r="5299" spans="3:4" x14ac:dyDescent="0.25">
      <c r="C5299" s="1"/>
      <c r="D5299" s="1"/>
    </row>
    <row r="5300" spans="3:4" x14ac:dyDescent="0.25">
      <c r="C5300" s="1"/>
      <c r="D5300" s="1"/>
    </row>
    <row r="5301" spans="3:4" x14ac:dyDescent="0.25">
      <c r="C5301" s="1"/>
      <c r="D5301" s="1"/>
    </row>
    <row r="5302" spans="3:4" x14ac:dyDescent="0.25">
      <c r="C5302" s="1"/>
      <c r="D5302" s="1"/>
    </row>
    <row r="5303" spans="3:4" x14ac:dyDescent="0.25">
      <c r="C5303" s="1"/>
      <c r="D5303" s="1"/>
    </row>
    <row r="5304" spans="3:4" x14ac:dyDescent="0.25">
      <c r="C5304" s="1"/>
      <c r="D5304" s="1"/>
    </row>
    <row r="5305" spans="3:4" x14ac:dyDescent="0.25">
      <c r="C5305" s="1"/>
      <c r="D5305" s="1"/>
    </row>
    <row r="5306" spans="3:4" x14ac:dyDescent="0.25">
      <c r="C5306" s="1"/>
      <c r="D5306" s="1"/>
    </row>
    <row r="5307" spans="3:4" x14ac:dyDescent="0.25">
      <c r="C5307" s="1"/>
      <c r="D5307" s="1"/>
    </row>
    <row r="5308" spans="3:4" x14ac:dyDescent="0.25">
      <c r="C5308" s="1"/>
      <c r="D5308" s="1"/>
    </row>
    <row r="5309" spans="3:4" x14ac:dyDescent="0.25">
      <c r="C5309" s="1"/>
      <c r="D5309" s="1"/>
    </row>
    <row r="5310" spans="3:4" x14ac:dyDescent="0.25">
      <c r="C5310" s="1"/>
      <c r="D5310" s="1"/>
    </row>
    <row r="5311" spans="3:4" x14ac:dyDescent="0.25">
      <c r="C5311" s="1"/>
      <c r="D5311" s="1"/>
    </row>
    <row r="5312" spans="3:4" x14ac:dyDescent="0.25">
      <c r="C5312" s="1"/>
      <c r="D5312" s="1"/>
    </row>
    <row r="5313" spans="3:4" x14ac:dyDescent="0.25">
      <c r="C5313" s="1"/>
      <c r="D5313" s="1"/>
    </row>
    <row r="5314" spans="3:4" x14ac:dyDescent="0.25">
      <c r="C5314" s="1"/>
      <c r="D5314" s="1"/>
    </row>
    <row r="5315" spans="3:4" x14ac:dyDescent="0.25">
      <c r="C5315" s="1"/>
      <c r="D5315" s="1"/>
    </row>
    <row r="5316" spans="3:4" x14ac:dyDescent="0.25">
      <c r="C5316" s="1"/>
      <c r="D5316" s="1"/>
    </row>
    <row r="5317" spans="3:4" x14ac:dyDescent="0.25">
      <c r="C5317" s="1"/>
      <c r="D5317" s="1"/>
    </row>
    <row r="5318" spans="3:4" x14ac:dyDescent="0.25">
      <c r="C5318" s="1"/>
      <c r="D5318" s="1"/>
    </row>
    <row r="5319" spans="3:4" x14ac:dyDescent="0.25">
      <c r="C5319" s="1"/>
      <c r="D5319" s="1"/>
    </row>
    <row r="5320" spans="3:4" x14ac:dyDescent="0.25">
      <c r="C5320" s="1"/>
      <c r="D5320" s="1"/>
    </row>
    <row r="5321" spans="3:4" x14ac:dyDescent="0.25">
      <c r="C5321" s="1"/>
      <c r="D5321" s="1"/>
    </row>
    <row r="5322" spans="3:4" x14ac:dyDescent="0.25">
      <c r="C5322" s="1"/>
      <c r="D5322" s="1"/>
    </row>
    <row r="5323" spans="3:4" x14ac:dyDescent="0.25">
      <c r="C5323" s="1"/>
      <c r="D5323" s="1"/>
    </row>
    <row r="5324" spans="3:4" x14ac:dyDescent="0.25">
      <c r="C5324" s="1"/>
      <c r="D5324" s="1"/>
    </row>
    <row r="5325" spans="3:4" x14ac:dyDescent="0.25">
      <c r="C5325" s="1"/>
      <c r="D5325" s="1"/>
    </row>
    <row r="5326" spans="3:4" x14ac:dyDescent="0.25">
      <c r="C5326" s="1"/>
      <c r="D5326" s="1"/>
    </row>
    <row r="5327" spans="3:4" x14ac:dyDescent="0.25">
      <c r="C5327" s="1"/>
      <c r="D5327" s="1"/>
    </row>
    <row r="5328" spans="3:4" x14ac:dyDescent="0.25">
      <c r="C5328" s="1"/>
      <c r="D5328" s="1"/>
    </row>
    <row r="5329" spans="3:4" x14ac:dyDescent="0.25">
      <c r="C5329" s="1"/>
      <c r="D5329" s="1"/>
    </row>
    <row r="5330" spans="3:4" x14ac:dyDescent="0.25">
      <c r="C5330" s="1"/>
      <c r="D5330" s="1"/>
    </row>
    <row r="5331" spans="3:4" x14ac:dyDescent="0.25">
      <c r="C5331" s="1"/>
      <c r="D5331" s="1"/>
    </row>
    <row r="5332" spans="3:4" x14ac:dyDescent="0.25">
      <c r="C5332" s="1"/>
      <c r="D5332" s="1"/>
    </row>
    <row r="5333" spans="3:4" x14ac:dyDescent="0.25">
      <c r="C5333" s="1"/>
      <c r="D5333" s="1"/>
    </row>
    <row r="5334" spans="3:4" x14ac:dyDescent="0.25">
      <c r="C5334" s="1"/>
      <c r="D5334" s="1"/>
    </row>
    <row r="5335" spans="3:4" x14ac:dyDescent="0.25">
      <c r="C5335" s="1"/>
      <c r="D5335" s="1"/>
    </row>
    <row r="5336" spans="3:4" x14ac:dyDescent="0.25">
      <c r="C5336" s="1"/>
      <c r="D5336" s="1"/>
    </row>
    <row r="5337" spans="3:4" x14ac:dyDescent="0.25">
      <c r="C5337" s="1"/>
      <c r="D5337" s="1"/>
    </row>
    <row r="5338" spans="3:4" x14ac:dyDescent="0.25">
      <c r="C5338" s="1"/>
      <c r="D5338" s="1"/>
    </row>
    <row r="5339" spans="3:4" x14ac:dyDescent="0.25">
      <c r="C5339" s="1"/>
      <c r="D5339" s="1"/>
    </row>
    <row r="5340" spans="3:4" x14ac:dyDescent="0.25">
      <c r="C5340" s="1"/>
      <c r="D5340" s="1"/>
    </row>
    <row r="5341" spans="3:4" x14ac:dyDescent="0.25">
      <c r="C5341" s="1"/>
      <c r="D5341" s="1"/>
    </row>
    <row r="5342" spans="3:4" x14ac:dyDescent="0.25">
      <c r="C5342" s="1"/>
      <c r="D5342" s="1"/>
    </row>
    <row r="5343" spans="3:4" x14ac:dyDescent="0.25">
      <c r="C5343" s="1"/>
      <c r="D5343" s="1"/>
    </row>
    <row r="5344" spans="3:4" x14ac:dyDescent="0.25">
      <c r="C5344" s="1"/>
      <c r="D5344" s="1"/>
    </row>
    <row r="5345" spans="3:4" x14ac:dyDescent="0.25">
      <c r="C5345" s="1"/>
      <c r="D5345" s="1"/>
    </row>
    <row r="5346" spans="3:4" x14ac:dyDescent="0.25">
      <c r="C5346" s="1"/>
      <c r="D5346" s="1"/>
    </row>
    <row r="5347" spans="3:4" x14ac:dyDescent="0.25">
      <c r="C5347" s="1"/>
      <c r="D5347" s="1"/>
    </row>
    <row r="5348" spans="3:4" x14ac:dyDescent="0.25">
      <c r="C5348" s="1"/>
      <c r="D5348" s="1"/>
    </row>
    <row r="5349" spans="3:4" x14ac:dyDescent="0.25">
      <c r="C5349" s="1"/>
      <c r="D5349" s="1"/>
    </row>
    <row r="5350" spans="3:4" x14ac:dyDescent="0.25">
      <c r="C5350" s="1"/>
      <c r="D5350" s="1"/>
    </row>
    <row r="5351" spans="3:4" x14ac:dyDescent="0.25">
      <c r="C5351" s="1"/>
      <c r="D5351" s="1"/>
    </row>
    <row r="5352" spans="3:4" x14ac:dyDescent="0.25">
      <c r="C5352" s="1"/>
      <c r="D5352" s="1"/>
    </row>
    <row r="5353" spans="3:4" x14ac:dyDescent="0.25">
      <c r="C5353" s="1"/>
      <c r="D5353" s="1"/>
    </row>
    <row r="5354" spans="3:4" x14ac:dyDescent="0.25">
      <c r="C5354" s="1"/>
      <c r="D5354" s="1"/>
    </row>
    <row r="5355" spans="3:4" x14ac:dyDescent="0.25">
      <c r="C5355" s="1"/>
      <c r="D5355" s="1"/>
    </row>
    <row r="5356" spans="3:4" x14ac:dyDescent="0.25">
      <c r="C5356" s="1"/>
      <c r="D5356" s="1"/>
    </row>
    <row r="5357" spans="3:4" x14ac:dyDescent="0.25">
      <c r="C5357" s="1"/>
      <c r="D5357" s="1"/>
    </row>
    <row r="5358" spans="3:4" x14ac:dyDescent="0.25">
      <c r="C5358" s="1"/>
      <c r="D5358" s="1"/>
    </row>
    <row r="5359" spans="3:4" x14ac:dyDescent="0.25">
      <c r="C5359" s="1"/>
      <c r="D5359" s="1"/>
    </row>
    <row r="5360" spans="3:4" x14ac:dyDescent="0.25">
      <c r="C5360" s="1"/>
      <c r="D5360" s="1"/>
    </row>
    <row r="5361" spans="3:4" x14ac:dyDescent="0.25">
      <c r="C5361" s="1"/>
      <c r="D5361" s="1"/>
    </row>
    <row r="5362" spans="3:4" x14ac:dyDescent="0.25">
      <c r="C5362" s="1"/>
      <c r="D5362" s="1"/>
    </row>
    <row r="5363" spans="3:4" x14ac:dyDescent="0.25">
      <c r="C5363" s="1"/>
      <c r="D5363" s="1"/>
    </row>
    <row r="5364" spans="3:4" x14ac:dyDescent="0.25">
      <c r="C5364" s="1"/>
      <c r="D5364" s="1"/>
    </row>
    <row r="5365" spans="3:4" x14ac:dyDescent="0.25">
      <c r="C5365" s="1"/>
      <c r="D5365" s="1"/>
    </row>
    <row r="5366" spans="3:4" x14ac:dyDescent="0.25">
      <c r="C5366" s="1"/>
      <c r="D5366" s="1"/>
    </row>
    <row r="5367" spans="3:4" x14ac:dyDescent="0.25">
      <c r="C5367" s="1"/>
      <c r="D5367" s="1"/>
    </row>
    <row r="5368" spans="3:4" x14ac:dyDescent="0.25">
      <c r="C5368" s="1"/>
      <c r="D5368" s="1"/>
    </row>
    <row r="5369" spans="3:4" x14ac:dyDescent="0.25">
      <c r="C5369" s="1"/>
      <c r="D5369" s="1"/>
    </row>
    <row r="5370" spans="3:4" x14ac:dyDescent="0.25">
      <c r="C5370" s="1"/>
      <c r="D5370" s="1"/>
    </row>
    <row r="5371" spans="3:4" x14ac:dyDescent="0.25">
      <c r="C5371" s="1"/>
      <c r="D5371" s="1"/>
    </row>
    <row r="5372" spans="3:4" x14ac:dyDescent="0.25">
      <c r="C5372" s="1"/>
      <c r="D5372" s="1"/>
    </row>
    <row r="5373" spans="3:4" x14ac:dyDescent="0.25">
      <c r="C5373" s="1"/>
      <c r="D5373" s="1"/>
    </row>
    <row r="5374" spans="3:4" x14ac:dyDescent="0.25">
      <c r="C5374" s="1"/>
      <c r="D5374" s="1"/>
    </row>
    <row r="5375" spans="3:4" x14ac:dyDescent="0.25">
      <c r="C5375" s="1"/>
      <c r="D5375" s="1"/>
    </row>
    <row r="5376" spans="3:4" x14ac:dyDescent="0.25">
      <c r="C5376" s="1"/>
      <c r="D5376" s="1"/>
    </row>
    <row r="5377" spans="3:4" x14ac:dyDescent="0.25">
      <c r="C5377" s="1"/>
      <c r="D5377" s="1"/>
    </row>
    <row r="5378" spans="3:4" x14ac:dyDescent="0.25">
      <c r="C5378" s="1"/>
      <c r="D5378" s="1"/>
    </row>
    <row r="5379" spans="3:4" x14ac:dyDescent="0.25">
      <c r="C5379" s="1"/>
      <c r="D5379" s="1"/>
    </row>
    <row r="5380" spans="3:4" x14ac:dyDescent="0.25">
      <c r="C5380" s="1"/>
      <c r="D5380" s="1"/>
    </row>
    <row r="5381" spans="3:4" x14ac:dyDescent="0.25">
      <c r="C5381" s="1"/>
      <c r="D5381" s="1"/>
    </row>
    <row r="5382" spans="3:4" x14ac:dyDescent="0.25">
      <c r="C5382" s="1"/>
      <c r="D5382" s="1"/>
    </row>
    <row r="5383" spans="3:4" x14ac:dyDescent="0.25">
      <c r="C5383" s="1"/>
      <c r="D5383" s="1"/>
    </row>
    <row r="5384" spans="3:4" x14ac:dyDescent="0.25">
      <c r="C5384" s="1"/>
      <c r="D5384" s="1"/>
    </row>
    <row r="5385" spans="3:4" x14ac:dyDescent="0.25">
      <c r="C5385" s="1"/>
      <c r="D5385" s="1"/>
    </row>
    <row r="5386" spans="3:4" x14ac:dyDescent="0.25">
      <c r="C5386" s="1"/>
      <c r="D5386" s="1"/>
    </row>
    <row r="5387" spans="3:4" x14ac:dyDescent="0.25">
      <c r="C5387" s="1"/>
      <c r="D5387" s="1"/>
    </row>
    <row r="5388" spans="3:4" x14ac:dyDescent="0.25">
      <c r="C5388" s="1"/>
      <c r="D5388" s="1"/>
    </row>
    <row r="5389" spans="3:4" x14ac:dyDescent="0.25">
      <c r="C5389" s="1"/>
      <c r="D5389" s="1"/>
    </row>
    <row r="5390" spans="3:4" x14ac:dyDescent="0.25">
      <c r="C5390" s="1"/>
      <c r="D5390" s="1"/>
    </row>
    <row r="5391" spans="3:4" x14ac:dyDescent="0.25">
      <c r="C5391" s="1"/>
      <c r="D5391" s="1"/>
    </row>
    <row r="5392" spans="3:4" x14ac:dyDescent="0.25">
      <c r="C5392" s="1"/>
      <c r="D5392" s="1"/>
    </row>
    <row r="5393" spans="3:4" x14ac:dyDescent="0.25">
      <c r="C5393" s="1"/>
      <c r="D5393" s="1"/>
    </row>
    <row r="5394" spans="3:4" x14ac:dyDescent="0.25">
      <c r="C5394" s="1"/>
      <c r="D5394" s="1"/>
    </row>
    <row r="5395" spans="3:4" x14ac:dyDescent="0.25">
      <c r="C5395" s="1"/>
      <c r="D5395" s="1"/>
    </row>
    <row r="5396" spans="3:4" x14ac:dyDescent="0.25">
      <c r="C5396" s="1"/>
      <c r="D5396" s="1"/>
    </row>
    <row r="5397" spans="3:4" x14ac:dyDescent="0.25">
      <c r="C5397" s="1"/>
      <c r="D5397" s="1"/>
    </row>
    <row r="5398" spans="3:4" x14ac:dyDescent="0.25">
      <c r="C5398" s="1"/>
      <c r="D5398" s="1"/>
    </row>
    <row r="5399" spans="3:4" x14ac:dyDescent="0.25">
      <c r="C5399" s="1"/>
      <c r="D5399" s="1"/>
    </row>
    <row r="5400" spans="3:4" x14ac:dyDescent="0.25">
      <c r="C5400" s="1"/>
      <c r="D5400" s="1"/>
    </row>
    <row r="5401" spans="3:4" x14ac:dyDescent="0.25">
      <c r="C5401" s="1"/>
      <c r="D5401" s="1"/>
    </row>
    <row r="5402" spans="3:4" x14ac:dyDescent="0.25">
      <c r="C5402" s="1"/>
      <c r="D5402" s="1"/>
    </row>
    <row r="5403" spans="3:4" x14ac:dyDescent="0.25">
      <c r="C5403" s="1"/>
      <c r="D5403" s="1"/>
    </row>
    <row r="5404" spans="3:4" x14ac:dyDescent="0.25">
      <c r="C5404" s="1"/>
      <c r="D5404" s="1"/>
    </row>
    <row r="5405" spans="3:4" x14ac:dyDescent="0.25">
      <c r="C5405" s="1"/>
      <c r="D5405" s="1"/>
    </row>
    <row r="5406" spans="3:4" x14ac:dyDescent="0.25">
      <c r="C5406" s="1"/>
      <c r="D5406" s="1"/>
    </row>
    <row r="5407" spans="3:4" x14ac:dyDescent="0.25">
      <c r="C5407" s="1"/>
      <c r="D5407" s="1"/>
    </row>
    <row r="5408" spans="3:4" x14ac:dyDescent="0.25">
      <c r="C5408" s="1"/>
      <c r="D5408" s="1"/>
    </row>
    <row r="5409" spans="3:4" x14ac:dyDescent="0.25">
      <c r="C5409" s="1"/>
      <c r="D5409" s="1"/>
    </row>
    <row r="5410" spans="3:4" x14ac:dyDescent="0.25">
      <c r="C5410" s="1"/>
      <c r="D5410" s="1"/>
    </row>
    <row r="5411" spans="3:4" x14ac:dyDescent="0.25">
      <c r="C5411" s="1"/>
      <c r="D5411" s="1"/>
    </row>
    <row r="5412" spans="3:4" x14ac:dyDescent="0.25">
      <c r="C5412" s="1"/>
      <c r="D5412" s="1"/>
    </row>
    <row r="5413" spans="3:4" x14ac:dyDescent="0.25">
      <c r="C5413" s="1"/>
      <c r="D5413" s="1"/>
    </row>
    <row r="5414" spans="3:4" x14ac:dyDescent="0.25">
      <c r="C5414" s="1"/>
      <c r="D5414" s="1"/>
    </row>
    <row r="5415" spans="3:4" x14ac:dyDescent="0.25">
      <c r="C5415" s="1"/>
      <c r="D5415" s="1"/>
    </row>
    <row r="5416" spans="3:4" x14ac:dyDescent="0.25">
      <c r="C5416" s="1"/>
      <c r="D5416" s="1"/>
    </row>
    <row r="5417" spans="3:4" x14ac:dyDescent="0.25">
      <c r="C5417" s="1"/>
      <c r="D5417" s="1"/>
    </row>
    <row r="5418" spans="3:4" x14ac:dyDescent="0.25">
      <c r="C5418" s="1"/>
      <c r="D5418" s="1"/>
    </row>
    <row r="5419" spans="3:4" x14ac:dyDescent="0.25">
      <c r="C5419" s="1"/>
      <c r="D5419" s="1"/>
    </row>
    <row r="5420" spans="3:4" x14ac:dyDescent="0.25">
      <c r="C5420" s="1"/>
      <c r="D5420" s="1"/>
    </row>
    <row r="5421" spans="3:4" x14ac:dyDescent="0.25">
      <c r="C5421" s="1"/>
      <c r="D5421" s="1"/>
    </row>
    <row r="5422" spans="3:4" x14ac:dyDescent="0.25">
      <c r="C5422" s="1"/>
      <c r="D5422" s="1"/>
    </row>
    <row r="5423" spans="3:4" x14ac:dyDescent="0.25">
      <c r="C5423" s="1"/>
      <c r="D5423" s="1"/>
    </row>
    <row r="5424" spans="3:4" x14ac:dyDescent="0.25">
      <c r="C5424" s="1"/>
      <c r="D5424" s="1"/>
    </row>
    <row r="5425" spans="3:4" x14ac:dyDescent="0.25">
      <c r="C5425" s="1"/>
      <c r="D5425" s="1"/>
    </row>
    <row r="5426" spans="3:4" x14ac:dyDescent="0.25">
      <c r="C5426" s="1"/>
      <c r="D5426" s="1"/>
    </row>
    <row r="5427" spans="3:4" x14ac:dyDescent="0.25">
      <c r="C5427" s="1"/>
      <c r="D5427" s="1"/>
    </row>
    <row r="5428" spans="3:4" x14ac:dyDescent="0.25">
      <c r="C5428" s="1"/>
      <c r="D5428" s="1"/>
    </row>
    <row r="5429" spans="3:4" x14ac:dyDescent="0.25">
      <c r="C5429" s="1"/>
      <c r="D5429" s="1"/>
    </row>
    <row r="5430" spans="3:4" x14ac:dyDescent="0.25">
      <c r="C5430" s="1"/>
      <c r="D5430" s="1"/>
    </row>
    <row r="5431" spans="3:4" x14ac:dyDescent="0.25">
      <c r="C5431" s="1"/>
      <c r="D5431" s="1"/>
    </row>
    <row r="5432" spans="3:4" x14ac:dyDescent="0.25">
      <c r="C5432" s="1"/>
      <c r="D5432" s="1"/>
    </row>
    <row r="5433" spans="3:4" x14ac:dyDescent="0.25">
      <c r="C5433" s="1"/>
      <c r="D5433" s="1"/>
    </row>
    <row r="5434" spans="3:4" x14ac:dyDescent="0.25">
      <c r="C5434" s="1"/>
      <c r="D5434" s="1"/>
    </row>
    <row r="5435" spans="3:4" x14ac:dyDescent="0.25">
      <c r="C5435" s="1"/>
      <c r="D5435" s="1"/>
    </row>
    <row r="5436" spans="3:4" x14ac:dyDescent="0.25">
      <c r="C5436" s="1"/>
      <c r="D5436" s="1"/>
    </row>
    <row r="5437" spans="3:4" x14ac:dyDescent="0.25">
      <c r="C5437" s="1"/>
      <c r="D5437" s="1"/>
    </row>
    <row r="5438" spans="3:4" x14ac:dyDescent="0.25">
      <c r="C5438" s="1"/>
      <c r="D5438" s="1"/>
    </row>
    <row r="5439" spans="3:4" x14ac:dyDescent="0.25">
      <c r="C5439" s="1"/>
      <c r="D5439" s="1"/>
    </row>
    <row r="5440" spans="3:4" x14ac:dyDescent="0.25">
      <c r="C5440" s="1"/>
      <c r="D5440" s="1"/>
    </row>
    <row r="5441" spans="3:4" x14ac:dyDescent="0.25">
      <c r="C5441" s="1"/>
      <c r="D5441" s="1"/>
    </row>
    <row r="5442" spans="3:4" x14ac:dyDescent="0.25">
      <c r="C5442" s="1"/>
      <c r="D5442" s="1"/>
    </row>
    <row r="5443" spans="3:4" x14ac:dyDescent="0.25">
      <c r="C5443" s="1"/>
      <c r="D5443" s="1"/>
    </row>
    <row r="5444" spans="3:4" x14ac:dyDescent="0.25">
      <c r="C5444" s="1"/>
      <c r="D5444" s="1"/>
    </row>
    <row r="5445" spans="3:4" x14ac:dyDescent="0.25">
      <c r="C5445" s="1"/>
      <c r="D5445" s="1"/>
    </row>
    <row r="5446" spans="3:4" x14ac:dyDescent="0.25">
      <c r="C5446" s="1"/>
      <c r="D5446" s="1"/>
    </row>
    <row r="5447" spans="3:4" x14ac:dyDescent="0.25">
      <c r="C5447" s="1"/>
      <c r="D5447" s="1"/>
    </row>
    <row r="5448" spans="3:4" x14ac:dyDescent="0.25">
      <c r="C5448" s="1"/>
      <c r="D5448" s="1"/>
    </row>
    <row r="5449" spans="3:4" x14ac:dyDescent="0.25">
      <c r="C5449" s="1"/>
      <c r="D5449" s="1"/>
    </row>
    <row r="5450" spans="3:4" x14ac:dyDescent="0.25">
      <c r="C5450" s="1"/>
      <c r="D5450" s="1"/>
    </row>
    <row r="5451" spans="3:4" x14ac:dyDescent="0.25">
      <c r="C5451" s="1"/>
      <c r="D5451" s="1"/>
    </row>
    <row r="5452" spans="3:4" x14ac:dyDescent="0.25">
      <c r="C5452" s="1"/>
      <c r="D5452" s="1"/>
    </row>
    <row r="5453" spans="3:4" x14ac:dyDescent="0.25">
      <c r="C5453" s="1"/>
      <c r="D5453" s="1"/>
    </row>
    <row r="5454" spans="3:4" x14ac:dyDescent="0.25">
      <c r="C5454" s="1"/>
      <c r="D5454" s="1"/>
    </row>
    <row r="5455" spans="3:4" x14ac:dyDescent="0.25">
      <c r="C5455" s="1"/>
      <c r="D5455" s="1"/>
    </row>
    <row r="5456" spans="3:4" x14ac:dyDescent="0.25">
      <c r="C5456" s="1"/>
      <c r="D5456" s="1"/>
    </row>
    <row r="5457" spans="3:4" x14ac:dyDescent="0.25">
      <c r="C5457" s="1"/>
      <c r="D5457" s="1"/>
    </row>
    <row r="5458" spans="3:4" x14ac:dyDescent="0.25">
      <c r="C5458" s="1"/>
      <c r="D5458" s="1"/>
    </row>
    <row r="5459" spans="3:4" x14ac:dyDescent="0.25">
      <c r="C5459" s="1"/>
      <c r="D5459" s="1"/>
    </row>
    <row r="5460" spans="3:4" x14ac:dyDescent="0.25">
      <c r="C5460" s="1"/>
      <c r="D5460" s="1"/>
    </row>
    <row r="5461" spans="3:4" x14ac:dyDescent="0.25">
      <c r="C5461" s="1"/>
      <c r="D5461" s="1"/>
    </row>
    <row r="5462" spans="3:4" x14ac:dyDescent="0.25">
      <c r="C5462" s="1"/>
      <c r="D5462" s="1"/>
    </row>
    <row r="5463" spans="3:4" x14ac:dyDescent="0.25">
      <c r="C5463" s="1"/>
      <c r="D5463" s="1"/>
    </row>
    <row r="5464" spans="3:4" x14ac:dyDescent="0.25">
      <c r="C5464" s="1"/>
      <c r="D5464" s="1"/>
    </row>
    <row r="5465" spans="3:4" x14ac:dyDescent="0.25">
      <c r="C5465" s="1"/>
      <c r="D5465" s="1"/>
    </row>
    <row r="5466" spans="3:4" x14ac:dyDescent="0.25">
      <c r="C5466" s="1"/>
      <c r="D5466" s="1"/>
    </row>
    <row r="5467" spans="3:4" x14ac:dyDescent="0.25">
      <c r="C5467" s="1"/>
      <c r="D5467" s="1"/>
    </row>
    <row r="5468" spans="3:4" x14ac:dyDescent="0.25">
      <c r="C5468" s="1"/>
      <c r="D5468" s="1"/>
    </row>
    <row r="5469" spans="3:4" x14ac:dyDescent="0.25">
      <c r="C5469" s="1"/>
      <c r="D5469" s="1"/>
    </row>
    <row r="5470" spans="3:4" x14ac:dyDescent="0.25">
      <c r="C5470" s="1"/>
      <c r="D5470" s="1"/>
    </row>
    <row r="5471" spans="3:4" x14ac:dyDescent="0.25">
      <c r="C5471" s="1"/>
      <c r="D5471" s="1"/>
    </row>
    <row r="5472" spans="3:4" x14ac:dyDescent="0.25">
      <c r="C5472" s="1"/>
      <c r="D5472" s="1"/>
    </row>
    <row r="5473" spans="3:4" x14ac:dyDescent="0.25">
      <c r="C5473" s="1"/>
      <c r="D5473" s="1"/>
    </row>
    <row r="5474" spans="3:4" x14ac:dyDescent="0.25">
      <c r="C5474" s="1"/>
      <c r="D5474" s="1"/>
    </row>
    <row r="5475" spans="3:4" x14ac:dyDescent="0.25">
      <c r="C5475" s="1"/>
      <c r="D5475" s="1"/>
    </row>
    <row r="5476" spans="3:4" x14ac:dyDescent="0.25">
      <c r="C5476" s="1"/>
      <c r="D5476" s="1"/>
    </row>
    <row r="5477" spans="3:4" x14ac:dyDescent="0.25">
      <c r="C5477" s="1"/>
      <c r="D5477" s="1"/>
    </row>
    <row r="5478" spans="3:4" x14ac:dyDescent="0.25">
      <c r="C5478" s="1"/>
      <c r="D5478" s="1"/>
    </row>
    <row r="5479" spans="3:4" x14ac:dyDescent="0.25">
      <c r="C5479" s="1"/>
      <c r="D5479" s="1"/>
    </row>
    <row r="5480" spans="3:4" x14ac:dyDescent="0.25">
      <c r="C5480" s="1"/>
      <c r="D5480" s="1"/>
    </row>
    <row r="5481" spans="3:4" x14ac:dyDescent="0.25">
      <c r="C5481" s="1"/>
      <c r="D5481" s="1"/>
    </row>
    <row r="5482" spans="3:4" x14ac:dyDescent="0.25">
      <c r="C5482" s="1"/>
      <c r="D5482" s="1"/>
    </row>
    <row r="5483" spans="3:4" x14ac:dyDescent="0.25">
      <c r="C5483" s="1"/>
      <c r="D5483" s="1"/>
    </row>
    <row r="5484" spans="3:4" x14ac:dyDescent="0.25">
      <c r="C5484" s="1"/>
      <c r="D5484" s="1"/>
    </row>
    <row r="5485" spans="3:4" x14ac:dyDescent="0.25">
      <c r="C5485" s="1"/>
      <c r="D5485" s="1"/>
    </row>
    <row r="5486" spans="3:4" x14ac:dyDescent="0.25">
      <c r="C5486" s="1"/>
      <c r="D5486" s="1"/>
    </row>
    <row r="5487" spans="3:4" x14ac:dyDescent="0.25">
      <c r="C5487" s="1"/>
      <c r="D5487" s="1"/>
    </row>
    <row r="5488" spans="3:4" x14ac:dyDescent="0.25">
      <c r="C5488" s="1"/>
      <c r="D5488" s="1"/>
    </row>
    <row r="5489" spans="3:4" x14ac:dyDescent="0.25">
      <c r="C5489" s="1"/>
      <c r="D5489" s="1"/>
    </row>
    <row r="5490" spans="3:4" x14ac:dyDescent="0.25">
      <c r="C5490" s="1"/>
      <c r="D5490" s="1"/>
    </row>
    <row r="5491" spans="3:4" x14ac:dyDescent="0.25">
      <c r="C5491" s="1"/>
      <c r="D5491" s="1"/>
    </row>
    <row r="5492" spans="3:4" x14ac:dyDescent="0.25">
      <c r="C5492" s="1"/>
      <c r="D5492" s="1"/>
    </row>
    <row r="5493" spans="3:4" x14ac:dyDescent="0.25">
      <c r="C5493" s="1"/>
      <c r="D5493" s="1"/>
    </row>
    <row r="5494" spans="3:4" x14ac:dyDescent="0.25">
      <c r="C5494" s="1"/>
      <c r="D5494" s="1"/>
    </row>
    <row r="5495" spans="3:4" x14ac:dyDescent="0.25">
      <c r="C5495" s="1"/>
      <c r="D5495" s="1"/>
    </row>
    <row r="5496" spans="3:4" x14ac:dyDescent="0.25">
      <c r="C5496" s="1"/>
      <c r="D5496" s="1"/>
    </row>
    <row r="5497" spans="3:4" x14ac:dyDescent="0.25">
      <c r="C5497" s="1"/>
      <c r="D5497" s="1"/>
    </row>
    <row r="5498" spans="3:4" x14ac:dyDescent="0.25">
      <c r="C5498" s="1"/>
      <c r="D5498" s="1"/>
    </row>
    <row r="5499" spans="3:4" x14ac:dyDescent="0.25">
      <c r="C5499" s="1"/>
      <c r="D5499" s="1"/>
    </row>
    <row r="5500" spans="3:4" x14ac:dyDescent="0.25">
      <c r="C5500" s="1"/>
      <c r="D5500" s="1"/>
    </row>
    <row r="5501" spans="3:4" x14ac:dyDescent="0.25">
      <c r="C5501" s="1"/>
      <c r="D5501" s="1"/>
    </row>
    <row r="5502" spans="3:4" x14ac:dyDescent="0.25">
      <c r="C5502" s="1"/>
      <c r="D5502" s="1"/>
    </row>
    <row r="5503" spans="3:4" x14ac:dyDescent="0.25">
      <c r="C5503" s="1"/>
      <c r="D5503" s="1"/>
    </row>
    <row r="5504" spans="3:4" x14ac:dyDescent="0.25">
      <c r="C5504" s="1"/>
      <c r="D5504" s="1"/>
    </row>
    <row r="5505" spans="3:4" x14ac:dyDescent="0.25">
      <c r="C5505" s="1"/>
      <c r="D5505" s="1"/>
    </row>
    <row r="5506" spans="3:4" x14ac:dyDescent="0.25">
      <c r="C5506" s="1"/>
      <c r="D5506" s="1"/>
    </row>
    <row r="5507" spans="3:4" x14ac:dyDescent="0.25">
      <c r="C5507" s="1"/>
      <c r="D5507" s="1"/>
    </row>
    <row r="5508" spans="3:4" x14ac:dyDescent="0.25">
      <c r="C5508" s="1"/>
      <c r="D5508" s="1"/>
    </row>
    <row r="5509" spans="3:4" x14ac:dyDescent="0.25">
      <c r="C5509" s="1"/>
      <c r="D5509" s="1"/>
    </row>
    <row r="5510" spans="3:4" x14ac:dyDescent="0.25">
      <c r="C5510" s="1"/>
      <c r="D5510" s="1"/>
    </row>
    <row r="5511" spans="3:4" x14ac:dyDescent="0.25">
      <c r="C5511" s="1"/>
      <c r="D5511" s="1"/>
    </row>
    <row r="5512" spans="3:4" x14ac:dyDescent="0.25">
      <c r="C5512" s="1"/>
      <c r="D5512" s="1"/>
    </row>
    <row r="5513" spans="3:4" x14ac:dyDescent="0.25">
      <c r="C5513" s="1"/>
      <c r="D5513" s="1"/>
    </row>
    <row r="5514" spans="3:4" x14ac:dyDescent="0.25">
      <c r="C5514" s="1"/>
      <c r="D5514" s="1"/>
    </row>
    <row r="5515" spans="3:4" x14ac:dyDescent="0.25">
      <c r="C5515" s="1"/>
      <c r="D5515" s="1"/>
    </row>
    <row r="5516" spans="3:4" x14ac:dyDescent="0.25">
      <c r="C5516" s="1"/>
      <c r="D5516" s="1"/>
    </row>
    <row r="5517" spans="3:4" x14ac:dyDescent="0.25">
      <c r="C5517" s="1"/>
      <c r="D5517" s="1"/>
    </row>
    <row r="5518" spans="3:4" x14ac:dyDescent="0.25">
      <c r="C5518" s="1"/>
      <c r="D5518" s="1"/>
    </row>
    <row r="5519" spans="3:4" x14ac:dyDescent="0.25">
      <c r="C5519" s="1"/>
      <c r="D5519" s="1"/>
    </row>
    <row r="5520" spans="3:4" x14ac:dyDescent="0.25">
      <c r="C5520" s="1"/>
      <c r="D5520" s="1"/>
    </row>
    <row r="5521" spans="3:4" x14ac:dyDescent="0.25">
      <c r="C5521" s="1"/>
      <c r="D5521" s="1"/>
    </row>
    <row r="5522" spans="3:4" x14ac:dyDescent="0.25">
      <c r="C5522" s="1"/>
      <c r="D5522" s="1"/>
    </row>
    <row r="5523" spans="3:4" x14ac:dyDescent="0.25">
      <c r="C5523" s="1"/>
      <c r="D5523" s="1"/>
    </row>
    <row r="5524" spans="3:4" x14ac:dyDescent="0.25">
      <c r="C5524" s="1"/>
      <c r="D5524" s="1"/>
    </row>
    <row r="5525" spans="3:4" x14ac:dyDescent="0.25">
      <c r="C5525" s="1"/>
      <c r="D5525" s="1"/>
    </row>
    <row r="5526" spans="3:4" x14ac:dyDescent="0.25">
      <c r="C5526" s="1"/>
      <c r="D5526" s="1"/>
    </row>
    <row r="5527" spans="3:4" x14ac:dyDescent="0.25">
      <c r="C5527" s="1"/>
      <c r="D5527" s="1"/>
    </row>
    <row r="5528" spans="3:4" x14ac:dyDescent="0.25">
      <c r="C5528" s="1"/>
      <c r="D5528" s="1"/>
    </row>
    <row r="5529" spans="3:4" x14ac:dyDescent="0.25">
      <c r="C5529" s="1"/>
      <c r="D5529" s="1"/>
    </row>
    <row r="5530" spans="3:4" x14ac:dyDescent="0.25">
      <c r="C5530" s="1"/>
      <c r="D5530" s="1"/>
    </row>
    <row r="5531" spans="3:4" x14ac:dyDescent="0.25">
      <c r="C5531" s="1"/>
      <c r="D5531" s="1"/>
    </row>
    <row r="5532" spans="3:4" x14ac:dyDescent="0.25">
      <c r="C5532" s="1"/>
      <c r="D5532" s="1"/>
    </row>
    <row r="5533" spans="3:4" x14ac:dyDescent="0.25">
      <c r="C5533" s="1"/>
      <c r="D5533" s="1"/>
    </row>
    <row r="5534" spans="3:4" x14ac:dyDescent="0.25">
      <c r="C5534" s="1"/>
      <c r="D5534" s="1"/>
    </row>
    <row r="5535" spans="3:4" x14ac:dyDescent="0.25">
      <c r="C5535" s="1"/>
      <c r="D5535" s="1"/>
    </row>
    <row r="5536" spans="3:4" x14ac:dyDescent="0.25">
      <c r="C5536" s="1"/>
      <c r="D5536" s="1"/>
    </row>
    <row r="5537" spans="3:4" x14ac:dyDescent="0.25">
      <c r="C5537" s="1"/>
      <c r="D5537" s="1"/>
    </row>
    <row r="5538" spans="3:4" x14ac:dyDescent="0.25">
      <c r="C5538" s="1"/>
      <c r="D5538" s="1"/>
    </row>
    <row r="5539" spans="3:4" x14ac:dyDescent="0.25">
      <c r="C5539" s="1"/>
      <c r="D5539" s="1"/>
    </row>
    <row r="5540" spans="3:4" x14ac:dyDescent="0.25">
      <c r="C5540" s="1"/>
      <c r="D5540" s="1"/>
    </row>
    <row r="5541" spans="3:4" x14ac:dyDescent="0.25">
      <c r="C5541" s="1"/>
      <c r="D5541" s="1"/>
    </row>
    <row r="5542" spans="3:4" x14ac:dyDescent="0.25">
      <c r="C5542" s="1"/>
      <c r="D5542" s="1"/>
    </row>
    <row r="5543" spans="3:4" x14ac:dyDescent="0.25">
      <c r="C5543" s="1"/>
      <c r="D5543" s="1"/>
    </row>
    <row r="5544" spans="3:4" x14ac:dyDescent="0.25">
      <c r="C5544" s="1"/>
      <c r="D5544" s="1"/>
    </row>
    <row r="5545" spans="3:4" x14ac:dyDescent="0.25">
      <c r="C5545" s="1"/>
      <c r="D5545" s="1"/>
    </row>
    <row r="5546" spans="3:4" x14ac:dyDescent="0.25">
      <c r="C5546" s="1"/>
      <c r="D5546" s="1"/>
    </row>
    <row r="5547" spans="3:4" x14ac:dyDescent="0.25">
      <c r="C5547" s="1"/>
      <c r="D5547" s="1"/>
    </row>
    <row r="5548" spans="3:4" x14ac:dyDescent="0.25">
      <c r="C5548" s="1"/>
      <c r="D5548" s="1"/>
    </row>
    <row r="5549" spans="3:4" x14ac:dyDescent="0.25">
      <c r="C5549" s="1"/>
      <c r="D5549" s="1"/>
    </row>
    <row r="5550" spans="3:4" x14ac:dyDescent="0.25">
      <c r="C5550" s="1"/>
      <c r="D5550" s="1"/>
    </row>
    <row r="5551" spans="3:4" x14ac:dyDescent="0.25">
      <c r="C5551" s="1"/>
      <c r="D5551" s="1"/>
    </row>
    <row r="5552" spans="3:4" x14ac:dyDescent="0.25">
      <c r="C5552" s="1"/>
      <c r="D5552" s="1"/>
    </row>
    <row r="5553" spans="3:4" x14ac:dyDescent="0.25">
      <c r="C5553" s="1"/>
      <c r="D5553" s="1"/>
    </row>
    <row r="5554" spans="3:4" x14ac:dyDescent="0.25">
      <c r="C5554" s="1"/>
      <c r="D5554" s="1"/>
    </row>
    <row r="5555" spans="3:4" x14ac:dyDescent="0.25">
      <c r="C5555" s="1"/>
      <c r="D5555" s="1"/>
    </row>
    <row r="5556" spans="3:4" x14ac:dyDescent="0.25">
      <c r="C5556" s="1"/>
      <c r="D5556" s="1"/>
    </row>
    <row r="5557" spans="3:4" x14ac:dyDescent="0.25">
      <c r="C5557" s="1"/>
      <c r="D5557" s="1"/>
    </row>
    <row r="5558" spans="3:4" x14ac:dyDescent="0.25">
      <c r="C5558" s="1"/>
      <c r="D5558" s="1"/>
    </row>
    <row r="5559" spans="3:4" x14ac:dyDescent="0.25">
      <c r="C5559" s="1"/>
      <c r="D5559" s="1"/>
    </row>
    <row r="5560" spans="3:4" x14ac:dyDescent="0.25">
      <c r="C5560" s="1"/>
      <c r="D5560" s="1"/>
    </row>
    <row r="5561" spans="3:4" x14ac:dyDescent="0.25">
      <c r="C5561" s="1"/>
      <c r="D5561" s="1"/>
    </row>
    <row r="5562" spans="3:4" x14ac:dyDescent="0.25">
      <c r="C5562" s="1"/>
      <c r="D5562" s="1"/>
    </row>
    <row r="5563" spans="3:4" x14ac:dyDescent="0.25">
      <c r="C5563" s="1"/>
      <c r="D5563" s="1"/>
    </row>
    <row r="5564" spans="3:4" x14ac:dyDescent="0.25">
      <c r="C5564" s="1"/>
      <c r="D5564" s="1"/>
    </row>
    <row r="5565" spans="3:4" x14ac:dyDescent="0.25">
      <c r="C5565" s="1"/>
      <c r="D5565" s="1"/>
    </row>
    <row r="5566" spans="3:4" x14ac:dyDescent="0.25">
      <c r="C5566" s="1"/>
      <c r="D5566" s="1"/>
    </row>
    <row r="5567" spans="3:4" x14ac:dyDescent="0.25">
      <c r="C5567" s="1"/>
      <c r="D5567" s="1"/>
    </row>
    <row r="5568" spans="3:4" x14ac:dyDescent="0.25">
      <c r="C5568" s="1"/>
      <c r="D5568" s="1"/>
    </row>
    <row r="5569" spans="3:4" x14ac:dyDescent="0.25">
      <c r="C5569" s="1"/>
      <c r="D5569" s="1"/>
    </row>
    <row r="5570" spans="3:4" x14ac:dyDescent="0.25">
      <c r="C5570" s="1"/>
      <c r="D5570" s="1"/>
    </row>
    <row r="5571" spans="3:4" x14ac:dyDescent="0.25">
      <c r="C5571" s="1"/>
      <c r="D5571" s="1"/>
    </row>
    <row r="5572" spans="3:4" x14ac:dyDescent="0.25">
      <c r="C5572" s="1"/>
      <c r="D5572" s="1"/>
    </row>
    <row r="5573" spans="3:4" x14ac:dyDescent="0.25">
      <c r="C5573" s="1"/>
      <c r="D5573" s="1"/>
    </row>
    <row r="5574" spans="3:4" x14ac:dyDescent="0.25">
      <c r="C5574" s="1"/>
      <c r="D5574" s="1"/>
    </row>
    <row r="5575" spans="3:4" x14ac:dyDescent="0.25">
      <c r="C5575" s="1"/>
      <c r="D5575" s="1"/>
    </row>
    <row r="5576" spans="3:4" x14ac:dyDescent="0.25">
      <c r="C5576" s="1"/>
      <c r="D5576" s="1"/>
    </row>
    <row r="5577" spans="3:4" x14ac:dyDescent="0.25">
      <c r="C5577" s="1"/>
      <c r="D5577" s="1"/>
    </row>
    <row r="5578" spans="3:4" x14ac:dyDescent="0.25">
      <c r="C5578" s="1"/>
      <c r="D5578" s="1"/>
    </row>
    <row r="5579" spans="3:4" x14ac:dyDescent="0.25">
      <c r="C5579" s="1"/>
      <c r="D5579" s="1"/>
    </row>
    <row r="5580" spans="3:4" x14ac:dyDescent="0.25">
      <c r="C5580" s="1"/>
      <c r="D5580" s="1"/>
    </row>
    <row r="5581" spans="3:4" x14ac:dyDescent="0.25">
      <c r="C5581" s="1"/>
      <c r="D5581" s="1"/>
    </row>
    <row r="5582" spans="3:4" x14ac:dyDescent="0.25">
      <c r="C5582" s="1"/>
      <c r="D5582" s="1"/>
    </row>
    <row r="5583" spans="3:4" x14ac:dyDescent="0.25">
      <c r="C5583" s="1"/>
      <c r="D5583" s="1"/>
    </row>
    <row r="5584" spans="3:4" x14ac:dyDescent="0.25">
      <c r="C5584" s="1"/>
      <c r="D5584" s="1"/>
    </row>
    <row r="5585" spans="3:4" x14ac:dyDescent="0.25">
      <c r="C5585" s="1"/>
      <c r="D5585" s="1"/>
    </row>
    <row r="5586" spans="3:4" x14ac:dyDescent="0.25">
      <c r="C5586" s="1"/>
      <c r="D5586" s="1"/>
    </row>
    <row r="5587" spans="3:4" x14ac:dyDescent="0.25">
      <c r="C5587" s="1"/>
      <c r="D5587" s="1"/>
    </row>
    <row r="5588" spans="3:4" x14ac:dyDescent="0.25">
      <c r="C5588" s="1"/>
      <c r="D5588" s="1"/>
    </row>
    <row r="5589" spans="3:4" x14ac:dyDescent="0.25">
      <c r="C5589" s="1"/>
      <c r="D5589" s="1"/>
    </row>
    <row r="5590" spans="3:4" x14ac:dyDescent="0.25">
      <c r="C5590" s="1"/>
      <c r="D5590" s="1"/>
    </row>
    <row r="5591" spans="3:4" x14ac:dyDescent="0.25">
      <c r="C5591" s="1"/>
      <c r="D5591" s="1"/>
    </row>
    <row r="5592" spans="3:4" x14ac:dyDescent="0.25">
      <c r="C5592" s="1"/>
      <c r="D5592" s="1"/>
    </row>
    <row r="5593" spans="3:4" x14ac:dyDescent="0.25">
      <c r="C5593" s="1"/>
      <c r="D5593" s="1"/>
    </row>
    <row r="5594" spans="3:4" x14ac:dyDescent="0.25">
      <c r="C5594" s="1"/>
      <c r="D5594" s="1"/>
    </row>
    <row r="5595" spans="3:4" x14ac:dyDescent="0.25">
      <c r="C5595" s="1"/>
      <c r="D5595" s="1"/>
    </row>
    <row r="5596" spans="3:4" x14ac:dyDescent="0.25">
      <c r="C5596" s="1"/>
      <c r="D5596" s="1"/>
    </row>
    <row r="5597" spans="3:4" x14ac:dyDescent="0.25">
      <c r="C5597" s="1"/>
      <c r="D5597" s="1"/>
    </row>
    <row r="5598" spans="3:4" x14ac:dyDescent="0.25">
      <c r="C5598" s="1"/>
      <c r="D5598" s="1"/>
    </row>
    <row r="5599" spans="3:4" x14ac:dyDescent="0.25">
      <c r="C5599" s="1"/>
      <c r="D5599" s="1"/>
    </row>
    <row r="5600" spans="3:4" x14ac:dyDescent="0.25">
      <c r="C5600" s="1"/>
      <c r="D5600" s="1"/>
    </row>
    <row r="5601" spans="3:4" x14ac:dyDescent="0.25">
      <c r="C5601" s="1"/>
      <c r="D5601" s="1"/>
    </row>
    <row r="5602" spans="3:4" x14ac:dyDescent="0.25">
      <c r="C5602" s="1"/>
      <c r="D5602" s="1"/>
    </row>
    <row r="5603" spans="3:4" x14ac:dyDescent="0.25">
      <c r="C5603" s="1"/>
      <c r="D5603" s="1"/>
    </row>
    <row r="5604" spans="3:4" x14ac:dyDescent="0.25">
      <c r="C5604" s="1"/>
      <c r="D5604" s="1"/>
    </row>
    <row r="5605" spans="3:4" x14ac:dyDescent="0.25">
      <c r="C5605" s="1"/>
      <c r="D5605" s="1"/>
    </row>
    <row r="5606" spans="3:4" x14ac:dyDescent="0.25">
      <c r="C5606" s="1"/>
      <c r="D5606" s="1"/>
    </row>
    <row r="5607" spans="3:4" x14ac:dyDescent="0.25">
      <c r="C5607" s="1"/>
      <c r="D5607" s="1"/>
    </row>
    <row r="5608" spans="3:4" x14ac:dyDescent="0.25">
      <c r="C5608" s="1"/>
      <c r="D5608" s="1"/>
    </row>
    <row r="5609" spans="3:4" x14ac:dyDescent="0.25">
      <c r="C5609" s="1"/>
      <c r="D5609" s="1"/>
    </row>
    <row r="5610" spans="3:4" x14ac:dyDescent="0.25">
      <c r="C5610" s="1"/>
      <c r="D5610" s="1"/>
    </row>
    <row r="5611" spans="3:4" x14ac:dyDescent="0.25">
      <c r="C5611" s="1"/>
      <c r="D5611" s="1"/>
    </row>
    <row r="5612" spans="3:4" x14ac:dyDescent="0.25">
      <c r="C5612" s="1"/>
      <c r="D5612" s="1"/>
    </row>
    <row r="5613" spans="3:4" x14ac:dyDescent="0.25">
      <c r="C5613" s="1"/>
      <c r="D5613" s="1"/>
    </row>
    <row r="5614" spans="3:4" x14ac:dyDescent="0.25">
      <c r="C5614" s="1"/>
      <c r="D5614" s="1"/>
    </row>
    <row r="5615" spans="3:4" x14ac:dyDescent="0.25">
      <c r="C5615" s="1"/>
      <c r="D5615" s="1"/>
    </row>
    <row r="5616" spans="3:4" x14ac:dyDescent="0.25">
      <c r="C5616" s="1"/>
      <c r="D5616" s="1"/>
    </row>
    <row r="5617" spans="3:4" x14ac:dyDescent="0.25">
      <c r="C5617" s="1"/>
      <c r="D5617" s="1"/>
    </row>
    <row r="5618" spans="3:4" x14ac:dyDescent="0.25">
      <c r="C5618" s="1"/>
      <c r="D5618" s="1"/>
    </row>
    <row r="5619" spans="3:4" x14ac:dyDescent="0.25">
      <c r="C5619" s="1"/>
      <c r="D5619" s="1"/>
    </row>
    <row r="5620" spans="3:4" x14ac:dyDescent="0.25">
      <c r="C5620" s="1"/>
      <c r="D5620" s="1"/>
    </row>
    <row r="5621" spans="3:4" x14ac:dyDescent="0.25">
      <c r="C5621" s="1"/>
      <c r="D5621" s="1"/>
    </row>
    <row r="5622" spans="3:4" x14ac:dyDescent="0.25">
      <c r="C5622" s="1"/>
      <c r="D5622" s="1"/>
    </row>
    <row r="5623" spans="3:4" x14ac:dyDescent="0.25">
      <c r="C5623" s="1"/>
      <c r="D5623" s="1"/>
    </row>
    <row r="5624" spans="3:4" x14ac:dyDescent="0.25">
      <c r="C5624" s="1"/>
      <c r="D5624" s="1"/>
    </row>
    <row r="5625" spans="3:4" x14ac:dyDescent="0.25">
      <c r="C5625" s="1"/>
      <c r="D5625" s="1"/>
    </row>
    <row r="5626" spans="3:4" x14ac:dyDescent="0.25">
      <c r="C5626" s="1"/>
      <c r="D5626" s="1"/>
    </row>
    <row r="5627" spans="3:4" x14ac:dyDescent="0.25">
      <c r="C5627" s="1"/>
      <c r="D5627" s="1"/>
    </row>
    <row r="5628" spans="3:4" x14ac:dyDescent="0.25">
      <c r="C5628" s="1"/>
      <c r="D5628" s="1"/>
    </row>
    <row r="5629" spans="3:4" x14ac:dyDescent="0.25">
      <c r="C5629" s="1"/>
      <c r="D5629" s="1"/>
    </row>
    <row r="5630" spans="3:4" x14ac:dyDescent="0.25">
      <c r="C5630" s="1"/>
      <c r="D5630" s="1"/>
    </row>
    <row r="5631" spans="3:4" x14ac:dyDescent="0.25">
      <c r="C5631" s="1"/>
      <c r="D5631" s="1"/>
    </row>
    <row r="5632" spans="3:4" x14ac:dyDescent="0.25">
      <c r="C5632" s="1"/>
      <c r="D5632" s="1"/>
    </row>
    <row r="5633" spans="3:4" x14ac:dyDescent="0.25">
      <c r="C5633" s="1"/>
      <c r="D5633" s="1"/>
    </row>
    <row r="5634" spans="3:4" x14ac:dyDescent="0.25">
      <c r="C5634" s="1"/>
      <c r="D5634" s="1"/>
    </row>
    <row r="5635" spans="3:4" x14ac:dyDescent="0.25">
      <c r="C5635" s="1"/>
      <c r="D5635" s="1"/>
    </row>
    <row r="5636" spans="3:4" x14ac:dyDescent="0.25">
      <c r="C5636" s="1"/>
      <c r="D5636" s="1"/>
    </row>
    <row r="5637" spans="3:4" x14ac:dyDescent="0.25">
      <c r="C5637" s="1"/>
      <c r="D5637" s="1"/>
    </row>
    <row r="5638" spans="3:4" x14ac:dyDescent="0.25">
      <c r="C5638" s="1"/>
      <c r="D5638" s="1"/>
    </row>
    <row r="5639" spans="3:4" x14ac:dyDescent="0.25">
      <c r="C5639" s="1"/>
      <c r="D5639" s="1"/>
    </row>
    <row r="5640" spans="3:4" x14ac:dyDescent="0.25">
      <c r="C5640" s="1"/>
      <c r="D5640" s="1"/>
    </row>
    <row r="5641" spans="3:4" x14ac:dyDescent="0.25">
      <c r="C5641" s="1"/>
      <c r="D5641" s="1"/>
    </row>
    <row r="5642" spans="3:4" x14ac:dyDescent="0.25">
      <c r="C5642" s="1"/>
      <c r="D5642" s="1"/>
    </row>
    <row r="5643" spans="3:4" x14ac:dyDescent="0.25">
      <c r="C5643" s="1"/>
      <c r="D5643" s="1"/>
    </row>
    <row r="5644" spans="3:4" x14ac:dyDescent="0.25">
      <c r="C5644" s="1"/>
      <c r="D5644" s="1"/>
    </row>
    <row r="5645" spans="3:4" x14ac:dyDescent="0.25">
      <c r="C5645" s="1"/>
      <c r="D5645" s="1"/>
    </row>
    <row r="5646" spans="3:4" x14ac:dyDescent="0.25">
      <c r="C5646" s="1"/>
      <c r="D5646" s="1"/>
    </row>
    <row r="5647" spans="3:4" x14ac:dyDescent="0.25">
      <c r="C5647" s="1"/>
      <c r="D5647" s="1"/>
    </row>
    <row r="5648" spans="3:4" x14ac:dyDescent="0.25">
      <c r="C5648" s="1"/>
      <c r="D5648" s="1"/>
    </row>
    <row r="5649" spans="3:4" x14ac:dyDescent="0.25">
      <c r="C5649" s="1"/>
      <c r="D5649" s="1"/>
    </row>
    <row r="5650" spans="3:4" x14ac:dyDescent="0.25">
      <c r="C5650" s="1"/>
      <c r="D5650" s="1"/>
    </row>
    <row r="5651" spans="3:4" x14ac:dyDescent="0.25">
      <c r="C5651" s="1"/>
      <c r="D5651" s="1"/>
    </row>
    <row r="5652" spans="3:4" x14ac:dyDescent="0.25">
      <c r="C5652" s="1"/>
      <c r="D5652" s="1"/>
    </row>
    <row r="5653" spans="3:4" x14ac:dyDescent="0.25">
      <c r="C5653" s="1"/>
      <c r="D5653" s="1"/>
    </row>
    <row r="5654" spans="3:4" x14ac:dyDescent="0.25">
      <c r="C5654" s="1"/>
      <c r="D5654" s="1"/>
    </row>
    <row r="5655" spans="3:4" x14ac:dyDescent="0.25">
      <c r="C5655" s="1"/>
      <c r="D5655" s="1"/>
    </row>
    <row r="5656" spans="3:4" x14ac:dyDescent="0.25">
      <c r="C5656" s="1"/>
      <c r="D5656" s="1"/>
    </row>
    <row r="5657" spans="3:4" x14ac:dyDescent="0.25">
      <c r="C5657" s="1"/>
      <c r="D5657" s="1"/>
    </row>
    <row r="5658" spans="3:4" x14ac:dyDescent="0.25">
      <c r="C5658" s="1"/>
      <c r="D5658" s="1"/>
    </row>
    <row r="5659" spans="3:4" x14ac:dyDescent="0.25">
      <c r="C5659" s="1"/>
      <c r="D5659" s="1"/>
    </row>
    <row r="5660" spans="3:4" x14ac:dyDescent="0.25">
      <c r="C5660" s="1"/>
      <c r="D5660" s="1"/>
    </row>
    <row r="5661" spans="3:4" x14ac:dyDescent="0.25">
      <c r="C5661" s="1"/>
      <c r="D5661" s="1"/>
    </row>
    <row r="5662" spans="3:4" x14ac:dyDescent="0.25">
      <c r="C5662" s="1"/>
      <c r="D5662" s="1"/>
    </row>
    <row r="5663" spans="3:4" x14ac:dyDescent="0.25">
      <c r="C5663" s="1"/>
      <c r="D5663" s="1"/>
    </row>
    <row r="5664" spans="3:4" x14ac:dyDescent="0.25">
      <c r="C5664" s="1"/>
      <c r="D5664" s="1"/>
    </row>
    <row r="5665" spans="3:4" x14ac:dyDescent="0.25">
      <c r="C5665" s="1"/>
      <c r="D5665" s="1"/>
    </row>
    <row r="5666" spans="3:4" x14ac:dyDescent="0.25">
      <c r="C5666" s="1"/>
      <c r="D5666" s="1"/>
    </row>
    <row r="5667" spans="3:4" x14ac:dyDescent="0.25">
      <c r="C5667" s="1"/>
      <c r="D5667" s="1"/>
    </row>
    <row r="5668" spans="3:4" x14ac:dyDescent="0.25">
      <c r="C5668" s="1"/>
      <c r="D5668" s="1"/>
    </row>
    <row r="5669" spans="3:4" x14ac:dyDescent="0.25">
      <c r="C5669" s="1"/>
      <c r="D5669" s="1"/>
    </row>
    <row r="5670" spans="3:4" x14ac:dyDescent="0.25">
      <c r="C5670" s="1"/>
      <c r="D5670" s="1"/>
    </row>
    <row r="5671" spans="3:4" x14ac:dyDescent="0.25">
      <c r="C5671" s="1"/>
      <c r="D5671" s="1"/>
    </row>
    <row r="5672" spans="3:4" x14ac:dyDescent="0.25">
      <c r="C5672" s="1"/>
      <c r="D5672" s="1"/>
    </row>
    <row r="5673" spans="3:4" x14ac:dyDescent="0.25">
      <c r="C5673" s="1"/>
      <c r="D5673" s="1"/>
    </row>
    <row r="5674" spans="3:4" x14ac:dyDescent="0.25">
      <c r="C5674" s="1"/>
      <c r="D5674" s="1"/>
    </row>
    <row r="5675" spans="3:4" x14ac:dyDescent="0.25">
      <c r="C5675" s="1"/>
      <c r="D5675" s="1"/>
    </row>
    <row r="5676" spans="3:4" x14ac:dyDescent="0.25">
      <c r="C5676" s="1"/>
      <c r="D5676" s="1"/>
    </row>
    <row r="5677" spans="3:4" x14ac:dyDescent="0.25">
      <c r="C5677" s="1"/>
      <c r="D5677" s="1"/>
    </row>
    <row r="5678" spans="3:4" x14ac:dyDescent="0.25">
      <c r="C5678" s="1"/>
      <c r="D5678" s="1"/>
    </row>
    <row r="5679" spans="3:4" x14ac:dyDescent="0.25">
      <c r="C5679" s="1"/>
      <c r="D5679" s="1"/>
    </row>
    <row r="5680" spans="3:4" x14ac:dyDescent="0.25">
      <c r="C5680" s="1"/>
      <c r="D5680" s="1"/>
    </row>
    <row r="5681" spans="3:4" x14ac:dyDescent="0.25">
      <c r="C5681" s="1"/>
      <c r="D5681" s="1"/>
    </row>
    <row r="5682" spans="3:4" x14ac:dyDescent="0.25">
      <c r="C5682" s="1"/>
      <c r="D5682" s="1"/>
    </row>
    <row r="5683" spans="3:4" x14ac:dyDescent="0.25">
      <c r="C5683" s="1"/>
      <c r="D5683" s="1"/>
    </row>
    <row r="5684" spans="3:4" x14ac:dyDescent="0.25">
      <c r="C5684" s="1"/>
      <c r="D5684" s="1"/>
    </row>
    <row r="5685" spans="3:4" x14ac:dyDescent="0.25">
      <c r="C5685" s="1"/>
      <c r="D5685" s="1"/>
    </row>
    <row r="5686" spans="3:4" x14ac:dyDescent="0.25">
      <c r="C5686" s="1"/>
      <c r="D5686" s="1"/>
    </row>
    <row r="5687" spans="3:4" x14ac:dyDescent="0.25">
      <c r="C5687" s="1"/>
      <c r="D5687" s="1"/>
    </row>
    <row r="5688" spans="3:4" x14ac:dyDescent="0.25">
      <c r="C5688" s="1"/>
      <c r="D5688" s="1"/>
    </row>
    <row r="5689" spans="3:4" x14ac:dyDescent="0.25">
      <c r="C5689" s="1"/>
      <c r="D5689" s="1"/>
    </row>
    <row r="5690" spans="3:4" x14ac:dyDescent="0.25">
      <c r="C5690" s="1"/>
      <c r="D5690" s="1"/>
    </row>
    <row r="5691" spans="3:4" x14ac:dyDescent="0.25">
      <c r="C5691" s="1"/>
      <c r="D5691" s="1"/>
    </row>
    <row r="5692" spans="3:4" x14ac:dyDescent="0.25">
      <c r="C5692" s="1"/>
      <c r="D5692" s="1"/>
    </row>
    <row r="5693" spans="3:4" x14ac:dyDescent="0.25">
      <c r="C5693" s="1"/>
      <c r="D5693" s="1"/>
    </row>
    <row r="5694" spans="3:4" x14ac:dyDescent="0.25">
      <c r="C5694" s="1"/>
      <c r="D5694" s="1"/>
    </row>
    <row r="5695" spans="3:4" x14ac:dyDescent="0.25">
      <c r="C5695" s="1"/>
      <c r="D5695" s="1"/>
    </row>
    <row r="5696" spans="3:4" x14ac:dyDescent="0.25">
      <c r="C5696" s="1"/>
      <c r="D5696" s="1"/>
    </row>
    <row r="5697" spans="3:4" x14ac:dyDescent="0.25">
      <c r="C5697" s="1"/>
      <c r="D5697" s="1"/>
    </row>
    <row r="5698" spans="3:4" x14ac:dyDescent="0.25">
      <c r="C5698" s="1"/>
      <c r="D5698" s="1"/>
    </row>
    <row r="5699" spans="3:4" x14ac:dyDescent="0.25">
      <c r="C5699" s="1"/>
      <c r="D5699" s="1"/>
    </row>
    <row r="5700" spans="3:4" x14ac:dyDescent="0.25">
      <c r="C5700" s="1"/>
      <c r="D5700" s="1"/>
    </row>
    <row r="5701" spans="3:4" x14ac:dyDescent="0.25">
      <c r="C5701" s="1"/>
      <c r="D5701" s="1"/>
    </row>
    <row r="5702" spans="3:4" x14ac:dyDescent="0.25">
      <c r="C5702" s="1"/>
      <c r="D5702" s="1"/>
    </row>
    <row r="5703" spans="3:4" x14ac:dyDescent="0.25">
      <c r="C5703" s="1"/>
      <c r="D5703" s="1"/>
    </row>
    <row r="5704" spans="3:4" x14ac:dyDescent="0.25">
      <c r="C5704" s="1"/>
      <c r="D5704" s="1"/>
    </row>
    <row r="5705" spans="3:4" x14ac:dyDescent="0.25">
      <c r="C5705" s="1"/>
      <c r="D5705" s="1"/>
    </row>
    <row r="5706" spans="3:4" x14ac:dyDescent="0.25">
      <c r="C5706" s="1"/>
      <c r="D5706" s="1"/>
    </row>
    <row r="5707" spans="3:4" x14ac:dyDescent="0.25">
      <c r="C5707" s="1"/>
      <c r="D5707" s="1"/>
    </row>
    <row r="5708" spans="3:4" x14ac:dyDescent="0.25">
      <c r="C5708" s="1"/>
      <c r="D5708" s="1"/>
    </row>
    <row r="5709" spans="3:4" x14ac:dyDescent="0.25">
      <c r="C5709" s="1"/>
      <c r="D5709" s="1"/>
    </row>
    <row r="5710" spans="3:4" x14ac:dyDescent="0.25">
      <c r="C5710" s="1"/>
      <c r="D5710" s="1"/>
    </row>
    <row r="5711" spans="3:4" x14ac:dyDescent="0.25">
      <c r="C5711" s="1"/>
      <c r="D5711" s="1"/>
    </row>
    <row r="5712" spans="3:4" x14ac:dyDescent="0.25">
      <c r="C5712" s="1"/>
      <c r="D5712" s="1"/>
    </row>
    <row r="5713" spans="3:4" x14ac:dyDescent="0.25">
      <c r="C5713" s="1"/>
      <c r="D5713" s="1"/>
    </row>
    <row r="5714" spans="3:4" x14ac:dyDescent="0.25">
      <c r="C5714" s="1"/>
      <c r="D5714" s="1"/>
    </row>
    <row r="5715" spans="3:4" x14ac:dyDescent="0.25">
      <c r="C5715" s="1"/>
      <c r="D5715" s="1"/>
    </row>
    <row r="5716" spans="3:4" x14ac:dyDescent="0.25">
      <c r="C5716" s="1"/>
      <c r="D5716" s="1"/>
    </row>
    <row r="5717" spans="3:4" x14ac:dyDescent="0.25">
      <c r="C5717" s="1"/>
      <c r="D5717" s="1"/>
    </row>
    <row r="5718" spans="3:4" x14ac:dyDescent="0.25">
      <c r="C5718" s="1"/>
      <c r="D5718" s="1"/>
    </row>
    <row r="5719" spans="3:4" x14ac:dyDescent="0.25">
      <c r="C5719" s="1"/>
      <c r="D5719" s="1"/>
    </row>
    <row r="5720" spans="3:4" x14ac:dyDescent="0.25">
      <c r="C5720" s="1"/>
      <c r="D5720" s="1"/>
    </row>
    <row r="5721" spans="3:4" x14ac:dyDescent="0.25">
      <c r="C5721" s="1"/>
      <c r="D5721" s="1"/>
    </row>
    <row r="5722" spans="3:4" x14ac:dyDescent="0.25">
      <c r="C5722" s="1"/>
      <c r="D5722" s="1"/>
    </row>
    <row r="5723" spans="3:4" x14ac:dyDescent="0.25">
      <c r="C5723" s="1"/>
      <c r="D5723" s="1"/>
    </row>
    <row r="5724" spans="3:4" x14ac:dyDescent="0.25">
      <c r="C5724" s="1"/>
      <c r="D5724" s="1"/>
    </row>
    <row r="5725" spans="3:4" x14ac:dyDescent="0.25">
      <c r="C5725" s="1"/>
      <c r="D5725" s="1"/>
    </row>
    <row r="5726" spans="3:4" x14ac:dyDescent="0.25">
      <c r="C5726" s="1"/>
      <c r="D5726" s="1"/>
    </row>
    <row r="5727" spans="3:4" x14ac:dyDescent="0.25">
      <c r="C5727" s="1"/>
      <c r="D5727" s="1"/>
    </row>
    <row r="5728" spans="3:4" x14ac:dyDescent="0.25">
      <c r="C5728" s="1"/>
      <c r="D5728" s="1"/>
    </row>
    <row r="5729" spans="3:4" x14ac:dyDescent="0.25">
      <c r="C5729" s="1"/>
      <c r="D5729" s="1"/>
    </row>
    <row r="5730" spans="3:4" x14ac:dyDescent="0.25">
      <c r="C5730" s="1"/>
      <c r="D5730" s="1"/>
    </row>
    <row r="5731" spans="3:4" x14ac:dyDescent="0.25">
      <c r="C5731" s="1"/>
      <c r="D5731" s="1"/>
    </row>
    <row r="5732" spans="3:4" x14ac:dyDescent="0.25">
      <c r="C5732" s="1"/>
      <c r="D5732" s="1"/>
    </row>
    <row r="5733" spans="3:4" x14ac:dyDescent="0.25">
      <c r="C5733" s="1"/>
      <c r="D5733" s="1"/>
    </row>
    <row r="5734" spans="3:4" x14ac:dyDescent="0.25">
      <c r="C5734" s="1"/>
      <c r="D5734" s="1"/>
    </row>
    <row r="5735" spans="3:4" x14ac:dyDescent="0.25">
      <c r="C5735" s="1"/>
      <c r="D5735" s="1"/>
    </row>
    <row r="5736" spans="3:4" x14ac:dyDescent="0.25">
      <c r="C5736" s="1"/>
      <c r="D5736" s="1"/>
    </row>
    <row r="5737" spans="3:4" x14ac:dyDescent="0.25">
      <c r="C5737" s="1"/>
      <c r="D5737" s="1"/>
    </row>
    <row r="5738" spans="3:4" x14ac:dyDescent="0.25">
      <c r="C5738" s="1"/>
      <c r="D5738" s="1"/>
    </row>
    <row r="5739" spans="3:4" x14ac:dyDescent="0.25">
      <c r="C5739" s="1"/>
      <c r="D5739" s="1"/>
    </row>
    <row r="5740" spans="3:4" x14ac:dyDescent="0.25">
      <c r="C5740" s="1"/>
      <c r="D5740" s="1"/>
    </row>
    <row r="5741" spans="3:4" x14ac:dyDescent="0.25">
      <c r="C5741" s="1"/>
      <c r="D5741" s="1"/>
    </row>
    <row r="5742" spans="3:4" x14ac:dyDescent="0.25">
      <c r="C5742" s="1"/>
      <c r="D5742" s="1"/>
    </row>
    <row r="5743" spans="3:4" x14ac:dyDescent="0.25">
      <c r="C5743" s="1"/>
      <c r="D5743" s="1"/>
    </row>
    <row r="5744" spans="3:4" x14ac:dyDescent="0.25">
      <c r="C5744" s="1"/>
      <c r="D5744" s="1"/>
    </row>
    <row r="5745" spans="3:4" x14ac:dyDescent="0.25">
      <c r="C5745" s="1"/>
      <c r="D5745" s="1"/>
    </row>
    <row r="5746" spans="3:4" x14ac:dyDescent="0.25">
      <c r="C5746" s="1"/>
      <c r="D5746" s="1"/>
    </row>
    <row r="5747" spans="3:4" x14ac:dyDescent="0.25">
      <c r="C5747" s="1"/>
      <c r="D5747" s="1"/>
    </row>
    <row r="5748" spans="3:4" x14ac:dyDescent="0.25">
      <c r="C5748" s="1"/>
      <c r="D5748" s="1"/>
    </row>
    <row r="5749" spans="3:4" x14ac:dyDescent="0.25">
      <c r="C5749" s="1"/>
      <c r="D5749" s="1"/>
    </row>
    <row r="5750" spans="3:4" x14ac:dyDescent="0.25">
      <c r="C5750" s="1"/>
      <c r="D5750" s="1"/>
    </row>
    <row r="5751" spans="3:4" x14ac:dyDescent="0.25">
      <c r="C5751" s="1"/>
      <c r="D5751" s="1"/>
    </row>
    <row r="5752" spans="3:4" x14ac:dyDescent="0.25">
      <c r="C5752" s="1"/>
      <c r="D5752" s="1"/>
    </row>
    <row r="5753" spans="3:4" x14ac:dyDescent="0.25">
      <c r="C5753" s="1"/>
      <c r="D5753" s="1"/>
    </row>
    <row r="5754" spans="3:4" x14ac:dyDescent="0.25">
      <c r="C5754" s="1"/>
      <c r="D5754" s="1"/>
    </row>
    <row r="5755" spans="3:4" x14ac:dyDescent="0.25">
      <c r="C5755" s="1"/>
      <c r="D5755" s="1"/>
    </row>
    <row r="5756" spans="3:4" x14ac:dyDescent="0.25">
      <c r="C5756" s="1"/>
      <c r="D5756" s="1"/>
    </row>
    <row r="5757" spans="3:4" x14ac:dyDescent="0.25">
      <c r="C5757" s="1"/>
      <c r="D5757" s="1"/>
    </row>
    <row r="5758" spans="3:4" x14ac:dyDescent="0.25">
      <c r="C5758" s="1"/>
      <c r="D5758" s="1"/>
    </row>
    <row r="5759" spans="3:4" x14ac:dyDescent="0.25">
      <c r="C5759" s="1"/>
      <c r="D5759" s="1"/>
    </row>
    <row r="5760" spans="3:4" x14ac:dyDescent="0.25">
      <c r="C5760" s="1"/>
      <c r="D5760" s="1"/>
    </row>
    <row r="5761" spans="3:4" x14ac:dyDescent="0.25">
      <c r="C5761" s="1"/>
      <c r="D5761" s="1"/>
    </row>
    <row r="5762" spans="3:4" x14ac:dyDescent="0.25">
      <c r="C5762" s="1"/>
      <c r="D5762" s="1"/>
    </row>
    <row r="5763" spans="3:4" x14ac:dyDescent="0.25">
      <c r="C5763" s="1"/>
      <c r="D5763" s="1"/>
    </row>
    <row r="5764" spans="3:4" x14ac:dyDescent="0.25">
      <c r="C5764" s="1"/>
      <c r="D5764" s="1"/>
    </row>
    <row r="5765" spans="3:4" x14ac:dyDescent="0.25">
      <c r="C5765" s="1"/>
      <c r="D5765" s="1"/>
    </row>
    <row r="5766" spans="3:4" x14ac:dyDescent="0.25">
      <c r="C5766" s="1"/>
      <c r="D5766" s="1"/>
    </row>
    <row r="5767" spans="3:4" x14ac:dyDescent="0.25">
      <c r="C5767" s="1"/>
      <c r="D5767" s="1"/>
    </row>
    <row r="5768" spans="3:4" x14ac:dyDescent="0.25">
      <c r="C5768" s="1"/>
      <c r="D5768" s="1"/>
    </row>
    <row r="5769" spans="3:4" x14ac:dyDescent="0.25">
      <c r="C5769" s="1"/>
      <c r="D5769" s="1"/>
    </row>
    <row r="5770" spans="3:4" x14ac:dyDescent="0.25">
      <c r="C5770" s="1"/>
      <c r="D5770" s="1"/>
    </row>
    <row r="5771" spans="3:4" x14ac:dyDescent="0.25">
      <c r="C5771" s="1"/>
      <c r="D5771" s="1"/>
    </row>
    <row r="5772" spans="3:4" x14ac:dyDescent="0.25">
      <c r="C5772" s="1"/>
      <c r="D5772" s="1"/>
    </row>
    <row r="5773" spans="3:4" x14ac:dyDescent="0.25">
      <c r="C5773" s="1"/>
      <c r="D5773" s="1"/>
    </row>
    <row r="5774" spans="3:4" x14ac:dyDescent="0.25">
      <c r="C5774" s="1"/>
      <c r="D5774" s="1"/>
    </row>
    <row r="5775" spans="3:4" x14ac:dyDescent="0.25">
      <c r="C5775" s="1"/>
      <c r="D5775" s="1"/>
    </row>
    <row r="5776" spans="3:4" x14ac:dyDescent="0.25">
      <c r="C5776" s="1"/>
      <c r="D5776" s="1"/>
    </row>
    <row r="5777" spans="3:4" x14ac:dyDescent="0.25">
      <c r="C5777" s="1"/>
      <c r="D5777" s="1"/>
    </row>
    <row r="5778" spans="3:4" x14ac:dyDescent="0.25">
      <c r="C5778" s="1"/>
      <c r="D5778" s="1"/>
    </row>
    <row r="5779" spans="3:4" x14ac:dyDescent="0.25">
      <c r="C5779" s="1"/>
      <c r="D5779" s="1"/>
    </row>
    <row r="5780" spans="3:4" x14ac:dyDescent="0.25">
      <c r="C5780" s="1"/>
      <c r="D5780" s="1"/>
    </row>
    <row r="5781" spans="3:4" x14ac:dyDescent="0.25">
      <c r="C5781" s="1"/>
      <c r="D5781" s="1"/>
    </row>
    <row r="5782" spans="3:4" x14ac:dyDescent="0.25">
      <c r="C5782" s="1"/>
      <c r="D5782" s="1"/>
    </row>
    <row r="5783" spans="3:4" x14ac:dyDescent="0.25">
      <c r="C5783" s="1"/>
      <c r="D5783" s="1"/>
    </row>
    <row r="5784" spans="3:4" x14ac:dyDescent="0.25">
      <c r="C5784" s="1"/>
      <c r="D5784" s="1"/>
    </row>
    <row r="5785" spans="3:4" x14ac:dyDescent="0.25">
      <c r="C5785" s="1"/>
      <c r="D5785" s="1"/>
    </row>
    <row r="5786" spans="3:4" x14ac:dyDescent="0.25">
      <c r="C5786" s="1"/>
      <c r="D5786" s="1"/>
    </row>
    <row r="5787" spans="3:4" x14ac:dyDescent="0.25">
      <c r="C5787" s="1"/>
      <c r="D5787" s="1"/>
    </row>
    <row r="5788" spans="3:4" x14ac:dyDescent="0.25">
      <c r="C5788" s="1"/>
      <c r="D5788" s="1"/>
    </row>
    <row r="5789" spans="3:4" x14ac:dyDescent="0.25">
      <c r="C5789" s="1"/>
      <c r="D5789" s="1"/>
    </row>
    <row r="5790" spans="3:4" x14ac:dyDescent="0.25">
      <c r="C5790" s="1"/>
      <c r="D5790" s="1"/>
    </row>
    <row r="5791" spans="3:4" x14ac:dyDescent="0.25">
      <c r="C5791" s="1"/>
      <c r="D5791" s="1"/>
    </row>
    <row r="5792" spans="3:4" x14ac:dyDescent="0.25">
      <c r="C5792" s="1"/>
      <c r="D5792" s="1"/>
    </row>
    <row r="5793" spans="3:4" x14ac:dyDescent="0.25">
      <c r="C5793" s="1"/>
      <c r="D5793" s="1"/>
    </row>
    <row r="5794" spans="3:4" x14ac:dyDescent="0.25">
      <c r="C5794" s="1"/>
      <c r="D5794" s="1"/>
    </row>
    <row r="5795" spans="3:4" x14ac:dyDescent="0.25">
      <c r="C5795" s="1"/>
      <c r="D5795" s="1"/>
    </row>
    <row r="5796" spans="3:4" x14ac:dyDescent="0.25">
      <c r="C5796" s="1"/>
      <c r="D5796" s="1"/>
    </row>
    <row r="5797" spans="3:4" x14ac:dyDescent="0.25">
      <c r="C5797" s="1"/>
      <c r="D5797" s="1"/>
    </row>
    <row r="5798" spans="3:4" x14ac:dyDescent="0.25">
      <c r="C5798" s="1"/>
      <c r="D5798" s="1"/>
    </row>
    <row r="5799" spans="3:4" x14ac:dyDescent="0.25">
      <c r="C5799" s="1"/>
      <c r="D5799" s="1"/>
    </row>
    <row r="5800" spans="3:4" x14ac:dyDescent="0.25">
      <c r="C5800" s="1"/>
      <c r="D5800" s="1"/>
    </row>
    <row r="5801" spans="3:4" x14ac:dyDescent="0.25">
      <c r="C5801" s="1"/>
      <c r="D5801" s="1"/>
    </row>
    <row r="5802" spans="3:4" x14ac:dyDescent="0.25">
      <c r="C5802" s="1"/>
      <c r="D5802" s="1"/>
    </row>
    <row r="5803" spans="3:4" x14ac:dyDescent="0.25">
      <c r="C5803" s="1"/>
      <c r="D5803" s="1"/>
    </row>
    <row r="5804" spans="3:4" x14ac:dyDescent="0.25">
      <c r="C5804" s="1"/>
      <c r="D5804" s="1"/>
    </row>
    <row r="5805" spans="3:4" x14ac:dyDescent="0.25">
      <c r="C5805" s="1"/>
      <c r="D5805" s="1"/>
    </row>
    <row r="5806" spans="3:4" x14ac:dyDescent="0.25">
      <c r="C5806" s="1"/>
      <c r="D5806" s="1"/>
    </row>
    <row r="5807" spans="3:4" x14ac:dyDescent="0.25">
      <c r="C5807" s="1"/>
      <c r="D5807" s="1"/>
    </row>
    <row r="5808" spans="3:4" x14ac:dyDescent="0.25">
      <c r="C5808" s="1"/>
      <c r="D5808" s="1"/>
    </row>
    <row r="5809" spans="3:4" x14ac:dyDescent="0.25">
      <c r="C5809" s="1"/>
      <c r="D5809" s="1"/>
    </row>
    <row r="5810" spans="3:4" x14ac:dyDescent="0.25">
      <c r="C5810" s="1"/>
      <c r="D5810" s="1"/>
    </row>
    <row r="5811" spans="3:4" x14ac:dyDescent="0.25">
      <c r="C5811" s="1"/>
      <c r="D5811" s="1"/>
    </row>
    <row r="5812" spans="3:4" x14ac:dyDescent="0.25">
      <c r="C5812" s="1"/>
      <c r="D5812" s="1"/>
    </row>
    <row r="5813" spans="3:4" x14ac:dyDescent="0.25">
      <c r="C5813" s="1"/>
      <c r="D5813" s="1"/>
    </row>
    <row r="5814" spans="3:4" x14ac:dyDescent="0.25">
      <c r="C5814" s="1"/>
      <c r="D5814" s="1"/>
    </row>
    <row r="5815" spans="3:4" x14ac:dyDescent="0.25">
      <c r="C5815" s="1"/>
      <c r="D5815" s="1"/>
    </row>
    <row r="5816" spans="3:4" x14ac:dyDescent="0.25">
      <c r="C5816" s="1"/>
      <c r="D5816" s="1"/>
    </row>
    <row r="5817" spans="3:4" x14ac:dyDescent="0.25">
      <c r="C5817" s="1"/>
      <c r="D5817" s="1"/>
    </row>
    <row r="5818" spans="3:4" x14ac:dyDescent="0.25">
      <c r="C5818" s="1"/>
      <c r="D5818" s="1"/>
    </row>
    <row r="5819" spans="3:4" x14ac:dyDescent="0.25">
      <c r="C5819" s="1"/>
      <c r="D5819" s="1"/>
    </row>
    <row r="5820" spans="3:4" x14ac:dyDescent="0.25">
      <c r="C5820" s="1"/>
      <c r="D5820" s="1"/>
    </row>
    <row r="5821" spans="3:4" x14ac:dyDescent="0.25">
      <c r="C5821" s="1"/>
      <c r="D5821" s="1"/>
    </row>
    <row r="5822" spans="3:4" x14ac:dyDescent="0.25">
      <c r="C5822" s="1"/>
      <c r="D5822" s="1"/>
    </row>
    <row r="5823" spans="3:4" x14ac:dyDescent="0.25">
      <c r="C5823" s="1"/>
      <c r="D5823" s="1"/>
    </row>
    <row r="5824" spans="3:4" x14ac:dyDescent="0.25">
      <c r="C5824" s="1"/>
      <c r="D5824" s="1"/>
    </row>
    <row r="5825" spans="3:4" x14ac:dyDescent="0.25">
      <c r="C5825" s="1"/>
      <c r="D5825" s="1"/>
    </row>
    <row r="5826" spans="3:4" x14ac:dyDescent="0.25">
      <c r="C5826" s="1"/>
      <c r="D5826" s="1"/>
    </row>
    <row r="5827" spans="3:4" x14ac:dyDescent="0.25">
      <c r="C5827" s="1"/>
      <c r="D5827" s="1"/>
    </row>
    <row r="5828" spans="3:4" x14ac:dyDescent="0.25">
      <c r="C5828" s="1"/>
      <c r="D5828" s="1"/>
    </row>
    <row r="5829" spans="3:4" x14ac:dyDescent="0.25">
      <c r="C5829" s="1"/>
      <c r="D5829" s="1"/>
    </row>
    <row r="5830" spans="3:4" x14ac:dyDescent="0.25">
      <c r="C5830" s="1"/>
      <c r="D5830" s="1"/>
    </row>
    <row r="5831" spans="3:4" x14ac:dyDescent="0.25">
      <c r="C5831" s="1"/>
      <c r="D5831" s="1"/>
    </row>
    <row r="5832" spans="3:4" x14ac:dyDescent="0.25">
      <c r="C5832" s="1"/>
      <c r="D5832" s="1"/>
    </row>
    <row r="5833" spans="3:4" x14ac:dyDescent="0.25">
      <c r="C5833" s="1"/>
      <c r="D5833" s="1"/>
    </row>
    <row r="5834" spans="3:4" x14ac:dyDescent="0.25">
      <c r="C5834" s="1"/>
      <c r="D5834" s="1"/>
    </row>
    <row r="5835" spans="3:4" x14ac:dyDescent="0.25">
      <c r="C5835" s="1"/>
      <c r="D5835" s="1"/>
    </row>
    <row r="5836" spans="3:4" x14ac:dyDescent="0.25">
      <c r="C5836" s="1"/>
      <c r="D5836" s="1"/>
    </row>
    <row r="5837" spans="3:4" x14ac:dyDescent="0.25">
      <c r="C5837" s="1"/>
      <c r="D5837" s="1"/>
    </row>
    <row r="5838" spans="3:4" x14ac:dyDescent="0.25">
      <c r="C5838" s="1"/>
      <c r="D5838" s="1"/>
    </row>
    <row r="5839" spans="3:4" x14ac:dyDescent="0.25">
      <c r="C5839" s="1"/>
      <c r="D5839" s="1"/>
    </row>
    <row r="5840" spans="3:4" x14ac:dyDescent="0.25">
      <c r="C5840" s="1"/>
      <c r="D5840" s="1"/>
    </row>
    <row r="5841" spans="3:4" x14ac:dyDescent="0.25">
      <c r="C5841" s="1"/>
      <c r="D5841" s="1"/>
    </row>
    <row r="5842" spans="3:4" x14ac:dyDescent="0.25">
      <c r="C5842" s="1"/>
      <c r="D5842" s="1"/>
    </row>
    <row r="5843" spans="3:4" x14ac:dyDescent="0.25">
      <c r="C5843" s="1"/>
      <c r="D5843" s="1"/>
    </row>
    <row r="5844" spans="3:4" x14ac:dyDescent="0.25">
      <c r="C5844" s="1"/>
      <c r="D5844" s="1"/>
    </row>
    <row r="5845" spans="3:4" x14ac:dyDescent="0.25">
      <c r="C5845" s="1"/>
      <c r="D5845" s="1"/>
    </row>
    <row r="5846" spans="3:4" x14ac:dyDescent="0.25">
      <c r="C5846" s="1"/>
      <c r="D5846" s="1"/>
    </row>
    <row r="5847" spans="3:4" x14ac:dyDescent="0.25">
      <c r="C5847" s="1"/>
      <c r="D5847" s="1"/>
    </row>
    <row r="5848" spans="3:4" x14ac:dyDescent="0.25">
      <c r="C5848" s="1"/>
      <c r="D5848" s="1"/>
    </row>
    <row r="5849" spans="3:4" x14ac:dyDescent="0.25">
      <c r="C5849" s="1"/>
      <c r="D5849" s="1"/>
    </row>
    <row r="5850" spans="3:4" x14ac:dyDescent="0.25">
      <c r="C5850" s="1"/>
      <c r="D5850" s="1"/>
    </row>
    <row r="5851" spans="3:4" x14ac:dyDescent="0.25">
      <c r="C5851" s="1"/>
      <c r="D5851" s="1"/>
    </row>
    <row r="5852" spans="3:4" x14ac:dyDescent="0.25">
      <c r="C5852" s="1"/>
      <c r="D5852" s="1"/>
    </row>
    <row r="5853" spans="3:4" x14ac:dyDescent="0.25">
      <c r="C5853" s="1"/>
      <c r="D5853" s="1"/>
    </row>
    <row r="5854" spans="3:4" x14ac:dyDescent="0.25">
      <c r="C5854" s="1"/>
      <c r="D5854" s="1"/>
    </row>
    <row r="5855" spans="3:4" x14ac:dyDescent="0.25">
      <c r="C5855" s="1"/>
      <c r="D5855" s="1"/>
    </row>
    <row r="5856" spans="3:4" x14ac:dyDescent="0.25">
      <c r="C5856" s="1"/>
      <c r="D5856" s="1"/>
    </row>
    <row r="5857" spans="3:4" x14ac:dyDescent="0.25">
      <c r="C5857" s="1"/>
      <c r="D5857" s="1"/>
    </row>
    <row r="5858" spans="3:4" x14ac:dyDescent="0.25">
      <c r="C5858" s="1"/>
      <c r="D5858" s="1"/>
    </row>
    <row r="5859" spans="3:4" x14ac:dyDescent="0.25">
      <c r="C5859" s="1"/>
      <c r="D5859" s="1"/>
    </row>
    <row r="5860" spans="3:4" x14ac:dyDescent="0.25">
      <c r="C5860" s="1"/>
      <c r="D5860" s="1"/>
    </row>
    <row r="5861" spans="3:4" x14ac:dyDescent="0.25">
      <c r="C5861" s="1"/>
      <c r="D5861" s="1"/>
    </row>
    <row r="5862" spans="3:4" x14ac:dyDescent="0.25">
      <c r="C5862" s="1"/>
      <c r="D5862" s="1"/>
    </row>
    <row r="5863" spans="3:4" x14ac:dyDescent="0.25">
      <c r="C5863" s="1"/>
      <c r="D5863" s="1"/>
    </row>
    <row r="5864" spans="3:4" x14ac:dyDescent="0.25">
      <c r="C5864" s="1"/>
      <c r="D5864" s="1"/>
    </row>
    <row r="5865" spans="3:4" x14ac:dyDescent="0.25">
      <c r="C5865" s="1"/>
      <c r="D5865" s="1"/>
    </row>
    <row r="5866" spans="3:4" x14ac:dyDescent="0.25">
      <c r="C5866" s="1"/>
      <c r="D5866" s="1"/>
    </row>
    <row r="5867" spans="3:4" x14ac:dyDescent="0.25">
      <c r="C5867" s="1"/>
      <c r="D5867" s="1"/>
    </row>
    <row r="5868" spans="3:4" x14ac:dyDescent="0.25">
      <c r="C5868" s="1"/>
      <c r="D5868" s="1"/>
    </row>
    <row r="5869" spans="3:4" x14ac:dyDescent="0.25">
      <c r="C5869" s="1"/>
      <c r="D5869" s="1"/>
    </row>
    <row r="5870" spans="3:4" x14ac:dyDescent="0.25">
      <c r="C5870" s="1"/>
      <c r="D5870" s="1"/>
    </row>
    <row r="5871" spans="3:4" x14ac:dyDescent="0.25">
      <c r="C5871" s="1"/>
      <c r="D5871" s="1"/>
    </row>
    <row r="5872" spans="3:4" x14ac:dyDescent="0.25">
      <c r="C5872" s="1"/>
      <c r="D5872" s="1"/>
    </row>
    <row r="5873" spans="3:4" x14ac:dyDescent="0.25">
      <c r="C5873" s="1"/>
      <c r="D5873" s="1"/>
    </row>
    <row r="5874" spans="3:4" x14ac:dyDescent="0.25">
      <c r="C5874" s="1"/>
      <c r="D5874" s="1"/>
    </row>
    <row r="5875" spans="3:4" x14ac:dyDescent="0.25">
      <c r="C5875" s="1"/>
      <c r="D5875" s="1"/>
    </row>
    <row r="5876" spans="3:4" x14ac:dyDescent="0.25">
      <c r="C5876" s="1"/>
      <c r="D5876" s="1"/>
    </row>
    <row r="5877" spans="3:4" x14ac:dyDescent="0.25">
      <c r="C5877" s="1"/>
      <c r="D5877" s="1"/>
    </row>
    <row r="5878" spans="3:4" x14ac:dyDescent="0.25">
      <c r="C5878" s="1"/>
      <c r="D5878" s="1"/>
    </row>
    <row r="5879" spans="3:4" x14ac:dyDescent="0.25">
      <c r="C5879" s="1"/>
      <c r="D5879" s="1"/>
    </row>
    <row r="5880" spans="3:4" x14ac:dyDescent="0.25">
      <c r="C5880" s="1"/>
      <c r="D5880" s="1"/>
    </row>
    <row r="5881" spans="3:4" x14ac:dyDescent="0.25">
      <c r="C5881" s="1"/>
      <c r="D5881" s="1"/>
    </row>
    <row r="5882" spans="3:4" x14ac:dyDescent="0.25">
      <c r="C5882" s="1"/>
      <c r="D5882" s="1"/>
    </row>
    <row r="5883" spans="3:4" x14ac:dyDescent="0.25">
      <c r="C5883" s="1"/>
      <c r="D5883" s="1"/>
    </row>
    <row r="5884" spans="3:4" x14ac:dyDescent="0.25">
      <c r="C5884" s="1"/>
      <c r="D5884" s="1"/>
    </row>
    <row r="5885" spans="3:4" x14ac:dyDescent="0.25">
      <c r="C5885" s="1"/>
      <c r="D5885" s="1"/>
    </row>
    <row r="5886" spans="3:4" x14ac:dyDescent="0.25">
      <c r="C5886" s="1"/>
      <c r="D5886" s="1"/>
    </row>
    <row r="5887" spans="3:4" x14ac:dyDescent="0.25">
      <c r="C5887" s="1"/>
      <c r="D5887" s="1"/>
    </row>
    <row r="5888" spans="3:4" x14ac:dyDescent="0.25">
      <c r="C5888" s="1"/>
      <c r="D5888" s="1"/>
    </row>
    <row r="5889" spans="3:4" x14ac:dyDescent="0.25">
      <c r="C5889" s="1"/>
      <c r="D5889" s="1"/>
    </row>
    <row r="5890" spans="3:4" x14ac:dyDescent="0.25">
      <c r="C5890" s="1"/>
      <c r="D5890" s="1"/>
    </row>
    <row r="5891" spans="3:4" x14ac:dyDescent="0.25">
      <c r="C5891" s="1"/>
      <c r="D5891" s="1"/>
    </row>
    <row r="5892" spans="3:4" x14ac:dyDescent="0.25">
      <c r="C5892" s="1"/>
      <c r="D5892" s="1"/>
    </row>
    <row r="5893" spans="3:4" x14ac:dyDescent="0.25">
      <c r="C5893" s="1"/>
      <c r="D5893" s="1"/>
    </row>
    <row r="5894" spans="3:4" x14ac:dyDescent="0.25">
      <c r="C5894" s="1"/>
      <c r="D5894" s="1"/>
    </row>
    <row r="5895" spans="3:4" x14ac:dyDescent="0.25">
      <c r="C5895" s="1"/>
      <c r="D5895" s="1"/>
    </row>
    <row r="5896" spans="3:4" x14ac:dyDescent="0.25">
      <c r="C5896" s="1"/>
      <c r="D5896" s="1"/>
    </row>
    <row r="5897" spans="3:4" x14ac:dyDescent="0.25">
      <c r="C5897" s="1"/>
      <c r="D5897" s="1"/>
    </row>
    <row r="5898" spans="3:4" x14ac:dyDescent="0.25">
      <c r="C5898" s="1"/>
      <c r="D5898" s="1"/>
    </row>
    <row r="5899" spans="3:4" x14ac:dyDescent="0.25">
      <c r="C5899" s="1"/>
      <c r="D5899" s="1"/>
    </row>
    <row r="5900" spans="3:4" x14ac:dyDescent="0.25">
      <c r="C5900" s="1"/>
      <c r="D5900" s="1"/>
    </row>
    <row r="5901" spans="3:4" x14ac:dyDescent="0.25">
      <c r="C5901" s="1"/>
      <c r="D5901" s="1"/>
    </row>
    <row r="5902" spans="3:4" x14ac:dyDescent="0.25">
      <c r="C5902" s="1"/>
      <c r="D5902" s="1"/>
    </row>
    <row r="5903" spans="3:4" x14ac:dyDescent="0.25">
      <c r="C5903" s="1"/>
      <c r="D5903" s="1"/>
    </row>
    <row r="5904" spans="3:4" x14ac:dyDescent="0.25">
      <c r="C5904" s="1"/>
      <c r="D5904" s="1"/>
    </row>
    <row r="5905" spans="3:4" x14ac:dyDescent="0.25">
      <c r="C5905" s="1"/>
      <c r="D5905" s="1"/>
    </row>
    <row r="5906" spans="3:4" x14ac:dyDescent="0.25">
      <c r="C5906" s="1"/>
      <c r="D5906" s="1"/>
    </row>
    <row r="5907" spans="3:4" x14ac:dyDescent="0.25">
      <c r="C5907" s="1"/>
      <c r="D5907" s="1"/>
    </row>
    <row r="5908" spans="3:4" x14ac:dyDescent="0.25">
      <c r="C5908" s="1"/>
      <c r="D5908" s="1"/>
    </row>
    <row r="5909" spans="3:4" x14ac:dyDescent="0.25">
      <c r="C5909" s="1"/>
      <c r="D5909" s="1"/>
    </row>
    <row r="5910" spans="3:4" x14ac:dyDescent="0.25">
      <c r="C5910" s="1"/>
      <c r="D5910" s="1"/>
    </row>
    <row r="5911" spans="3:4" x14ac:dyDescent="0.25">
      <c r="C5911" s="1"/>
      <c r="D5911" s="1"/>
    </row>
    <row r="5912" spans="3:4" x14ac:dyDescent="0.25">
      <c r="C5912" s="1"/>
      <c r="D5912" s="1"/>
    </row>
    <row r="5913" spans="3:4" x14ac:dyDescent="0.25">
      <c r="C5913" s="1"/>
      <c r="D5913" s="1"/>
    </row>
    <row r="5914" spans="3:4" x14ac:dyDescent="0.25">
      <c r="C5914" s="1"/>
      <c r="D5914" s="1"/>
    </row>
    <row r="5915" spans="3:4" x14ac:dyDescent="0.25">
      <c r="C5915" s="1"/>
      <c r="D5915" s="1"/>
    </row>
    <row r="5916" spans="3:4" x14ac:dyDescent="0.25">
      <c r="C5916" s="1"/>
      <c r="D5916" s="1"/>
    </row>
    <row r="5917" spans="3:4" x14ac:dyDescent="0.25">
      <c r="C5917" s="1"/>
      <c r="D5917" s="1"/>
    </row>
    <row r="5918" spans="3:4" x14ac:dyDescent="0.25">
      <c r="C5918" s="1"/>
      <c r="D5918" s="1"/>
    </row>
    <row r="5919" spans="3:4" x14ac:dyDescent="0.25">
      <c r="C5919" s="1"/>
      <c r="D5919" s="1"/>
    </row>
    <row r="5920" spans="3:4" x14ac:dyDescent="0.25">
      <c r="C5920" s="1"/>
      <c r="D5920" s="1"/>
    </row>
    <row r="5921" spans="3:4" x14ac:dyDescent="0.25">
      <c r="C5921" s="1"/>
      <c r="D5921" s="1"/>
    </row>
    <row r="5922" spans="3:4" x14ac:dyDescent="0.25">
      <c r="C5922" s="1"/>
      <c r="D5922" s="1"/>
    </row>
    <row r="5923" spans="3:4" x14ac:dyDescent="0.25">
      <c r="C5923" s="1"/>
      <c r="D5923" s="1"/>
    </row>
    <row r="5924" spans="3:4" x14ac:dyDescent="0.25">
      <c r="C5924" s="1"/>
      <c r="D5924" s="1"/>
    </row>
    <row r="5925" spans="3:4" x14ac:dyDescent="0.25">
      <c r="C5925" s="1"/>
      <c r="D5925" s="1"/>
    </row>
    <row r="5926" spans="3:4" x14ac:dyDescent="0.25">
      <c r="C5926" s="1"/>
      <c r="D5926" s="1"/>
    </row>
    <row r="5927" spans="3:4" x14ac:dyDescent="0.25">
      <c r="C5927" s="1"/>
      <c r="D5927" s="1"/>
    </row>
    <row r="5928" spans="3:4" x14ac:dyDescent="0.25">
      <c r="C5928" s="1"/>
      <c r="D5928" s="1"/>
    </row>
    <row r="5929" spans="3:4" x14ac:dyDescent="0.25">
      <c r="C5929" s="1"/>
      <c r="D5929" s="1"/>
    </row>
    <row r="5930" spans="3:4" x14ac:dyDescent="0.25">
      <c r="C5930" s="1"/>
      <c r="D5930" s="1"/>
    </row>
    <row r="5931" spans="3:4" x14ac:dyDescent="0.25">
      <c r="C5931" s="1"/>
      <c r="D5931" s="1"/>
    </row>
    <row r="5932" spans="3:4" x14ac:dyDescent="0.25">
      <c r="C5932" s="1"/>
      <c r="D5932" s="1"/>
    </row>
    <row r="5933" spans="3:4" x14ac:dyDescent="0.25">
      <c r="C5933" s="1"/>
      <c r="D5933" s="1"/>
    </row>
    <row r="5934" spans="3:4" x14ac:dyDescent="0.25">
      <c r="C5934" s="1"/>
      <c r="D5934" s="1"/>
    </row>
    <row r="5935" spans="3:4" x14ac:dyDescent="0.25">
      <c r="C5935" s="1"/>
      <c r="D5935" s="1"/>
    </row>
    <row r="5936" spans="3:4" x14ac:dyDescent="0.25">
      <c r="C5936" s="1"/>
      <c r="D5936" s="1"/>
    </row>
    <row r="5937" spans="3:4" x14ac:dyDescent="0.25">
      <c r="C5937" s="1"/>
      <c r="D5937" s="1"/>
    </row>
    <row r="5938" spans="3:4" x14ac:dyDescent="0.25">
      <c r="C5938" s="1"/>
      <c r="D5938" s="1"/>
    </row>
    <row r="5939" spans="3:4" x14ac:dyDescent="0.25">
      <c r="C5939" s="1"/>
      <c r="D5939" s="1"/>
    </row>
    <row r="5940" spans="3:4" x14ac:dyDescent="0.25">
      <c r="C5940" s="1"/>
      <c r="D5940" s="1"/>
    </row>
    <row r="5941" spans="3:4" x14ac:dyDescent="0.25">
      <c r="C5941" s="1"/>
      <c r="D5941" s="1"/>
    </row>
    <row r="5942" spans="3:4" x14ac:dyDescent="0.25">
      <c r="C5942" s="1"/>
      <c r="D5942" s="1"/>
    </row>
    <row r="5943" spans="3:4" x14ac:dyDescent="0.25">
      <c r="C5943" s="1"/>
      <c r="D5943" s="1"/>
    </row>
    <row r="5944" spans="3:4" x14ac:dyDescent="0.25">
      <c r="C5944" s="1"/>
      <c r="D5944" s="1"/>
    </row>
    <row r="5945" spans="3:4" x14ac:dyDescent="0.25">
      <c r="C5945" s="1"/>
      <c r="D5945" s="1"/>
    </row>
    <row r="5946" spans="3:4" x14ac:dyDescent="0.25">
      <c r="C5946" s="1"/>
      <c r="D5946" s="1"/>
    </row>
    <row r="5947" spans="3:4" x14ac:dyDescent="0.25">
      <c r="C5947" s="1"/>
      <c r="D5947" s="1"/>
    </row>
    <row r="5948" spans="3:4" x14ac:dyDescent="0.25">
      <c r="C5948" s="1"/>
      <c r="D5948" s="1"/>
    </row>
    <row r="5949" spans="3:4" x14ac:dyDescent="0.25">
      <c r="C5949" s="1"/>
      <c r="D5949" s="1"/>
    </row>
    <row r="5950" spans="3:4" x14ac:dyDescent="0.25">
      <c r="C5950" s="1"/>
      <c r="D5950" s="1"/>
    </row>
    <row r="5951" spans="3:4" x14ac:dyDescent="0.25">
      <c r="C5951" s="1"/>
      <c r="D5951" s="1"/>
    </row>
    <row r="5952" spans="3:4" x14ac:dyDescent="0.25">
      <c r="C5952" s="1"/>
      <c r="D5952" s="1"/>
    </row>
    <row r="5953" spans="3:4" x14ac:dyDescent="0.25">
      <c r="C5953" s="1"/>
      <c r="D5953" s="1"/>
    </row>
    <row r="5954" spans="3:4" x14ac:dyDescent="0.25">
      <c r="C5954" s="1"/>
      <c r="D5954" s="1"/>
    </row>
    <row r="5955" spans="3:4" x14ac:dyDescent="0.25">
      <c r="C5955" s="1"/>
      <c r="D5955" s="1"/>
    </row>
    <row r="5956" spans="3:4" x14ac:dyDescent="0.25">
      <c r="C5956" s="1"/>
      <c r="D5956" s="1"/>
    </row>
    <row r="5957" spans="3:4" x14ac:dyDescent="0.25">
      <c r="C5957" s="1"/>
      <c r="D5957" s="1"/>
    </row>
    <row r="5958" spans="3:4" x14ac:dyDescent="0.25">
      <c r="C5958" s="1"/>
      <c r="D5958" s="1"/>
    </row>
    <row r="5959" spans="3:4" x14ac:dyDescent="0.25">
      <c r="C5959" s="1"/>
      <c r="D5959" s="1"/>
    </row>
    <row r="5960" spans="3:4" x14ac:dyDescent="0.25">
      <c r="C5960" s="1"/>
      <c r="D5960" s="1"/>
    </row>
    <row r="5961" spans="3:4" x14ac:dyDescent="0.25">
      <c r="C5961" s="1"/>
      <c r="D5961" s="1"/>
    </row>
    <row r="5962" spans="3:4" x14ac:dyDescent="0.25">
      <c r="C5962" s="1"/>
      <c r="D5962" s="1"/>
    </row>
    <row r="5963" spans="3:4" x14ac:dyDescent="0.25">
      <c r="C5963" s="1"/>
      <c r="D5963" s="1"/>
    </row>
    <row r="5964" spans="3:4" x14ac:dyDescent="0.25">
      <c r="C5964" s="1"/>
      <c r="D5964" s="1"/>
    </row>
    <row r="5965" spans="3:4" x14ac:dyDescent="0.25">
      <c r="C5965" s="1"/>
      <c r="D5965" s="1"/>
    </row>
    <row r="5966" spans="3:4" x14ac:dyDescent="0.25">
      <c r="C5966" s="1"/>
      <c r="D5966" s="1"/>
    </row>
    <row r="5967" spans="3:4" x14ac:dyDescent="0.25">
      <c r="C5967" s="1"/>
      <c r="D5967" s="1"/>
    </row>
    <row r="5968" spans="3:4" x14ac:dyDescent="0.25">
      <c r="C5968" s="1"/>
      <c r="D5968" s="1"/>
    </row>
    <row r="5969" spans="3:4" x14ac:dyDescent="0.25">
      <c r="C5969" s="1"/>
      <c r="D5969" s="1"/>
    </row>
    <row r="5970" spans="3:4" x14ac:dyDescent="0.25">
      <c r="C5970" s="1"/>
      <c r="D5970" s="1"/>
    </row>
    <row r="5971" spans="3:4" x14ac:dyDescent="0.25">
      <c r="C5971" s="1"/>
      <c r="D5971" s="1"/>
    </row>
    <row r="5972" spans="3:4" x14ac:dyDescent="0.25">
      <c r="C5972" s="1"/>
      <c r="D5972" s="1"/>
    </row>
    <row r="5973" spans="3:4" x14ac:dyDescent="0.25">
      <c r="C5973" s="1"/>
      <c r="D5973" s="1"/>
    </row>
    <row r="5974" spans="3:4" x14ac:dyDescent="0.25">
      <c r="C5974" s="1"/>
      <c r="D5974" s="1"/>
    </row>
    <row r="5975" spans="3:4" x14ac:dyDescent="0.25">
      <c r="C5975" s="1"/>
      <c r="D5975" s="1"/>
    </row>
    <row r="5976" spans="3:4" x14ac:dyDescent="0.25">
      <c r="C5976" s="1"/>
      <c r="D5976" s="1"/>
    </row>
    <row r="5977" spans="3:4" x14ac:dyDescent="0.25">
      <c r="C5977" s="1"/>
      <c r="D5977" s="1"/>
    </row>
    <row r="5978" spans="3:4" x14ac:dyDescent="0.25">
      <c r="C5978" s="1"/>
      <c r="D5978" s="1"/>
    </row>
    <row r="5979" spans="3:4" x14ac:dyDescent="0.25">
      <c r="C5979" s="1"/>
      <c r="D5979" s="1"/>
    </row>
    <row r="5980" spans="3:4" x14ac:dyDescent="0.25">
      <c r="C5980" s="1"/>
      <c r="D5980" s="1"/>
    </row>
    <row r="5981" spans="3:4" x14ac:dyDescent="0.25">
      <c r="C5981" s="1"/>
      <c r="D5981" s="1"/>
    </row>
    <row r="5982" spans="3:4" x14ac:dyDescent="0.25">
      <c r="C5982" s="1"/>
      <c r="D5982" s="1"/>
    </row>
    <row r="5983" spans="3:4" x14ac:dyDescent="0.25">
      <c r="C5983" s="1"/>
      <c r="D5983" s="1"/>
    </row>
    <row r="5984" spans="3:4" x14ac:dyDescent="0.25">
      <c r="C5984" s="1"/>
      <c r="D5984" s="1"/>
    </row>
    <row r="5985" spans="3:4" x14ac:dyDescent="0.25">
      <c r="C5985" s="1"/>
      <c r="D5985" s="1"/>
    </row>
    <row r="5986" spans="3:4" x14ac:dyDescent="0.25">
      <c r="C5986" s="1"/>
      <c r="D5986" s="1"/>
    </row>
    <row r="5987" spans="3:4" x14ac:dyDescent="0.25">
      <c r="C5987" s="1"/>
      <c r="D5987" s="1"/>
    </row>
    <row r="5988" spans="3:4" x14ac:dyDescent="0.25">
      <c r="C5988" s="1"/>
      <c r="D5988" s="1"/>
    </row>
    <row r="5989" spans="3:4" x14ac:dyDescent="0.25">
      <c r="C5989" s="1"/>
      <c r="D5989" s="1"/>
    </row>
    <row r="5990" spans="3:4" x14ac:dyDescent="0.25">
      <c r="C5990" s="1"/>
      <c r="D5990" s="1"/>
    </row>
    <row r="5991" spans="3:4" x14ac:dyDescent="0.25">
      <c r="C5991" s="1"/>
      <c r="D5991" s="1"/>
    </row>
    <row r="5992" spans="3:4" x14ac:dyDescent="0.25">
      <c r="C5992" s="1"/>
      <c r="D5992" s="1"/>
    </row>
    <row r="5993" spans="3:4" x14ac:dyDescent="0.25">
      <c r="C5993" s="1"/>
      <c r="D5993" s="1"/>
    </row>
    <row r="5994" spans="3:4" x14ac:dyDescent="0.25">
      <c r="C5994" s="1"/>
      <c r="D5994" s="1"/>
    </row>
    <row r="5995" spans="3:4" x14ac:dyDescent="0.25">
      <c r="C5995" s="1"/>
      <c r="D5995" s="1"/>
    </row>
    <row r="5996" spans="3:4" x14ac:dyDescent="0.25">
      <c r="C5996" s="1"/>
      <c r="D5996" s="1"/>
    </row>
    <row r="5997" spans="3:4" x14ac:dyDescent="0.25">
      <c r="C5997" s="1"/>
      <c r="D5997" s="1"/>
    </row>
    <row r="5998" spans="3:4" x14ac:dyDescent="0.25">
      <c r="C5998" s="1"/>
      <c r="D5998" s="1"/>
    </row>
    <row r="5999" spans="3:4" x14ac:dyDescent="0.25">
      <c r="C5999" s="1"/>
      <c r="D5999" s="1"/>
    </row>
    <row r="6000" spans="3:4" x14ac:dyDescent="0.25">
      <c r="C6000" s="1"/>
      <c r="D6000" s="1"/>
    </row>
    <row r="6001" spans="3:4" x14ac:dyDescent="0.25">
      <c r="C6001" s="1"/>
      <c r="D6001" s="1"/>
    </row>
    <row r="6002" spans="3:4" x14ac:dyDescent="0.25">
      <c r="C6002" s="1"/>
      <c r="D6002" s="1"/>
    </row>
    <row r="6003" spans="3:4" x14ac:dyDescent="0.25">
      <c r="C6003" s="1"/>
      <c r="D6003" s="1"/>
    </row>
    <row r="6004" spans="3:4" x14ac:dyDescent="0.25">
      <c r="C6004" s="1"/>
      <c r="D6004" s="1"/>
    </row>
    <row r="6005" spans="3:4" x14ac:dyDescent="0.25">
      <c r="C6005" s="1"/>
      <c r="D6005" s="1"/>
    </row>
    <row r="6006" spans="3:4" x14ac:dyDescent="0.25">
      <c r="C6006" s="1"/>
      <c r="D6006" s="1"/>
    </row>
    <row r="6007" spans="3:4" x14ac:dyDescent="0.25">
      <c r="C6007" s="1"/>
      <c r="D6007" s="1"/>
    </row>
    <row r="6008" spans="3:4" x14ac:dyDescent="0.25">
      <c r="C6008" s="1"/>
      <c r="D6008" s="1"/>
    </row>
    <row r="6009" spans="3:4" x14ac:dyDescent="0.25">
      <c r="C6009" s="1"/>
      <c r="D6009" s="1"/>
    </row>
    <row r="6010" spans="3:4" x14ac:dyDescent="0.25">
      <c r="C6010" s="1"/>
      <c r="D6010" s="1"/>
    </row>
    <row r="6011" spans="3:4" x14ac:dyDescent="0.25">
      <c r="C6011" s="1"/>
      <c r="D6011" s="1"/>
    </row>
    <row r="6012" spans="3:4" x14ac:dyDescent="0.25">
      <c r="C6012" s="1"/>
      <c r="D6012" s="1"/>
    </row>
    <row r="6013" spans="3:4" x14ac:dyDescent="0.25">
      <c r="C6013" s="1"/>
      <c r="D6013" s="1"/>
    </row>
    <row r="6014" spans="3:4" x14ac:dyDescent="0.25">
      <c r="C6014" s="1"/>
      <c r="D6014" s="1"/>
    </row>
    <row r="6015" spans="3:4" x14ac:dyDescent="0.25">
      <c r="C6015" s="1"/>
      <c r="D6015" s="1"/>
    </row>
    <row r="6016" spans="3:4" x14ac:dyDescent="0.25">
      <c r="C6016" s="1"/>
      <c r="D6016" s="1"/>
    </row>
    <row r="6017" spans="3:4" x14ac:dyDescent="0.25">
      <c r="C6017" s="1"/>
      <c r="D6017" s="1"/>
    </row>
    <row r="6018" spans="3:4" x14ac:dyDescent="0.25">
      <c r="C6018" s="1"/>
      <c r="D6018" s="1"/>
    </row>
    <row r="6019" spans="3:4" x14ac:dyDescent="0.25">
      <c r="C6019" s="1"/>
      <c r="D6019" s="1"/>
    </row>
    <row r="6020" spans="3:4" x14ac:dyDescent="0.25">
      <c r="C6020" s="1"/>
      <c r="D6020" s="1"/>
    </row>
    <row r="6021" spans="3:4" x14ac:dyDescent="0.25">
      <c r="C6021" s="1"/>
      <c r="D6021" s="1"/>
    </row>
    <row r="6022" spans="3:4" x14ac:dyDescent="0.25">
      <c r="C6022" s="1"/>
      <c r="D6022" s="1"/>
    </row>
    <row r="6023" spans="3:4" x14ac:dyDescent="0.25">
      <c r="C6023" s="1"/>
      <c r="D6023" s="1"/>
    </row>
    <row r="6024" spans="3:4" x14ac:dyDescent="0.25">
      <c r="C6024" s="1"/>
      <c r="D6024" s="1"/>
    </row>
    <row r="6025" spans="3:4" x14ac:dyDescent="0.25">
      <c r="C6025" s="1"/>
      <c r="D6025" s="1"/>
    </row>
    <row r="6026" spans="3:4" x14ac:dyDescent="0.25">
      <c r="C6026" s="1"/>
      <c r="D6026" s="1"/>
    </row>
    <row r="6027" spans="3:4" x14ac:dyDescent="0.25">
      <c r="C6027" s="1"/>
      <c r="D6027" s="1"/>
    </row>
    <row r="6028" spans="3:4" x14ac:dyDescent="0.25">
      <c r="C6028" s="1"/>
      <c r="D6028" s="1"/>
    </row>
    <row r="6029" spans="3:4" x14ac:dyDescent="0.25">
      <c r="C6029" s="1"/>
      <c r="D6029" s="1"/>
    </row>
    <row r="6030" spans="3:4" x14ac:dyDescent="0.25">
      <c r="C6030" s="1"/>
      <c r="D6030" s="1"/>
    </row>
    <row r="6031" spans="3:4" x14ac:dyDescent="0.25">
      <c r="C6031" s="1"/>
      <c r="D6031" s="1"/>
    </row>
    <row r="6032" spans="3:4" x14ac:dyDescent="0.25">
      <c r="C6032" s="1"/>
      <c r="D6032" s="1"/>
    </row>
    <row r="6033" spans="3:4" x14ac:dyDescent="0.25">
      <c r="C6033" s="1"/>
      <c r="D6033" s="1"/>
    </row>
    <row r="6034" spans="3:4" x14ac:dyDescent="0.25">
      <c r="C6034" s="1"/>
      <c r="D6034" s="1"/>
    </row>
    <row r="6035" spans="3:4" x14ac:dyDescent="0.25">
      <c r="C6035" s="1"/>
      <c r="D6035" s="1"/>
    </row>
    <row r="6036" spans="3:4" x14ac:dyDescent="0.25">
      <c r="C6036" s="1"/>
      <c r="D6036" s="1"/>
    </row>
    <row r="6037" spans="3:4" x14ac:dyDescent="0.25">
      <c r="C6037" s="1"/>
      <c r="D6037" s="1"/>
    </row>
    <row r="6038" spans="3:4" x14ac:dyDescent="0.25">
      <c r="C6038" s="1"/>
      <c r="D6038" s="1"/>
    </row>
    <row r="6039" spans="3:4" x14ac:dyDescent="0.25">
      <c r="C6039" s="1"/>
      <c r="D6039" s="1"/>
    </row>
    <row r="6040" spans="3:4" x14ac:dyDescent="0.25">
      <c r="C6040" s="1"/>
      <c r="D6040" s="1"/>
    </row>
    <row r="6041" spans="3:4" x14ac:dyDescent="0.25">
      <c r="C6041" s="1"/>
      <c r="D6041" s="1"/>
    </row>
    <row r="6042" spans="3:4" x14ac:dyDescent="0.25">
      <c r="C6042" s="1"/>
      <c r="D6042" s="1"/>
    </row>
    <row r="6043" spans="3:4" x14ac:dyDescent="0.25">
      <c r="C6043" s="1"/>
      <c r="D6043" s="1"/>
    </row>
    <row r="6044" spans="3:4" x14ac:dyDescent="0.25">
      <c r="C6044" s="1"/>
      <c r="D6044" s="1"/>
    </row>
    <row r="6045" spans="3:4" x14ac:dyDescent="0.25">
      <c r="C6045" s="1"/>
      <c r="D6045" s="1"/>
    </row>
    <row r="6046" spans="3:4" x14ac:dyDescent="0.25">
      <c r="C6046" s="1"/>
      <c r="D6046" s="1"/>
    </row>
    <row r="6047" spans="3:4" x14ac:dyDescent="0.25">
      <c r="C6047" s="1"/>
      <c r="D6047" s="1"/>
    </row>
    <row r="6048" spans="3:4" x14ac:dyDescent="0.25">
      <c r="C6048" s="1"/>
      <c r="D6048" s="1"/>
    </row>
    <row r="6049" spans="3:4" x14ac:dyDescent="0.25">
      <c r="C6049" s="1"/>
      <c r="D6049" s="1"/>
    </row>
    <row r="6050" spans="3:4" x14ac:dyDescent="0.25">
      <c r="C6050" s="1"/>
      <c r="D6050" s="1"/>
    </row>
    <row r="6051" spans="3:4" x14ac:dyDescent="0.25">
      <c r="C6051" s="1"/>
      <c r="D6051" s="1"/>
    </row>
    <row r="6052" spans="3:4" x14ac:dyDescent="0.25">
      <c r="C6052" s="1"/>
      <c r="D6052" s="1"/>
    </row>
    <row r="6053" spans="3:4" x14ac:dyDescent="0.25">
      <c r="C6053" s="1"/>
      <c r="D6053" s="1"/>
    </row>
    <row r="6054" spans="3:4" x14ac:dyDescent="0.25">
      <c r="C6054" s="1"/>
      <c r="D6054" s="1"/>
    </row>
    <row r="6055" spans="3:4" x14ac:dyDescent="0.25">
      <c r="C6055" s="1"/>
      <c r="D6055" s="1"/>
    </row>
    <row r="6056" spans="3:4" x14ac:dyDescent="0.25">
      <c r="C6056" s="1"/>
      <c r="D6056" s="1"/>
    </row>
    <row r="6057" spans="3:4" x14ac:dyDescent="0.25">
      <c r="C6057" s="1"/>
      <c r="D6057" s="1"/>
    </row>
    <row r="6058" spans="3:4" x14ac:dyDescent="0.25">
      <c r="C6058" s="1"/>
      <c r="D6058" s="1"/>
    </row>
    <row r="6059" spans="3:4" x14ac:dyDescent="0.25">
      <c r="C6059" s="1"/>
      <c r="D6059" s="1"/>
    </row>
    <row r="6060" spans="3:4" x14ac:dyDescent="0.25">
      <c r="C6060" s="1"/>
      <c r="D6060" s="1"/>
    </row>
    <row r="6061" spans="3:4" x14ac:dyDescent="0.25">
      <c r="C6061" s="1"/>
      <c r="D6061" s="1"/>
    </row>
    <row r="6062" spans="3:4" x14ac:dyDescent="0.25">
      <c r="C6062" s="1"/>
      <c r="D6062" s="1"/>
    </row>
    <row r="6063" spans="3:4" x14ac:dyDescent="0.25">
      <c r="C6063" s="1"/>
      <c r="D6063" s="1"/>
    </row>
    <row r="6064" spans="3:4" x14ac:dyDescent="0.25">
      <c r="C6064" s="1"/>
      <c r="D6064" s="1"/>
    </row>
    <row r="6065" spans="3:4" x14ac:dyDescent="0.25">
      <c r="C6065" s="1"/>
      <c r="D6065" s="1"/>
    </row>
    <row r="6066" spans="3:4" x14ac:dyDescent="0.25">
      <c r="C6066" s="1"/>
      <c r="D6066" s="1"/>
    </row>
    <row r="6067" spans="3:4" x14ac:dyDescent="0.25">
      <c r="C6067" s="1"/>
      <c r="D6067" s="1"/>
    </row>
    <row r="6068" spans="3:4" x14ac:dyDescent="0.25">
      <c r="C6068" s="1"/>
      <c r="D6068" s="1"/>
    </row>
    <row r="6069" spans="3:4" x14ac:dyDescent="0.25">
      <c r="C6069" s="1"/>
      <c r="D6069" s="1"/>
    </row>
    <row r="6070" spans="3:4" x14ac:dyDescent="0.25">
      <c r="C6070" s="1"/>
      <c r="D6070" s="1"/>
    </row>
    <row r="6071" spans="3:4" x14ac:dyDescent="0.25">
      <c r="C6071" s="1"/>
      <c r="D6071" s="1"/>
    </row>
    <row r="6072" spans="3:4" x14ac:dyDescent="0.25">
      <c r="C6072" s="1"/>
      <c r="D6072" s="1"/>
    </row>
    <row r="6073" spans="3:4" x14ac:dyDescent="0.25">
      <c r="C6073" s="1"/>
      <c r="D6073" s="1"/>
    </row>
    <row r="6074" spans="3:4" x14ac:dyDescent="0.25">
      <c r="C6074" s="1"/>
      <c r="D6074" s="1"/>
    </row>
    <row r="6075" spans="3:4" x14ac:dyDescent="0.25">
      <c r="C6075" s="1"/>
      <c r="D6075" s="1"/>
    </row>
    <row r="6076" spans="3:4" x14ac:dyDescent="0.25">
      <c r="C6076" s="1"/>
      <c r="D6076" s="1"/>
    </row>
    <row r="6077" spans="3:4" x14ac:dyDescent="0.25">
      <c r="C6077" s="1"/>
      <c r="D6077" s="1"/>
    </row>
    <row r="6078" spans="3:4" x14ac:dyDescent="0.25">
      <c r="C6078" s="1"/>
      <c r="D6078" s="1"/>
    </row>
    <row r="6079" spans="3:4" x14ac:dyDescent="0.25">
      <c r="C6079" s="1"/>
      <c r="D6079" s="1"/>
    </row>
    <row r="6080" spans="3:4" x14ac:dyDescent="0.25">
      <c r="C6080" s="1"/>
      <c r="D6080" s="1"/>
    </row>
    <row r="6081" spans="3:4" x14ac:dyDescent="0.25">
      <c r="C6081" s="1"/>
      <c r="D6081" s="1"/>
    </row>
    <row r="6082" spans="3:4" x14ac:dyDescent="0.25">
      <c r="C6082" s="1"/>
      <c r="D6082" s="1"/>
    </row>
    <row r="6083" spans="3:4" x14ac:dyDescent="0.25">
      <c r="C6083" s="1"/>
      <c r="D6083" s="1"/>
    </row>
    <row r="6084" spans="3:4" x14ac:dyDescent="0.25">
      <c r="C6084" s="1"/>
      <c r="D6084" s="1"/>
    </row>
    <row r="6085" spans="3:4" x14ac:dyDescent="0.25">
      <c r="C6085" s="1"/>
      <c r="D6085" s="1"/>
    </row>
    <row r="6086" spans="3:4" x14ac:dyDescent="0.25">
      <c r="C6086" s="1"/>
      <c r="D6086" s="1"/>
    </row>
    <row r="6087" spans="3:4" x14ac:dyDescent="0.25">
      <c r="C6087" s="1"/>
      <c r="D6087" s="1"/>
    </row>
    <row r="6088" spans="3:4" x14ac:dyDescent="0.25">
      <c r="C6088" s="1"/>
      <c r="D6088" s="1"/>
    </row>
    <row r="6089" spans="3:4" x14ac:dyDescent="0.25">
      <c r="C6089" s="1"/>
      <c r="D6089" s="1"/>
    </row>
    <row r="6090" spans="3:4" x14ac:dyDescent="0.25">
      <c r="C6090" s="1"/>
      <c r="D6090" s="1"/>
    </row>
    <row r="6091" spans="3:4" x14ac:dyDescent="0.25">
      <c r="C6091" s="1"/>
      <c r="D6091" s="1"/>
    </row>
    <row r="6092" spans="3:4" x14ac:dyDescent="0.25">
      <c r="C6092" s="1"/>
      <c r="D6092" s="1"/>
    </row>
    <row r="6093" spans="3:4" x14ac:dyDescent="0.25">
      <c r="C6093" s="1"/>
      <c r="D6093" s="1"/>
    </row>
    <row r="6094" spans="3:4" x14ac:dyDescent="0.25">
      <c r="C6094" s="1"/>
      <c r="D6094" s="1"/>
    </row>
    <row r="6095" spans="3:4" x14ac:dyDescent="0.25">
      <c r="C6095" s="1"/>
      <c r="D6095" s="1"/>
    </row>
    <row r="6096" spans="3:4" x14ac:dyDescent="0.25">
      <c r="C6096" s="1"/>
      <c r="D6096" s="1"/>
    </row>
    <row r="6097" spans="3:4" x14ac:dyDescent="0.25">
      <c r="C6097" s="1"/>
      <c r="D6097" s="1"/>
    </row>
    <row r="6098" spans="3:4" x14ac:dyDescent="0.25">
      <c r="C6098" s="1"/>
      <c r="D6098" s="1"/>
    </row>
    <row r="6099" spans="3:4" x14ac:dyDescent="0.25">
      <c r="C6099" s="1"/>
      <c r="D6099" s="1"/>
    </row>
    <row r="6100" spans="3:4" x14ac:dyDescent="0.25">
      <c r="C6100" s="1"/>
      <c r="D6100" s="1"/>
    </row>
    <row r="6101" spans="3:4" x14ac:dyDescent="0.25">
      <c r="C6101" s="1"/>
      <c r="D6101" s="1"/>
    </row>
    <row r="6102" spans="3:4" x14ac:dyDescent="0.25">
      <c r="C6102" s="1"/>
      <c r="D6102" s="1"/>
    </row>
    <row r="6103" spans="3:4" x14ac:dyDescent="0.25">
      <c r="C6103" s="1"/>
      <c r="D6103" s="1"/>
    </row>
    <row r="6104" spans="3:4" x14ac:dyDescent="0.25">
      <c r="C6104" s="1"/>
      <c r="D6104" s="1"/>
    </row>
    <row r="6105" spans="3:4" x14ac:dyDescent="0.25">
      <c r="C6105" s="1"/>
      <c r="D6105" s="1"/>
    </row>
    <row r="6106" spans="3:4" x14ac:dyDescent="0.25">
      <c r="C6106" s="1"/>
      <c r="D6106" s="1"/>
    </row>
    <row r="6107" spans="3:4" x14ac:dyDescent="0.25">
      <c r="C6107" s="1"/>
      <c r="D6107" s="1"/>
    </row>
    <row r="6108" spans="3:4" x14ac:dyDescent="0.25">
      <c r="C6108" s="1"/>
      <c r="D6108" s="1"/>
    </row>
    <row r="6109" spans="3:4" x14ac:dyDescent="0.25">
      <c r="C6109" s="1"/>
      <c r="D6109" s="1"/>
    </row>
    <row r="6110" spans="3:4" x14ac:dyDescent="0.25">
      <c r="C6110" s="1"/>
      <c r="D6110" s="1"/>
    </row>
    <row r="6111" spans="3:4" x14ac:dyDescent="0.25">
      <c r="C6111" s="1"/>
      <c r="D6111" s="1"/>
    </row>
    <row r="6112" spans="3:4" x14ac:dyDescent="0.25">
      <c r="C6112" s="1"/>
      <c r="D6112" s="1"/>
    </row>
    <row r="6113" spans="3:4" x14ac:dyDescent="0.25">
      <c r="C6113" s="1"/>
      <c r="D6113" s="1"/>
    </row>
    <row r="6114" spans="3:4" x14ac:dyDescent="0.25">
      <c r="C6114" s="1"/>
      <c r="D6114" s="1"/>
    </row>
    <row r="6115" spans="3:4" x14ac:dyDescent="0.25">
      <c r="C6115" s="1"/>
      <c r="D6115" s="1"/>
    </row>
    <row r="6116" spans="3:4" x14ac:dyDescent="0.25">
      <c r="C6116" s="1"/>
      <c r="D6116" s="1"/>
    </row>
    <row r="6117" spans="3:4" x14ac:dyDescent="0.25">
      <c r="C6117" s="1"/>
      <c r="D6117" s="1"/>
    </row>
    <row r="6118" spans="3:4" x14ac:dyDescent="0.25">
      <c r="C6118" s="1"/>
      <c r="D6118" s="1"/>
    </row>
    <row r="6119" spans="3:4" x14ac:dyDescent="0.25">
      <c r="C6119" s="1"/>
      <c r="D6119" s="1"/>
    </row>
    <row r="6120" spans="3:4" x14ac:dyDescent="0.25">
      <c r="C6120" s="1"/>
      <c r="D6120" s="1"/>
    </row>
    <row r="6121" spans="3:4" x14ac:dyDescent="0.25">
      <c r="C6121" s="1"/>
      <c r="D6121" s="1"/>
    </row>
    <row r="6122" spans="3:4" x14ac:dyDescent="0.25">
      <c r="C6122" s="1"/>
      <c r="D6122" s="1"/>
    </row>
    <row r="6123" spans="3:4" x14ac:dyDescent="0.25">
      <c r="C6123" s="1"/>
      <c r="D6123" s="1"/>
    </row>
    <row r="6124" spans="3:4" x14ac:dyDescent="0.25">
      <c r="C6124" s="1"/>
      <c r="D6124" s="1"/>
    </row>
    <row r="6125" spans="3:4" x14ac:dyDescent="0.25">
      <c r="C6125" s="1"/>
      <c r="D6125" s="1"/>
    </row>
    <row r="6126" spans="3:4" x14ac:dyDescent="0.25">
      <c r="C6126" s="1"/>
      <c r="D6126" s="1"/>
    </row>
    <row r="6127" spans="3:4" x14ac:dyDescent="0.25">
      <c r="C6127" s="1"/>
      <c r="D6127" s="1"/>
    </row>
    <row r="6128" spans="3:4" x14ac:dyDescent="0.25">
      <c r="C6128" s="1"/>
      <c r="D6128" s="1"/>
    </row>
    <row r="6129" spans="3:4" x14ac:dyDescent="0.25">
      <c r="C6129" s="1"/>
      <c r="D6129" s="1"/>
    </row>
    <row r="6130" spans="3:4" x14ac:dyDescent="0.25">
      <c r="C6130" s="1"/>
      <c r="D6130" s="1"/>
    </row>
    <row r="6131" spans="3:4" x14ac:dyDescent="0.25">
      <c r="C6131" s="1"/>
      <c r="D6131" s="1"/>
    </row>
    <row r="6132" spans="3:4" x14ac:dyDescent="0.25">
      <c r="C6132" s="1"/>
      <c r="D6132" s="1"/>
    </row>
    <row r="6133" spans="3:4" x14ac:dyDescent="0.25">
      <c r="C6133" s="1"/>
      <c r="D6133" s="1"/>
    </row>
    <row r="6134" spans="3:4" x14ac:dyDescent="0.25">
      <c r="C6134" s="1"/>
      <c r="D6134" s="1"/>
    </row>
    <row r="6135" spans="3:4" x14ac:dyDescent="0.25">
      <c r="C6135" s="1"/>
      <c r="D6135" s="1"/>
    </row>
    <row r="6136" spans="3:4" x14ac:dyDescent="0.25">
      <c r="C6136" s="1"/>
      <c r="D6136" s="1"/>
    </row>
    <row r="6137" spans="3:4" x14ac:dyDescent="0.25">
      <c r="C6137" s="1"/>
      <c r="D6137" s="1"/>
    </row>
    <row r="6138" spans="3:4" x14ac:dyDescent="0.25">
      <c r="C6138" s="1"/>
      <c r="D6138" s="1"/>
    </row>
    <row r="6139" spans="3:4" x14ac:dyDescent="0.25">
      <c r="C6139" s="1"/>
      <c r="D6139" s="1"/>
    </row>
    <row r="6140" spans="3:4" x14ac:dyDescent="0.25">
      <c r="C6140" s="1"/>
      <c r="D6140" s="1"/>
    </row>
    <row r="6141" spans="3:4" x14ac:dyDescent="0.25">
      <c r="C6141" s="1"/>
      <c r="D6141" s="1"/>
    </row>
    <row r="6142" spans="3:4" x14ac:dyDescent="0.25">
      <c r="C6142" s="1"/>
      <c r="D6142" s="1"/>
    </row>
    <row r="6143" spans="3:4" x14ac:dyDescent="0.25">
      <c r="C6143" s="1"/>
      <c r="D6143" s="1"/>
    </row>
    <row r="6144" spans="3:4" x14ac:dyDescent="0.25">
      <c r="C6144" s="1"/>
      <c r="D6144" s="1"/>
    </row>
    <row r="6145" spans="3:4" x14ac:dyDescent="0.25">
      <c r="C6145" s="1"/>
      <c r="D6145" s="1"/>
    </row>
    <row r="6146" spans="3:4" x14ac:dyDescent="0.25">
      <c r="C6146" s="1"/>
      <c r="D6146" s="1"/>
    </row>
    <row r="6147" spans="3:4" x14ac:dyDescent="0.25">
      <c r="C6147" s="1"/>
      <c r="D6147" s="1"/>
    </row>
    <row r="6148" spans="3:4" x14ac:dyDescent="0.25">
      <c r="C6148" s="1"/>
      <c r="D6148" s="1"/>
    </row>
    <row r="6149" spans="3:4" x14ac:dyDescent="0.25">
      <c r="C6149" s="1"/>
      <c r="D6149" s="1"/>
    </row>
    <row r="6150" spans="3:4" x14ac:dyDescent="0.25">
      <c r="C6150" s="1"/>
      <c r="D6150" s="1"/>
    </row>
    <row r="6151" spans="3:4" x14ac:dyDescent="0.25">
      <c r="C6151" s="1"/>
      <c r="D6151" s="1"/>
    </row>
    <row r="6152" spans="3:4" x14ac:dyDescent="0.25">
      <c r="C6152" s="1"/>
      <c r="D6152" s="1"/>
    </row>
    <row r="6153" spans="3:4" x14ac:dyDescent="0.25">
      <c r="C6153" s="1"/>
      <c r="D6153" s="1"/>
    </row>
    <row r="6154" spans="3:4" x14ac:dyDescent="0.25">
      <c r="C6154" s="1"/>
      <c r="D6154" s="1"/>
    </row>
    <row r="6155" spans="3:4" x14ac:dyDescent="0.25">
      <c r="C6155" s="1"/>
      <c r="D6155" s="1"/>
    </row>
    <row r="6156" spans="3:4" x14ac:dyDescent="0.25">
      <c r="C6156" s="1"/>
      <c r="D6156" s="1"/>
    </row>
    <row r="6157" spans="3:4" x14ac:dyDescent="0.25">
      <c r="C6157" s="1"/>
      <c r="D6157" s="1"/>
    </row>
    <row r="6158" spans="3:4" x14ac:dyDescent="0.25">
      <c r="C6158" s="1"/>
      <c r="D6158" s="1"/>
    </row>
    <row r="6159" spans="3:4" x14ac:dyDescent="0.25">
      <c r="C6159" s="1"/>
      <c r="D6159" s="1"/>
    </row>
    <row r="6160" spans="3:4" x14ac:dyDescent="0.25">
      <c r="C6160" s="1"/>
      <c r="D6160" s="1"/>
    </row>
    <row r="6161" spans="3:4" x14ac:dyDescent="0.25">
      <c r="C6161" s="1"/>
      <c r="D6161" s="1"/>
    </row>
    <row r="6162" spans="3:4" x14ac:dyDescent="0.25">
      <c r="C6162" s="1"/>
      <c r="D6162" s="1"/>
    </row>
    <row r="6163" spans="3:4" x14ac:dyDescent="0.25">
      <c r="C6163" s="1"/>
      <c r="D6163" s="1"/>
    </row>
    <row r="6164" spans="3:4" x14ac:dyDescent="0.25">
      <c r="C6164" s="1"/>
      <c r="D6164" s="1"/>
    </row>
    <row r="6165" spans="3:4" x14ac:dyDescent="0.25">
      <c r="C6165" s="1"/>
      <c r="D6165" s="1"/>
    </row>
    <row r="6166" spans="3:4" x14ac:dyDescent="0.25">
      <c r="C6166" s="1"/>
      <c r="D6166" s="1"/>
    </row>
    <row r="6167" spans="3:4" x14ac:dyDescent="0.25">
      <c r="C6167" s="1"/>
      <c r="D6167" s="1"/>
    </row>
    <row r="6168" spans="3:4" x14ac:dyDescent="0.25">
      <c r="C6168" s="1"/>
      <c r="D6168" s="1"/>
    </row>
    <row r="6169" spans="3:4" x14ac:dyDescent="0.25">
      <c r="C6169" s="1"/>
      <c r="D6169" s="1"/>
    </row>
    <row r="6170" spans="3:4" x14ac:dyDescent="0.25">
      <c r="C6170" s="1"/>
      <c r="D6170" s="1"/>
    </row>
    <row r="6171" spans="3:4" x14ac:dyDescent="0.25">
      <c r="C6171" s="1"/>
      <c r="D6171" s="1"/>
    </row>
    <row r="6172" spans="3:4" x14ac:dyDescent="0.25">
      <c r="C6172" s="1"/>
      <c r="D6172" s="1"/>
    </row>
    <row r="6173" spans="3:4" x14ac:dyDescent="0.25">
      <c r="C6173" s="1"/>
      <c r="D6173" s="1"/>
    </row>
    <row r="6174" spans="3:4" x14ac:dyDescent="0.25">
      <c r="C6174" s="1"/>
      <c r="D6174" s="1"/>
    </row>
    <row r="6175" spans="3:4" x14ac:dyDescent="0.25">
      <c r="C6175" s="1"/>
      <c r="D6175" s="1"/>
    </row>
    <row r="6176" spans="3:4" x14ac:dyDescent="0.25">
      <c r="C6176" s="1"/>
      <c r="D6176" s="1"/>
    </row>
    <row r="6177" spans="3:4" x14ac:dyDescent="0.25">
      <c r="C6177" s="1"/>
      <c r="D6177" s="1"/>
    </row>
    <row r="6178" spans="3:4" x14ac:dyDescent="0.25">
      <c r="C6178" s="1"/>
      <c r="D6178" s="1"/>
    </row>
    <row r="6179" spans="3:4" x14ac:dyDescent="0.25">
      <c r="C6179" s="1"/>
      <c r="D6179" s="1"/>
    </row>
    <row r="6180" spans="3:4" x14ac:dyDescent="0.25">
      <c r="C6180" s="1"/>
      <c r="D6180" s="1"/>
    </row>
    <row r="6181" spans="3:4" x14ac:dyDescent="0.25">
      <c r="C6181" s="1"/>
      <c r="D6181" s="1"/>
    </row>
    <row r="6182" spans="3:4" x14ac:dyDescent="0.25">
      <c r="C6182" s="1"/>
      <c r="D6182" s="1"/>
    </row>
    <row r="6183" spans="3:4" x14ac:dyDescent="0.25">
      <c r="C6183" s="1"/>
      <c r="D6183" s="1"/>
    </row>
    <row r="6184" spans="3:4" x14ac:dyDescent="0.25">
      <c r="C6184" s="1"/>
      <c r="D6184" s="1"/>
    </row>
    <row r="6185" spans="3:4" x14ac:dyDescent="0.25">
      <c r="C6185" s="1"/>
      <c r="D6185" s="1"/>
    </row>
    <row r="6186" spans="3:4" x14ac:dyDescent="0.25">
      <c r="C6186" s="1"/>
      <c r="D6186" s="1"/>
    </row>
    <row r="6187" spans="3:4" x14ac:dyDescent="0.25">
      <c r="C6187" s="1"/>
      <c r="D6187" s="1"/>
    </row>
    <row r="6188" spans="3:4" x14ac:dyDescent="0.25">
      <c r="C6188" s="1"/>
      <c r="D6188" s="1"/>
    </row>
    <row r="6189" spans="3:4" x14ac:dyDescent="0.25">
      <c r="C6189" s="1"/>
      <c r="D6189" s="1"/>
    </row>
    <row r="6190" spans="3:4" x14ac:dyDescent="0.25">
      <c r="C6190" s="1"/>
      <c r="D6190" s="1"/>
    </row>
    <row r="6191" spans="3:4" x14ac:dyDescent="0.25">
      <c r="C6191" s="1"/>
      <c r="D6191" s="1"/>
    </row>
    <row r="6192" spans="3:4" x14ac:dyDescent="0.25">
      <c r="C6192" s="1"/>
      <c r="D6192" s="1"/>
    </row>
    <row r="6193" spans="3:4" x14ac:dyDescent="0.25">
      <c r="C6193" s="1"/>
      <c r="D6193" s="1"/>
    </row>
    <row r="6194" spans="3:4" x14ac:dyDescent="0.25">
      <c r="C6194" s="1"/>
      <c r="D6194" s="1"/>
    </row>
    <row r="6195" spans="3:4" x14ac:dyDescent="0.25">
      <c r="C6195" s="1"/>
      <c r="D6195" s="1"/>
    </row>
    <row r="6196" spans="3:4" x14ac:dyDescent="0.25">
      <c r="C6196" s="1"/>
      <c r="D6196" s="1"/>
    </row>
    <row r="6197" spans="3:4" x14ac:dyDescent="0.25">
      <c r="C6197" s="1"/>
      <c r="D6197" s="1"/>
    </row>
    <row r="6198" spans="3:4" x14ac:dyDescent="0.25">
      <c r="C6198" s="1"/>
      <c r="D6198" s="1"/>
    </row>
    <row r="6199" spans="3:4" x14ac:dyDescent="0.25">
      <c r="C6199" s="1"/>
      <c r="D6199" s="1"/>
    </row>
    <row r="6200" spans="3:4" x14ac:dyDescent="0.25">
      <c r="C6200" s="1"/>
      <c r="D6200" s="1"/>
    </row>
    <row r="6201" spans="3:4" x14ac:dyDescent="0.25">
      <c r="C6201" s="1"/>
      <c r="D6201" s="1"/>
    </row>
    <row r="6202" spans="3:4" x14ac:dyDescent="0.25">
      <c r="C6202" s="1"/>
      <c r="D6202" s="1"/>
    </row>
    <row r="6203" spans="3:4" x14ac:dyDescent="0.25">
      <c r="C6203" s="1"/>
      <c r="D6203" s="1"/>
    </row>
    <row r="6204" spans="3:4" x14ac:dyDescent="0.25">
      <c r="C6204" s="1"/>
      <c r="D6204" s="1"/>
    </row>
    <row r="6205" spans="3:4" x14ac:dyDescent="0.25">
      <c r="C6205" s="1"/>
      <c r="D6205" s="1"/>
    </row>
    <row r="6206" spans="3:4" x14ac:dyDescent="0.25">
      <c r="C6206" s="1"/>
      <c r="D6206" s="1"/>
    </row>
    <row r="6207" spans="3:4" x14ac:dyDescent="0.25">
      <c r="C6207" s="1"/>
      <c r="D6207" s="1"/>
    </row>
    <row r="6208" spans="3:4" x14ac:dyDescent="0.25">
      <c r="C6208" s="1"/>
      <c r="D6208" s="1"/>
    </row>
    <row r="6209" spans="3:4" x14ac:dyDescent="0.25">
      <c r="C6209" s="1"/>
      <c r="D6209" s="1"/>
    </row>
    <row r="6210" spans="3:4" x14ac:dyDescent="0.25">
      <c r="C6210" s="1"/>
      <c r="D6210" s="1"/>
    </row>
    <row r="6211" spans="3:4" x14ac:dyDescent="0.25">
      <c r="C6211" s="1"/>
      <c r="D6211" s="1"/>
    </row>
    <row r="6212" spans="3:4" x14ac:dyDescent="0.25">
      <c r="C6212" s="1"/>
      <c r="D6212" s="1"/>
    </row>
    <row r="6213" spans="3:4" x14ac:dyDescent="0.25">
      <c r="C6213" s="1"/>
      <c r="D6213" s="1"/>
    </row>
    <row r="6214" spans="3:4" x14ac:dyDescent="0.25">
      <c r="C6214" s="1"/>
      <c r="D6214" s="1"/>
    </row>
    <row r="6215" spans="3:4" x14ac:dyDescent="0.25">
      <c r="C6215" s="1"/>
      <c r="D6215" s="1"/>
    </row>
    <row r="6216" spans="3:4" x14ac:dyDescent="0.25">
      <c r="C6216" s="1"/>
      <c r="D6216" s="1"/>
    </row>
    <row r="6217" spans="3:4" x14ac:dyDescent="0.25">
      <c r="C6217" s="1"/>
      <c r="D6217" s="1"/>
    </row>
    <row r="6218" spans="3:4" x14ac:dyDescent="0.25">
      <c r="C6218" s="1"/>
      <c r="D6218" s="1"/>
    </row>
    <row r="6219" spans="3:4" x14ac:dyDescent="0.25">
      <c r="C6219" s="1"/>
      <c r="D6219" s="1"/>
    </row>
    <row r="6220" spans="3:4" x14ac:dyDescent="0.25">
      <c r="C6220" s="1"/>
      <c r="D6220" s="1"/>
    </row>
    <row r="6221" spans="3:4" x14ac:dyDescent="0.25">
      <c r="C6221" s="1"/>
      <c r="D6221" s="1"/>
    </row>
    <row r="6222" spans="3:4" x14ac:dyDescent="0.25">
      <c r="C6222" s="1"/>
      <c r="D6222" s="1"/>
    </row>
    <row r="6223" spans="3:4" x14ac:dyDescent="0.25">
      <c r="C6223" s="1"/>
      <c r="D6223" s="1"/>
    </row>
    <row r="6224" spans="3:4" x14ac:dyDescent="0.25">
      <c r="C6224" s="1"/>
      <c r="D6224" s="1"/>
    </row>
    <row r="6225" spans="3:4" x14ac:dyDescent="0.25">
      <c r="C6225" s="1"/>
      <c r="D6225" s="1"/>
    </row>
    <row r="6226" spans="3:4" x14ac:dyDescent="0.25">
      <c r="C6226" s="1"/>
      <c r="D6226" s="1"/>
    </row>
    <row r="6227" spans="3:4" x14ac:dyDescent="0.25">
      <c r="C6227" s="1"/>
      <c r="D6227" s="1"/>
    </row>
    <row r="6228" spans="3:4" x14ac:dyDescent="0.25">
      <c r="C6228" s="1"/>
      <c r="D6228" s="1"/>
    </row>
    <row r="6229" spans="3:4" x14ac:dyDescent="0.25">
      <c r="C6229" s="1"/>
      <c r="D6229" s="1"/>
    </row>
    <row r="6230" spans="3:4" x14ac:dyDescent="0.25">
      <c r="C6230" s="1"/>
      <c r="D6230" s="1"/>
    </row>
    <row r="6231" spans="3:4" x14ac:dyDescent="0.25">
      <c r="C6231" s="1"/>
      <c r="D6231" s="1"/>
    </row>
    <row r="6232" spans="3:4" x14ac:dyDescent="0.25">
      <c r="C6232" s="1"/>
      <c r="D6232" s="1"/>
    </row>
    <row r="6233" spans="3:4" x14ac:dyDescent="0.25">
      <c r="C6233" s="1"/>
      <c r="D6233" s="1"/>
    </row>
    <row r="6234" spans="3:4" x14ac:dyDescent="0.25">
      <c r="C6234" s="1"/>
      <c r="D6234" s="1"/>
    </row>
    <row r="6235" spans="3:4" x14ac:dyDescent="0.25">
      <c r="C6235" s="1"/>
      <c r="D6235" s="1"/>
    </row>
    <row r="6236" spans="3:4" x14ac:dyDescent="0.25">
      <c r="C6236" s="1"/>
      <c r="D6236" s="1"/>
    </row>
    <row r="6237" spans="3:4" x14ac:dyDescent="0.25">
      <c r="C6237" s="1"/>
      <c r="D6237" s="1"/>
    </row>
    <row r="6238" spans="3:4" x14ac:dyDescent="0.25">
      <c r="C6238" s="1"/>
      <c r="D6238" s="1"/>
    </row>
    <row r="6239" spans="3:4" x14ac:dyDescent="0.25">
      <c r="C6239" s="1"/>
      <c r="D6239" s="1"/>
    </row>
    <row r="6240" spans="3:4" x14ac:dyDescent="0.25">
      <c r="C6240" s="1"/>
      <c r="D6240" s="1"/>
    </row>
    <row r="6241" spans="3:4" x14ac:dyDescent="0.25">
      <c r="C6241" s="1"/>
      <c r="D6241" s="1"/>
    </row>
    <row r="6242" spans="3:4" x14ac:dyDescent="0.25">
      <c r="C6242" s="1"/>
      <c r="D6242" s="1"/>
    </row>
    <row r="6243" spans="3:4" x14ac:dyDescent="0.25">
      <c r="C6243" s="1"/>
      <c r="D6243" s="1"/>
    </row>
    <row r="6244" spans="3:4" x14ac:dyDescent="0.25">
      <c r="C6244" s="1"/>
      <c r="D6244" s="1"/>
    </row>
    <row r="6245" spans="3:4" x14ac:dyDescent="0.25">
      <c r="C6245" s="1"/>
      <c r="D6245" s="1"/>
    </row>
    <row r="6246" spans="3:4" x14ac:dyDescent="0.25">
      <c r="C6246" s="1"/>
      <c r="D6246" s="1"/>
    </row>
    <row r="6247" spans="3:4" x14ac:dyDescent="0.25">
      <c r="C6247" s="1"/>
      <c r="D6247" s="1"/>
    </row>
    <row r="6248" spans="3:4" x14ac:dyDescent="0.25">
      <c r="C6248" s="1"/>
      <c r="D6248" s="1"/>
    </row>
    <row r="6249" spans="3:4" x14ac:dyDescent="0.25">
      <c r="C6249" s="1"/>
      <c r="D6249" s="1"/>
    </row>
    <row r="6250" spans="3:4" x14ac:dyDescent="0.25">
      <c r="C6250" s="1"/>
      <c r="D6250" s="1"/>
    </row>
    <row r="6251" spans="3:4" x14ac:dyDescent="0.25">
      <c r="C6251" s="1"/>
      <c r="D6251" s="1"/>
    </row>
    <row r="6252" spans="3:4" x14ac:dyDescent="0.25">
      <c r="C6252" s="1"/>
      <c r="D6252" s="1"/>
    </row>
    <row r="6253" spans="3:4" x14ac:dyDescent="0.25">
      <c r="C6253" s="1"/>
      <c r="D6253" s="1"/>
    </row>
    <row r="6254" spans="3:4" x14ac:dyDescent="0.25">
      <c r="C6254" s="1"/>
      <c r="D6254" s="1"/>
    </row>
    <row r="6255" spans="3:4" x14ac:dyDescent="0.25">
      <c r="C6255" s="1"/>
      <c r="D6255" s="1"/>
    </row>
    <row r="6256" spans="3:4" x14ac:dyDescent="0.25">
      <c r="C6256" s="1"/>
      <c r="D6256" s="1"/>
    </row>
    <row r="6257" spans="3:4" x14ac:dyDescent="0.25">
      <c r="C6257" s="1"/>
      <c r="D6257" s="1"/>
    </row>
    <row r="6258" spans="3:4" x14ac:dyDescent="0.25">
      <c r="C6258" s="1"/>
      <c r="D6258" s="1"/>
    </row>
    <row r="6259" spans="3:4" x14ac:dyDescent="0.25">
      <c r="C6259" s="1"/>
      <c r="D6259" s="1"/>
    </row>
    <row r="6260" spans="3:4" x14ac:dyDescent="0.25">
      <c r="C6260" s="1"/>
      <c r="D6260" s="1"/>
    </row>
    <row r="6261" spans="3:4" x14ac:dyDescent="0.25">
      <c r="C6261" s="1"/>
      <c r="D6261" s="1"/>
    </row>
    <row r="6262" spans="3:4" x14ac:dyDescent="0.25">
      <c r="C6262" s="1"/>
      <c r="D6262" s="1"/>
    </row>
    <row r="6263" spans="3:4" x14ac:dyDescent="0.25">
      <c r="C6263" s="1"/>
      <c r="D6263" s="1"/>
    </row>
    <row r="6264" spans="3:4" x14ac:dyDescent="0.25">
      <c r="C6264" s="1"/>
      <c r="D6264" s="1"/>
    </row>
    <row r="6265" spans="3:4" x14ac:dyDescent="0.25">
      <c r="C6265" s="1"/>
      <c r="D6265" s="1"/>
    </row>
    <row r="6266" spans="3:4" x14ac:dyDescent="0.25">
      <c r="C6266" s="1"/>
      <c r="D6266" s="1"/>
    </row>
    <row r="6267" spans="3:4" x14ac:dyDescent="0.25">
      <c r="C6267" s="1"/>
      <c r="D6267" s="1"/>
    </row>
    <row r="6268" spans="3:4" x14ac:dyDescent="0.25">
      <c r="C6268" s="1"/>
      <c r="D6268" s="1"/>
    </row>
    <row r="6269" spans="3:4" x14ac:dyDescent="0.25">
      <c r="C6269" s="1"/>
      <c r="D6269" s="1"/>
    </row>
    <row r="6270" spans="3:4" x14ac:dyDescent="0.25">
      <c r="C6270" s="1"/>
      <c r="D6270" s="1"/>
    </row>
    <row r="6271" spans="3:4" x14ac:dyDescent="0.25">
      <c r="C6271" s="1"/>
      <c r="D6271" s="1"/>
    </row>
    <row r="6272" spans="3:4" x14ac:dyDescent="0.25">
      <c r="C6272" s="1"/>
      <c r="D6272" s="1"/>
    </row>
    <row r="6273" spans="3:4" x14ac:dyDescent="0.25">
      <c r="C6273" s="1"/>
      <c r="D6273" s="1"/>
    </row>
    <row r="6274" spans="3:4" x14ac:dyDescent="0.25">
      <c r="C6274" s="1"/>
      <c r="D6274" s="1"/>
    </row>
    <row r="6275" spans="3:4" x14ac:dyDescent="0.25">
      <c r="C6275" s="1"/>
      <c r="D6275" s="1"/>
    </row>
    <row r="6276" spans="3:4" x14ac:dyDescent="0.25">
      <c r="C6276" s="1"/>
      <c r="D6276" s="1"/>
    </row>
    <row r="6277" spans="3:4" x14ac:dyDescent="0.25">
      <c r="C6277" s="1"/>
      <c r="D6277" s="1"/>
    </row>
    <row r="6278" spans="3:4" x14ac:dyDescent="0.25">
      <c r="C6278" s="1"/>
      <c r="D6278" s="1"/>
    </row>
    <row r="6279" spans="3:4" x14ac:dyDescent="0.25">
      <c r="C6279" s="1"/>
      <c r="D6279" s="1"/>
    </row>
    <row r="6280" spans="3:4" x14ac:dyDescent="0.25">
      <c r="C6280" s="1"/>
      <c r="D6280" s="1"/>
    </row>
    <row r="6281" spans="3:4" x14ac:dyDescent="0.25">
      <c r="C6281" s="1"/>
      <c r="D6281" s="1"/>
    </row>
    <row r="6282" spans="3:4" x14ac:dyDescent="0.25">
      <c r="C6282" s="1"/>
      <c r="D6282" s="1"/>
    </row>
    <row r="6283" spans="3:4" x14ac:dyDescent="0.25">
      <c r="C6283" s="1"/>
      <c r="D6283" s="1"/>
    </row>
    <row r="6284" spans="3:4" x14ac:dyDescent="0.25">
      <c r="C6284" s="1"/>
      <c r="D6284" s="1"/>
    </row>
    <row r="6285" spans="3:4" x14ac:dyDescent="0.25">
      <c r="C6285" s="1"/>
      <c r="D6285" s="1"/>
    </row>
    <row r="6286" spans="3:4" x14ac:dyDescent="0.25">
      <c r="C6286" s="1"/>
      <c r="D6286" s="1"/>
    </row>
    <row r="6287" spans="3:4" x14ac:dyDescent="0.25">
      <c r="C6287" s="1"/>
      <c r="D6287" s="1"/>
    </row>
    <row r="6288" spans="3:4" x14ac:dyDescent="0.25">
      <c r="C6288" s="1"/>
      <c r="D6288" s="1"/>
    </row>
    <row r="6289" spans="3:4" x14ac:dyDescent="0.25">
      <c r="C6289" s="1"/>
      <c r="D6289" s="1"/>
    </row>
    <row r="6290" spans="3:4" x14ac:dyDescent="0.25">
      <c r="C6290" s="1"/>
      <c r="D6290" s="1"/>
    </row>
    <row r="6291" spans="3:4" x14ac:dyDescent="0.25">
      <c r="C6291" s="1"/>
      <c r="D6291" s="1"/>
    </row>
    <row r="6292" spans="3:4" x14ac:dyDescent="0.25">
      <c r="C6292" s="1"/>
      <c r="D6292" s="1"/>
    </row>
    <row r="6293" spans="3:4" x14ac:dyDescent="0.25">
      <c r="C6293" s="1"/>
      <c r="D6293" s="1"/>
    </row>
    <row r="6294" spans="3:4" x14ac:dyDescent="0.25">
      <c r="C6294" s="1"/>
      <c r="D6294" s="1"/>
    </row>
    <row r="6295" spans="3:4" x14ac:dyDescent="0.25">
      <c r="C6295" s="1"/>
      <c r="D6295" s="1"/>
    </row>
    <row r="6296" spans="3:4" x14ac:dyDescent="0.25">
      <c r="C6296" s="1"/>
      <c r="D6296" s="1"/>
    </row>
    <row r="6297" spans="3:4" x14ac:dyDescent="0.25">
      <c r="C6297" s="1"/>
      <c r="D6297" s="1"/>
    </row>
    <row r="6298" spans="3:4" x14ac:dyDescent="0.25">
      <c r="C6298" s="1"/>
      <c r="D6298" s="1"/>
    </row>
    <row r="6299" spans="3:4" x14ac:dyDescent="0.25">
      <c r="C6299" s="1"/>
      <c r="D6299" s="1"/>
    </row>
    <row r="6300" spans="3:4" x14ac:dyDescent="0.25">
      <c r="C6300" s="1"/>
      <c r="D6300" s="1"/>
    </row>
    <row r="6301" spans="3:4" x14ac:dyDescent="0.25">
      <c r="C6301" s="1"/>
      <c r="D6301" s="1"/>
    </row>
    <row r="6302" spans="3:4" x14ac:dyDescent="0.25">
      <c r="C6302" s="1"/>
      <c r="D6302" s="1"/>
    </row>
    <row r="6303" spans="3:4" x14ac:dyDescent="0.25">
      <c r="C6303" s="1"/>
      <c r="D6303" s="1"/>
    </row>
    <row r="6304" spans="3:4" x14ac:dyDescent="0.25">
      <c r="C6304" s="1"/>
      <c r="D6304" s="1"/>
    </row>
    <row r="6305" spans="3:4" x14ac:dyDescent="0.25">
      <c r="C6305" s="1"/>
      <c r="D6305" s="1"/>
    </row>
    <row r="6306" spans="3:4" x14ac:dyDescent="0.25">
      <c r="C6306" s="1"/>
      <c r="D6306" s="1"/>
    </row>
    <row r="6307" spans="3:4" x14ac:dyDescent="0.25">
      <c r="C6307" s="1"/>
      <c r="D6307" s="1"/>
    </row>
    <row r="6308" spans="3:4" x14ac:dyDescent="0.25">
      <c r="C6308" s="1"/>
      <c r="D6308" s="1"/>
    </row>
    <row r="6309" spans="3:4" x14ac:dyDescent="0.25">
      <c r="C6309" s="1"/>
      <c r="D6309" s="1"/>
    </row>
    <row r="6310" spans="3:4" x14ac:dyDescent="0.25">
      <c r="C6310" s="1"/>
      <c r="D6310" s="1"/>
    </row>
    <row r="6311" spans="3:4" x14ac:dyDescent="0.25">
      <c r="C6311" s="1"/>
      <c r="D6311" s="1"/>
    </row>
    <row r="6312" spans="3:4" x14ac:dyDescent="0.25">
      <c r="C6312" s="1"/>
      <c r="D6312" s="1"/>
    </row>
    <row r="6313" spans="3:4" x14ac:dyDescent="0.25">
      <c r="C6313" s="1"/>
      <c r="D6313" s="1"/>
    </row>
    <row r="6314" spans="3:4" x14ac:dyDescent="0.25">
      <c r="C6314" s="1"/>
      <c r="D6314" s="1"/>
    </row>
    <row r="6315" spans="3:4" x14ac:dyDescent="0.25">
      <c r="C6315" s="1"/>
      <c r="D6315" s="1"/>
    </row>
    <row r="6316" spans="3:4" x14ac:dyDescent="0.25">
      <c r="C6316" s="1"/>
      <c r="D6316" s="1"/>
    </row>
    <row r="6317" spans="3:4" x14ac:dyDescent="0.25">
      <c r="C6317" s="1"/>
      <c r="D6317" s="1"/>
    </row>
    <row r="6318" spans="3:4" x14ac:dyDescent="0.25">
      <c r="C6318" s="1"/>
      <c r="D6318" s="1"/>
    </row>
    <row r="6319" spans="3:4" x14ac:dyDescent="0.25">
      <c r="C6319" s="1"/>
      <c r="D6319" s="1"/>
    </row>
    <row r="6320" spans="3:4" x14ac:dyDescent="0.25">
      <c r="C6320" s="1"/>
      <c r="D6320" s="1"/>
    </row>
    <row r="6321" spans="3:4" x14ac:dyDescent="0.25">
      <c r="C6321" s="1"/>
      <c r="D6321" s="1"/>
    </row>
    <row r="6322" spans="3:4" x14ac:dyDescent="0.25">
      <c r="C6322" s="1"/>
      <c r="D6322" s="1"/>
    </row>
    <row r="6323" spans="3:4" x14ac:dyDescent="0.25">
      <c r="C6323" s="1"/>
      <c r="D6323" s="1"/>
    </row>
    <row r="6324" spans="3:4" x14ac:dyDescent="0.25">
      <c r="C6324" s="1"/>
      <c r="D6324" s="1"/>
    </row>
    <row r="6325" spans="3:4" x14ac:dyDescent="0.25">
      <c r="C6325" s="1"/>
      <c r="D6325" s="1"/>
    </row>
    <row r="6326" spans="3:4" x14ac:dyDescent="0.25">
      <c r="C6326" s="1"/>
      <c r="D6326" s="1"/>
    </row>
    <row r="6327" spans="3:4" x14ac:dyDescent="0.25">
      <c r="C6327" s="1"/>
      <c r="D6327" s="1"/>
    </row>
    <row r="6328" spans="3:4" x14ac:dyDescent="0.25">
      <c r="C6328" s="1"/>
      <c r="D6328" s="1"/>
    </row>
    <row r="6329" spans="3:4" x14ac:dyDescent="0.25">
      <c r="C6329" s="1"/>
      <c r="D6329" s="1"/>
    </row>
    <row r="6330" spans="3:4" x14ac:dyDescent="0.25">
      <c r="C6330" s="1"/>
      <c r="D6330" s="1"/>
    </row>
    <row r="6331" spans="3:4" x14ac:dyDescent="0.25">
      <c r="C6331" s="1"/>
      <c r="D6331" s="1"/>
    </row>
    <row r="6332" spans="3:4" x14ac:dyDescent="0.25">
      <c r="C6332" s="1"/>
      <c r="D6332" s="1"/>
    </row>
    <row r="6333" spans="3:4" x14ac:dyDescent="0.25">
      <c r="C6333" s="1"/>
      <c r="D6333" s="1"/>
    </row>
    <row r="6334" spans="3:4" x14ac:dyDescent="0.25">
      <c r="C6334" s="1"/>
      <c r="D6334" s="1"/>
    </row>
    <row r="6335" spans="3:4" x14ac:dyDescent="0.25">
      <c r="C6335" s="1"/>
      <c r="D6335" s="1"/>
    </row>
    <row r="6336" spans="3:4" x14ac:dyDescent="0.25">
      <c r="C6336" s="1"/>
      <c r="D6336" s="1"/>
    </row>
    <row r="6337" spans="3:4" x14ac:dyDescent="0.25">
      <c r="C6337" s="1"/>
      <c r="D6337" s="1"/>
    </row>
    <row r="6338" spans="3:4" x14ac:dyDescent="0.25">
      <c r="C6338" s="1"/>
      <c r="D6338" s="1"/>
    </row>
    <row r="6339" spans="3:4" x14ac:dyDescent="0.25">
      <c r="C6339" s="1"/>
      <c r="D6339" s="1"/>
    </row>
    <row r="6340" spans="3:4" x14ac:dyDescent="0.25">
      <c r="C6340" s="1"/>
      <c r="D6340" s="1"/>
    </row>
    <row r="6341" spans="3:4" x14ac:dyDescent="0.25">
      <c r="C6341" s="1"/>
      <c r="D6341" s="1"/>
    </row>
    <row r="6342" spans="3:4" x14ac:dyDescent="0.25">
      <c r="C6342" s="1"/>
      <c r="D6342" s="1"/>
    </row>
    <row r="6343" spans="3:4" x14ac:dyDescent="0.25">
      <c r="C6343" s="1"/>
      <c r="D6343" s="1"/>
    </row>
    <row r="6344" spans="3:4" x14ac:dyDescent="0.25">
      <c r="C6344" s="1"/>
      <c r="D6344" s="1"/>
    </row>
    <row r="6345" spans="3:4" x14ac:dyDescent="0.25">
      <c r="C6345" s="1"/>
      <c r="D6345" s="1"/>
    </row>
    <row r="6346" spans="3:4" x14ac:dyDescent="0.25">
      <c r="C6346" s="1"/>
      <c r="D6346" s="1"/>
    </row>
    <row r="6347" spans="3:4" x14ac:dyDescent="0.25">
      <c r="C6347" s="1"/>
      <c r="D6347" s="1"/>
    </row>
    <row r="6348" spans="3:4" x14ac:dyDescent="0.25">
      <c r="C6348" s="1"/>
      <c r="D6348" s="1"/>
    </row>
    <row r="6349" spans="3:4" x14ac:dyDescent="0.25">
      <c r="C6349" s="1"/>
      <c r="D6349" s="1"/>
    </row>
    <row r="6350" spans="3:4" x14ac:dyDescent="0.25">
      <c r="C6350" s="1"/>
      <c r="D6350" s="1"/>
    </row>
    <row r="6351" spans="3:4" x14ac:dyDescent="0.25">
      <c r="C6351" s="1"/>
      <c r="D6351" s="1"/>
    </row>
    <row r="6352" spans="3:4" x14ac:dyDescent="0.25">
      <c r="C6352" s="1"/>
      <c r="D6352" s="1"/>
    </row>
    <row r="6353" spans="3:4" x14ac:dyDescent="0.25">
      <c r="C6353" s="1"/>
      <c r="D6353" s="1"/>
    </row>
    <row r="6354" spans="3:4" x14ac:dyDescent="0.25">
      <c r="C6354" s="1"/>
      <c r="D6354" s="1"/>
    </row>
    <row r="6355" spans="3:4" x14ac:dyDescent="0.25">
      <c r="C6355" s="1"/>
      <c r="D6355" s="1"/>
    </row>
    <row r="6356" spans="3:4" x14ac:dyDescent="0.25">
      <c r="C6356" s="1"/>
      <c r="D6356" s="1"/>
    </row>
    <row r="6357" spans="3:4" x14ac:dyDescent="0.25">
      <c r="C6357" s="1"/>
      <c r="D6357" s="1"/>
    </row>
    <row r="6358" spans="3:4" x14ac:dyDescent="0.25">
      <c r="C6358" s="1"/>
      <c r="D6358" s="1"/>
    </row>
    <row r="6359" spans="3:4" x14ac:dyDescent="0.25">
      <c r="C6359" s="1"/>
      <c r="D6359" s="1"/>
    </row>
    <row r="6360" spans="3:4" x14ac:dyDescent="0.25">
      <c r="C6360" s="1"/>
      <c r="D6360" s="1"/>
    </row>
    <row r="6361" spans="3:4" x14ac:dyDescent="0.25">
      <c r="C6361" s="1"/>
      <c r="D6361" s="1"/>
    </row>
    <row r="6362" spans="3:4" x14ac:dyDescent="0.25">
      <c r="C6362" s="1"/>
      <c r="D6362" s="1"/>
    </row>
    <row r="6363" spans="3:4" x14ac:dyDescent="0.25">
      <c r="C6363" s="1"/>
      <c r="D6363" s="1"/>
    </row>
    <row r="6364" spans="3:4" x14ac:dyDescent="0.25">
      <c r="C6364" s="1"/>
      <c r="D6364" s="1"/>
    </row>
    <row r="6365" spans="3:4" x14ac:dyDescent="0.25">
      <c r="C6365" s="1"/>
      <c r="D6365" s="1"/>
    </row>
    <row r="6366" spans="3:4" x14ac:dyDescent="0.25">
      <c r="C6366" s="1"/>
      <c r="D6366" s="1"/>
    </row>
    <row r="6367" spans="3:4" x14ac:dyDescent="0.25">
      <c r="C6367" s="1"/>
      <c r="D6367" s="1"/>
    </row>
    <row r="6368" spans="3:4" x14ac:dyDescent="0.25">
      <c r="C6368" s="1"/>
      <c r="D6368" s="1"/>
    </row>
    <row r="6369" spans="3:4" x14ac:dyDescent="0.25">
      <c r="C6369" s="1"/>
      <c r="D6369" s="1"/>
    </row>
    <row r="6370" spans="3:4" x14ac:dyDescent="0.25">
      <c r="C6370" s="1"/>
      <c r="D6370" s="1"/>
    </row>
    <row r="6371" spans="3:4" x14ac:dyDescent="0.25">
      <c r="C6371" s="1"/>
      <c r="D6371" s="1"/>
    </row>
    <row r="6372" spans="3:4" x14ac:dyDescent="0.25">
      <c r="C6372" s="1"/>
      <c r="D6372" s="1"/>
    </row>
    <row r="6373" spans="3:4" x14ac:dyDescent="0.25">
      <c r="C6373" s="1"/>
      <c r="D6373" s="1"/>
    </row>
    <row r="6374" spans="3:4" x14ac:dyDescent="0.25">
      <c r="C6374" s="1"/>
      <c r="D6374" s="1"/>
    </row>
    <row r="6375" spans="3:4" x14ac:dyDescent="0.25">
      <c r="C6375" s="1"/>
      <c r="D6375" s="1"/>
    </row>
    <row r="6376" spans="3:4" x14ac:dyDescent="0.25">
      <c r="C6376" s="1"/>
      <c r="D6376" s="1"/>
    </row>
    <row r="6377" spans="3:4" x14ac:dyDescent="0.25">
      <c r="C6377" s="1"/>
      <c r="D6377" s="1"/>
    </row>
    <row r="6378" spans="3:4" x14ac:dyDescent="0.25">
      <c r="C6378" s="1"/>
      <c r="D6378" s="1"/>
    </row>
    <row r="6379" spans="3:4" x14ac:dyDescent="0.25">
      <c r="C6379" s="1"/>
      <c r="D6379" s="1"/>
    </row>
    <row r="6380" spans="3:4" x14ac:dyDescent="0.25">
      <c r="C6380" s="1"/>
      <c r="D6380" s="1"/>
    </row>
    <row r="6381" spans="3:4" x14ac:dyDescent="0.25">
      <c r="C6381" s="1"/>
      <c r="D6381" s="1"/>
    </row>
    <row r="6382" spans="3:4" x14ac:dyDescent="0.25">
      <c r="C6382" s="1"/>
      <c r="D6382" s="1"/>
    </row>
    <row r="6383" spans="3:4" x14ac:dyDescent="0.25">
      <c r="C6383" s="1"/>
      <c r="D6383" s="1"/>
    </row>
    <row r="6384" spans="3:4" x14ac:dyDescent="0.25">
      <c r="C6384" s="1"/>
      <c r="D6384" s="1"/>
    </row>
    <row r="6385" spans="3:4" x14ac:dyDescent="0.25">
      <c r="C6385" s="1"/>
      <c r="D6385" s="1"/>
    </row>
    <row r="6386" spans="3:4" x14ac:dyDescent="0.25">
      <c r="C6386" s="1"/>
      <c r="D6386" s="1"/>
    </row>
    <row r="6387" spans="3:4" x14ac:dyDescent="0.25">
      <c r="C6387" s="1"/>
      <c r="D6387" s="1"/>
    </row>
    <row r="6388" spans="3:4" x14ac:dyDescent="0.25">
      <c r="C6388" s="1"/>
      <c r="D6388" s="1"/>
    </row>
    <row r="6389" spans="3:4" x14ac:dyDescent="0.25">
      <c r="C6389" s="1"/>
      <c r="D6389" s="1"/>
    </row>
    <row r="6390" spans="3:4" x14ac:dyDescent="0.25">
      <c r="C6390" s="1"/>
      <c r="D6390" s="1"/>
    </row>
    <row r="6391" spans="3:4" x14ac:dyDescent="0.25">
      <c r="C6391" s="1"/>
      <c r="D6391" s="1"/>
    </row>
    <row r="6392" spans="3:4" x14ac:dyDescent="0.25">
      <c r="C6392" s="1"/>
      <c r="D6392" s="1"/>
    </row>
    <row r="6393" spans="3:4" x14ac:dyDescent="0.25">
      <c r="C6393" s="1"/>
      <c r="D6393" s="1"/>
    </row>
    <row r="6394" spans="3:4" x14ac:dyDescent="0.25">
      <c r="C6394" s="1"/>
      <c r="D6394" s="1"/>
    </row>
    <row r="6395" spans="3:4" x14ac:dyDescent="0.25">
      <c r="C6395" s="1"/>
      <c r="D6395" s="1"/>
    </row>
    <row r="6396" spans="3:4" x14ac:dyDescent="0.25">
      <c r="C6396" s="1"/>
      <c r="D6396" s="1"/>
    </row>
    <row r="6397" spans="3:4" x14ac:dyDescent="0.25">
      <c r="C6397" s="1"/>
      <c r="D6397" s="1"/>
    </row>
    <row r="6398" spans="3:4" x14ac:dyDescent="0.25">
      <c r="C6398" s="1"/>
      <c r="D6398" s="1"/>
    </row>
    <row r="6399" spans="3:4" x14ac:dyDescent="0.25">
      <c r="C6399" s="1"/>
      <c r="D6399" s="1"/>
    </row>
    <row r="6400" spans="3:4" x14ac:dyDescent="0.25">
      <c r="C6400" s="1"/>
      <c r="D6400" s="1"/>
    </row>
    <row r="6401" spans="3:4" x14ac:dyDescent="0.25">
      <c r="C6401" s="1"/>
      <c r="D6401" s="1"/>
    </row>
    <row r="6402" spans="3:4" x14ac:dyDescent="0.25">
      <c r="C6402" s="1"/>
      <c r="D6402" s="1"/>
    </row>
    <row r="6403" spans="3:4" x14ac:dyDescent="0.25">
      <c r="C6403" s="1"/>
      <c r="D6403" s="1"/>
    </row>
    <row r="6404" spans="3:4" x14ac:dyDescent="0.25">
      <c r="C6404" s="1"/>
      <c r="D6404" s="1"/>
    </row>
    <row r="6405" spans="3:4" x14ac:dyDescent="0.25">
      <c r="C6405" s="1"/>
      <c r="D6405" s="1"/>
    </row>
    <row r="6406" spans="3:4" x14ac:dyDescent="0.25">
      <c r="C6406" s="1"/>
      <c r="D6406" s="1"/>
    </row>
    <row r="6407" spans="3:4" x14ac:dyDescent="0.25">
      <c r="C6407" s="1"/>
      <c r="D6407" s="1"/>
    </row>
    <row r="6408" spans="3:4" x14ac:dyDescent="0.25">
      <c r="C6408" s="1"/>
      <c r="D6408" s="1"/>
    </row>
    <row r="6409" spans="3:4" x14ac:dyDescent="0.25">
      <c r="C6409" s="1"/>
      <c r="D6409" s="1"/>
    </row>
    <row r="6410" spans="3:4" x14ac:dyDescent="0.25">
      <c r="C6410" s="1"/>
      <c r="D6410" s="1"/>
    </row>
    <row r="6411" spans="3:4" x14ac:dyDescent="0.25">
      <c r="C6411" s="1"/>
      <c r="D6411" s="1"/>
    </row>
    <row r="6412" spans="3:4" x14ac:dyDescent="0.25">
      <c r="C6412" s="1"/>
      <c r="D6412" s="1"/>
    </row>
    <row r="6413" spans="3:4" x14ac:dyDescent="0.25">
      <c r="C6413" s="1"/>
      <c r="D6413" s="1"/>
    </row>
    <row r="6414" spans="3:4" x14ac:dyDescent="0.25">
      <c r="C6414" s="1"/>
      <c r="D6414" s="1"/>
    </row>
    <row r="6415" spans="3:4" x14ac:dyDescent="0.25">
      <c r="C6415" s="1"/>
      <c r="D6415" s="1"/>
    </row>
    <row r="6416" spans="3:4" x14ac:dyDescent="0.25">
      <c r="C6416" s="1"/>
      <c r="D6416" s="1"/>
    </row>
    <row r="6417" spans="3:4" x14ac:dyDescent="0.25">
      <c r="C6417" s="1"/>
      <c r="D6417" s="1"/>
    </row>
    <row r="6418" spans="3:4" x14ac:dyDescent="0.25">
      <c r="C6418" s="1"/>
      <c r="D6418" s="1"/>
    </row>
    <row r="6419" spans="3:4" x14ac:dyDescent="0.25">
      <c r="C6419" s="1"/>
      <c r="D6419" s="1"/>
    </row>
    <row r="6420" spans="3:4" x14ac:dyDescent="0.25">
      <c r="C6420" s="1"/>
      <c r="D6420" s="1"/>
    </row>
    <row r="6421" spans="3:4" x14ac:dyDescent="0.25">
      <c r="C6421" s="1"/>
      <c r="D6421" s="1"/>
    </row>
    <row r="6422" spans="3:4" x14ac:dyDescent="0.25">
      <c r="C6422" s="1"/>
      <c r="D6422" s="1"/>
    </row>
    <row r="6423" spans="3:4" x14ac:dyDescent="0.25">
      <c r="C6423" s="1"/>
      <c r="D6423" s="1"/>
    </row>
    <row r="6424" spans="3:4" x14ac:dyDescent="0.25">
      <c r="C6424" s="1"/>
      <c r="D6424" s="1"/>
    </row>
    <row r="6425" spans="3:4" x14ac:dyDescent="0.25">
      <c r="C6425" s="1"/>
      <c r="D6425" s="1"/>
    </row>
    <row r="6426" spans="3:4" x14ac:dyDescent="0.25">
      <c r="C6426" s="1"/>
      <c r="D6426" s="1"/>
    </row>
    <row r="6427" spans="3:4" x14ac:dyDescent="0.25">
      <c r="C6427" s="1"/>
      <c r="D6427" s="1"/>
    </row>
    <row r="6428" spans="3:4" x14ac:dyDescent="0.25">
      <c r="C6428" s="1"/>
      <c r="D6428" s="1"/>
    </row>
    <row r="6429" spans="3:4" x14ac:dyDescent="0.25">
      <c r="C6429" s="1"/>
      <c r="D6429" s="1"/>
    </row>
    <row r="6430" spans="3:4" x14ac:dyDescent="0.25">
      <c r="C6430" s="1"/>
      <c r="D6430" s="1"/>
    </row>
    <row r="6431" spans="3:4" x14ac:dyDescent="0.25">
      <c r="C6431" s="1"/>
      <c r="D6431" s="1"/>
    </row>
    <row r="6432" spans="3:4" x14ac:dyDescent="0.25">
      <c r="C6432" s="1"/>
      <c r="D6432" s="1"/>
    </row>
    <row r="6433" spans="3:4" x14ac:dyDescent="0.25">
      <c r="C6433" s="1"/>
      <c r="D6433" s="1"/>
    </row>
    <row r="6434" spans="3:4" x14ac:dyDescent="0.25">
      <c r="C6434" s="1"/>
      <c r="D6434" s="1"/>
    </row>
    <row r="6435" spans="3:4" x14ac:dyDescent="0.25">
      <c r="C6435" s="1"/>
      <c r="D6435" s="1"/>
    </row>
    <row r="6436" spans="3:4" x14ac:dyDescent="0.25">
      <c r="C6436" s="1"/>
      <c r="D6436" s="1"/>
    </row>
    <row r="6437" spans="3:4" x14ac:dyDescent="0.25">
      <c r="C6437" s="1"/>
      <c r="D6437" s="1"/>
    </row>
    <row r="6438" spans="3:4" x14ac:dyDescent="0.25">
      <c r="C6438" s="1"/>
      <c r="D6438" s="1"/>
    </row>
    <row r="6439" spans="3:4" x14ac:dyDescent="0.25">
      <c r="C6439" s="1"/>
      <c r="D6439" s="1"/>
    </row>
    <row r="6440" spans="3:4" x14ac:dyDescent="0.25">
      <c r="C6440" s="1"/>
      <c r="D6440" s="1"/>
    </row>
    <row r="6441" spans="3:4" x14ac:dyDescent="0.25">
      <c r="C6441" s="1"/>
      <c r="D6441" s="1"/>
    </row>
    <row r="6442" spans="3:4" x14ac:dyDescent="0.25">
      <c r="C6442" s="1"/>
      <c r="D6442" s="1"/>
    </row>
    <row r="6443" spans="3:4" x14ac:dyDescent="0.25">
      <c r="C6443" s="1"/>
      <c r="D6443" s="1"/>
    </row>
    <row r="6444" spans="3:4" x14ac:dyDescent="0.25">
      <c r="C6444" s="1"/>
      <c r="D6444" s="1"/>
    </row>
    <row r="6445" spans="3:4" x14ac:dyDescent="0.25">
      <c r="C6445" s="1"/>
      <c r="D6445" s="1"/>
    </row>
    <row r="6446" spans="3:4" x14ac:dyDescent="0.25">
      <c r="C6446" s="1"/>
      <c r="D6446" s="1"/>
    </row>
    <row r="6447" spans="3:4" x14ac:dyDescent="0.25">
      <c r="C6447" s="1"/>
      <c r="D6447" s="1"/>
    </row>
    <row r="6448" spans="3:4" x14ac:dyDescent="0.25">
      <c r="C6448" s="1"/>
      <c r="D6448" s="1"/>
    </row>
    <row r="6449" spans="3:4" x14ac:dyDescent="0.25">
      <c r="C6449" s="1"/>
      <c r="D6449" s="1"/>
    </row>
    <row r="6450" spans="3:4" x14ac:dyDescent="0.25">
      <c r="C6450" s="1"/>
      <c r="D6450" s="1"/>
    </row>
    <row r="6451" spans="3:4" x14ac:dyDescent="0.25">
      <c r="C6451" s="1"/>
      <c r="D6451" s="1"/>
    </row>
    <row r="6452" spans="3:4" x14ac:dyDescent="0.25">
      <c r="C6452" s="1"/>
      <c r="D6452" s="1"/>
    </row>
    <row r="6453" spans="3:4" x14ac:dyDescent="0.25">
      <c r="C6453" s="1"/>
      <c r="D6453" s="1"/>
    </row>
    <row r="6454" spans="3:4" x14ac:dyDescent="0.25">
      <c r="C6454" s="1"/>
      <c r="D6454" s="1"/>
    </row>
    <row r="6455" spans="3:4" x14ac:dyDescent="0.25">
      <c r="C6455" s="1"/>
      <c r="D6455" s="1"/>
    </row>
    <row r="6456" spans="3:4" x14ac:dyDescent="0.25">
      <c r="C6456" s="1"/>
      <c r="D6456" s="1"/>
    </row>
    <row r="6457" spans="3:4" x14ac:dyDescent="0.25">
      <c r="C6457" s="1"/>
      <c r="D6457" s="1"/>
    </row>
    <row r="6458" spans="3:4" x14ac:dyDescent="0.25">
      <c r="C6458" s="1"/>
      <c r="D6458" s="1"/>
    </row>
    <row r="6459" spans="3:4" x14ac:dyDescent="0.25">
      <c r="C6459" s="1"/>
      <c r="D6459" s="1"/>
    </row>
    <row r="6460" spans="3:4" x14ac:dyDescent="0.25">
      <c r="C6460" s="1"/>
      <c r="D6460" s="1"/>
    </row>
    <row r="6461" spans="3:4" x14ac:dyDescent="0.25">
      <c r="C6461" s="1"/>
      <c r="D6461" s="1"/>
    </row>
    <row r="6462" spans="3:4" x14ac:dyDescent="0.25">
      <c r="C6462" s="1"/>
      <c r="D6462" s="1"/>
    </row>
    <row r="6463" spans="3:4" x14ac:dyDescent="0.25">
      <c r="C6463" s="1"/>
      <c r="D6463" s="1"/>
    </row>
    <row r="6464" spans="3:4" x14ac:dyDescent="0.25">
      <c r="C6464" s="1"/>
      <c r="D6464" s="1"/>
    </row>
    <row r="6465" spans="3:4" x14ac:dyDescent="0.25">
      <c r="C6465" s="1"/>
      <c r="D6465" s="1"/>
    </row>
    <row r="6466" spans="3:4" x14ac:dyDescent="0.25">
      <c r="C6466" s="1"/>
      <c r="D6466" s="1"/>
    </row>
    <row r="6467" spans="3:4" x14ac:dyDescent="0.25">
      <c r="C6467" s="1"/>
      <c r="D6467" s="1"/>
    </row>
    <row r="6468" spans="3:4" x14ac:dyDescent="0.25">
      <c r="C6468" s="1"/>
      <c r="D6468" s="1"/>
    </row>
    <row r="6469" spans="3:4" x14ac:dyDescent="0.25">
      <c r="C6469" s="1"/>
      <c r="D6469" s="1"/>
    </row>
    <row r="6470" spans="3:4" x14ac:dyDescent="0.25">
      <c r="C6470" s="1"/>
      <c r="D6470" s="1"/>
    </row>
    <row r="6471" spans="3:4" x14ac:dyDescent="0.25">
      <c r="C6471" s="1"/>
      <c r="D6471" s="1"/>
    </row>
    <row r="6472" spans="3:4" x14ac:dyDescent="0.25">
      <c r="C6472" s="1"/>
      <c r="D6472" s="1"/>
    </row>
    <row r="6473" spans="3:4" x14ac:dyDescent="0.25">
      <c r="C6473" s="1"/>
      <c r="D6473" s="1"/>
    </row>
    <row r="6474" spans="3:4" x14ac:dyDescent="0.25">
      <c r="C6474" s="1"/>
      <c r="D6474" s="1"/>
    </row>
    <row r="6475" spans="3:4" x14ac:dyDescent="0.25">
      <c r="C6475" s="1"/>
      <c r="D6475" s="1"/>
    </row>
    <row r="6476" spans="3:4" x14ac:dyDescent="0.25">
      <c r="C6476" s="1"/>
      <c r="D6476" s="1"/>
    </row>
    <row r="6477" spans="3:4" x14ac:dyDescent="0.25">
      <c r="C6477" s="1"/>
      <c r="D6477" s="1"/>
    </row>
    <row r="6478" spans="3:4" x14ac:dyDescent="0.25">
      <c r="C6478" s="1"/>
      <c r="D6478" s="1"/>
    </row>
    <row r="6479" spans="3:4" x14ac:dyDescent="0.25">
      <c r="C6479" s="1"/>
      <c r="D6479" s="1"/>
    </row>
    <row r="6480" spans="3:4" x14ac:dyDescent="0.25">
      <c r="C6480" s="1"/>
      <c r="D6480" s="1"/>
    </row>
    <row r="6481" spans="3:4" x14ac:dyDescent="0.25">
      <c r="C6481" s="1"/>
      <c r="D6481" s="1"/>
    </row>
    <row r="6482" spans="3:4" x14ac:dyDescent="0.25">
      <c r="C6482" s="1"/>
      <c r="D6482" s="1"/>
    </row>
    <row r="6483" spans="3:4" x14ac:dyDescent="0.25">
      <c r="C6483" s="1"/>
      <c r="D6483" s="1"/>
    </row>
    <row r="6484" spans="3:4" x14ac:dyDescent="0.25">
      <c r="C6484" s="1"/>
      <c r="D6484" s="1"/>
    </row>
    <row r="6485" spans="3:4" x14ac:dyDescent="0.25">
      <c r="C6485" s="1"/>
      <c r="D6485" s="1"/>
    </row>
    <row r="6486" spans="3:4" x14ac:dyDescent="0.25">
      <c r="C6486" s="1"/>
      <c r="D6486" s="1"/>
    </row>
    <row r="6487" spans="3:4" x14ac:dyDescent="0.25">
      <c r="C6487" s="1"/>
      <c r="D6487" s="1"/>
    </row>
    <row r="6488" spans="3:4" x14ac:dyDescent="0.25">
      <c r="C6488" s="1"/>
      <c r="D6488" s="1"/>
    </row>
    <row r="6489" spans="3:4" x14ac:dyDescent="0.25">
      <c r="C6489" s="1"/>
      <c r="D6489" s="1"/>
    </row>
    <row r="6490" spans="3:4" x14ac:dyDescent="0.25">
      <c r="C6490" s="1"/>
      <c r="D6490" s="1"/>
    </row>
    <row r="6491" spans="3:4" x14ac:dyDescent="0.25">
      <c r="C6491" s="1"/>
      <c r="D6491" s="1"/>
    </row>
    <row r="6492" spans="3:4" x14ac:dyDescent="0.25">
      <c r="C6492" s="1"/>
      <c r="D6492" s="1"/>
    </row>
    <row r="6493" spans="3:4" x14ac:dyDescent="0.25">
      <c r="C6493" s="1"/>
      <c r="D6493" s="1"/>
    </row>
    <row r="6494" spans="3:4" x14ac:dyDescent="0.25">
      <c r="C6494" s="1"/>
      <c r="D6494" s="1"/>
    </row>
    <row r="6495" spans="3:4" x14ac:dyDescent="0.25">
      <c r="C6495" s="1"/>
      <c r="D6495" s="1"/>
    </row>
    <row r="6496" spans="3:4" x14ac:dyDescent="0.25">
      <c r="C6496" s="1"/>
      <c r="D6496" s="1"/>
    </row>
    <row r="6497" spans="3:4" x14ac:dyDescent="0.25">
      <c r="C6497" s="1"/>
      <c r="D6497" s="1"/>
    </row>
    <row r="6498" spans="3:4" x14ac:dyDescent="0.25">
      <c r="C6498" s="1"/>
      <c r="D6498" s="1"/>
    </row>
    <row r="6499" spans="3:4" x14ac:dyDescent="0.25">
      <c r="C6499" s="1"/>
      <c r="D6499" s="1"/>
    </row>
    <row r="6500" spans="3:4" x14ac:dyDescent="0.25">
      <c r="C6500" s="1"/>
      <c r="D6500" s="1"/>
    </row>
    <row r="6501" spans="3:4" x14ac:dyDescent="0.25">
      <c r="C6501" s="1"/>
      <c r="D6501" s="1"/>
    </row>
    <row r="6502" spans="3:4" x14ac:dyDescent="0.25">
      <c r="C6502" s="1"/>
      <c r="D6502" s="1"/>
    </row>
    <row r="6503" spans="3:4" x14ac:dyDescent="0.25">
      <c r="C6503" s="1"/>
      <c r="D6503" s="1"/>
    </row>
    <row r="6504" spans="3:4" x14ac:dyDescent="0.25">
      <c r="C6504" s="1"/>
      <c r="D6504" s="1"/>
    </row>
    <row r="6505" spans="3:4" x14ac:dyDescent="0.25">
      <c r="C6505" s="1"/>
      <c r="D6505" s="1"/>
    </row>
    <row r="6506" spans="3:4" x14ac:dyDescent="0.25">
      <c r="C6506" s="1"/>
      <c r="D6506" s="1"/>
    </row>
    <row r="6507" spans="3:4" x14ac:dyDescent="0.25">
      <c r="C6507" s="1"/>
      <c r="D6507" s="1"/>
    </row>
    <row r="6508" spans="3:4" x14ac:dyDescent="0.25">
      <c r="C6508" s="1"/>
      <c r="D6508" s="1"/>
    </row>
    <row r="6509" spans="3:4" x14ac:dyDescent="0.25">
      <c r="C6509" s="1"/>
      <c r="D6509" s="1"/>
    </row>
    <row r="6510" spans="3:4" x14ac:dyDescent="0.25">
      <c r="C6510" s="1"/>
      <c r="D6510" s="1"/>
    </row>
    <row r="6511" spans="3:4" x14ac:dyDescent="0.25">
      <c r="C6511" s="1"/>
      <c r="D6511" s="1"/>
    </row>
    <row r="6512" spans="3:4" x14ac:dyDescent="0.25">
      <c r="C6512" s="1"/>
      <c r="D6512" s="1"/>
    </row>
    <row r="6513" spans="3:4" x14ac:dyDescent="0.25">
      <c r="C6513" s="1"/>
      <c r="D6513" s="1"/>
    </row>
    <row r="6514" spans="3:4" x14ac:dyDescent="0.25">
      <c r="C6514" s="1"/>
      <c r="D6514" s="1"/>
    </row>
    <row r="6515" spans="3:4" x14ac:dyDescent="0.25">
      <c r="C6515" s="1"/>
      <c r="D6515" s="1"/>
    </row>
    <row r="6516" spans="3:4" x14ac:dyDescent="0.25">
      <c r="C6516" s="1"/>
      <c r="D6516" s="1"/>
    </row>
    <row r="6517" spans="3:4" x14ac:dyDescent="0.25">
      <c r="C6517" s="1"/>
      <c r="D6517" s="1"/>
    </row>
    <row r="6518" spans="3:4" x14ac:dyDescent="0.25">
      <c r="C6518" s="1"/>
      <c r="D6518" s="1"/>
    </row>
    <row r="6519" spans="3:4" x14ac:dyDescent="0.25">
      <c r="C6519" s="1"/>
      <c r="D6519" s="1"/>
    </row>
    <row r="6520" spans="3:4" x14ac:dyDescent="0.25">
      <c r="C6520" s="1"/>
      <c r="D6520" s="1"/>
    </row>
    <row r="6521" spans="3:4" x14ac:dyDescent="0.25">
      <c r="C6521" s="1"/>
      <c r="D6521" s="1"/>
    </row>
    <row r="6522" spans="3:4" x14ac:dyDescent="0.25">
      <c r="C6522" s="1"/>
      <c r="D6522" s="1"/>
    </row>
    <row r="6523" spans="3:4" x14ac:dyDescent="0.25">
      <c r="C6523" s="1"/>
      <c r="D6523" s="1"/>
    </row>
    <row r="6524" spans="3:4" x14ac:dyDescent="0.25">
      <c r="C6524" s="1"/>
      <c r="D6524" s="1"/>
    </row>
    <row r="6525" spans="3:4" x14ac:dyDescent="0.25">
      <c r="C6525" s="1"/>
      <c r="D6525" s="1"/>
    </row>
    <row r="6526" spans="3:4" x14ac:dyDescent="0.25">
      <c r="C6526" s="1"/>
      <c r="D6526" s="1"/>
    </row>
    <row r="6527" spans="3:4" x14ac:dyDescent="0.25">
      <c r="C6527" s="1"/>
      <c r="D6527" s="1"/>
    </row>
    <row r="6528" spans="3:4" x14ac:dyDescent="0.25">
      <c r="C6528" s="1"/>
      <c r="D6528" s="1"/>
    </row>
    <row r="6529" spans="3:4" x14ac:dyDescent="0.25">
      <c r="C6529" s="1"/>
      <c r="D6529" s="1"/>
    </row>
    <row r="6530" spans="3:4" x14ac:dyDescent="0.25">
      <c r="C6530" s="1"/>
      <c r="D6530" s="1"/>
    </row>
    <row r="6531" spans="3:4" x14ac:dyDescent="0.25">
      <c r="C6531" s="1"/>
      <c r="D6531" s="1"/>
    </row>
    <row r="6532" spans="3:4" x14ac:dyDescent="0.25">
      <c r="C6532" s="1"/>
      <c r="D6532" s="1"/>
    </row>
    <row r="6533" spans="3:4" x14ac:dyDescent="0.25">
      <c r="C6533" s="1"/>
      <c r="D6533" s="1"/>
    </row>
    <row r="6534" spans="3:4" x14ac:dyDescent="0.25">
      <c r="C6534" s="1"/>
      <c r="D6534" s="1"/>
    </row>
    <row r="6535" spans="3:4" x14ac:dyDescent="0.25">
      <c r="C6535" s="1"/>
      <c r="D6535" s="1"/>
    </row>
    <row r="6536" spans="3:4" x14ac:dyDescent="0.25">
      <c r="C6536" s="1"/>
      <c r="D6536" s="1"/>
    </row>
    <row r="6537" spans="3:4" x14ac:dyDescent="0.25">
      <c r="C6537" s="1"/>
      <c r="D6537" s="1"/>
    </row>
    <row r="6538" spans="3:4" x14ac:dyDescent="0.25">
      <c r="C6538" s="1"/>
      <c r="D6538" s="1"/>
    </row>
    <row r="6539" spans="3:4" x14ac:dyDescent="0.25">
      <c r="C6539" s="1"/>
      <c r="D6539" s="1"/>
    </row>
    <row r="6540" spans="3:4" x14ac:dyDescent="0.25">
      <c r="C6540" s="1"/>
      <c r="D6540" s="1"/>
    </row>
    <row r="6541" spans="3:4" x14ac:dyDescent="0.25">
      <c r="C6541" s="1"/>
      <c r="D6541" s="1"/>
    </row>
    <row r="6542" spans="3:4" x14ac:dyDescent="0.25">
      <c r="C6542" s="1"/>
      <c r="D6542" s="1"/>
    </row>
    <row r="6543" spans="3:4" x14ac:dyDescent="0.25">
      <c r="C6543" s="1"/>
      <c r="D6543" s="1"/>
    </row>
    <row r="6544" spans="3:4" x14ac:dyDescent="0.25">
      <c r="C6544" s="1"/>
      <c r="D6544" s="1"/>
    </row>
    <row r="6545" spans="3:4" x14ac:dyDescent="0.25">
      <c r="C6545" s="1"/>
      <c r="D6545" s="1"/>
    </row>
    <row r="6546" spans="3:4" x14ac:dyDescent="0.25">
      <c r="C6546" s="1"/>
      <c r="D6546" s="1"/>
    </row>
    <row r="6547" spans="3:4" x14ac:dyDescent="0.25">
      <c r="C6547" s="1"/>
      <c r="D6547" s="1"/>
    </row>
    <row r="6548" spans="3:4" x14ac:dyDescent="0.25">
      <c r="C6548" s="1"/>
      <c r="D6548" s="1"/>
    </row>
    <row r="6549" spans="3:4" x14ac:dyDescent="0.25">
      <c r="C6549" s="1"/>
      <c r="D6549" s="1"/>
    </row>
    <row r="6550" spans="3:4" x14ac:dyDescent="0.25">
      <c r="C6550" s="1"/>
      <c r="D6550" s="1"/>
    </row>
    <row r="6551" spans="3:4" x14ac:dyDescent="0.25">
      <c r="C6551" s="1"/>
      <c r="D6551" s="1"/>
    </row>
    <row r="6552" spans="3:4" x14ac:dyDescent="0.25">
      <c r="C6552" s="1"/>
      <c r="D6552" s="1"/>
    </row>
    <row r="6553" spans="3:4" x14ac:dyDescent="0.25">
      <c r="C6553" s="1"/>
      <c r="D6553" s="1"/>
    </row>
    <row r="6554" spans="3:4" x14ac:dyDescent="0.25">
      <c r="C6554" s="1"/>
      <c r="D6554" s="1"/>
    </row>
    <row r="6555" spans="3:4" x14ac:dyDescent="0.25">
      <c r="C6555" s="1"/>
      <c r="D6555" s="1"/>
    </row>
    <row r="6556" spans="3:4" x14ac:dyDescent="0.25">
      <c r="C6556" s="1"/>
      <c r="D6556" s="1"/>
    </row>
    <row r="6557" spans="3:4" x14ac:dyDescent="0.25">
      <c r="C6557" s="1"/>
      <c r="D6557" s="1"/>
    </row>
    <row r="6558" spans="3:4" x14ac:dyDescent="0.25">
      <c r="C6558" s="1"/>
      <c r="D6558" s="1"/>
    </row>
    <row r="6559" spans="3:4" x14ac:dyDescent="0.25">
      <c r="C6559" s="1"/>
      <c r="D6559" s="1"/>
    </row>
    <row r="6560" spans="3:4" x14ac:dyDescent="0.25">
      <c r="C6560" s="1"/>
      <c r="D6560" s="1"/>
    </row>
    <row r="6561" spans="3:4" x14ac:dyDescent="0.25">
      <c r="C6561" s="1"/>
      <c r="D6561" s="1"/>
    </row>
    <row r="6562" spans="3:4" x14ac:dyDescent="0.25">
      <c r="C6562" s="1"/>
      <c r="D6562" s="1"/>
    </row>
    <row r="6563" spans="3:4" x14ac:dyDescent="0.25">
      <c r="C6563" s="1"/>
      <c r="D6563" s="1"/>
    </row>
    <row r="6564" spans="3:4" x14ac:dyDescent="0.25">
      <c r="C6564" s="1"/>
      <c r="D6564" s="1"/>
    </row>
    <row r="6565" spans="3:4" x14ac:dyDescent="0.25">
      <c r="C6565" s="1"/>
      <c r="D6565" s="1"/>
    </row>
    <row r="6566" spans="3:4" x14ac:dyDescent="0.25">
      <c r="C6566" s="1"/>
      <c r="D6566" s="1"/>
    </row>
    <row r="6567" spans="3:4" x14ac:dyDescent="0.25">
      <c r="C6567" s="1"/>
      <c r="D6567" s="1"/>
    </row>
    <row r="6568" spans="3:4" x14ac:dyDescent="0.25">
      <c r="C6568" s="1"/>
      <c r="D6568" s="1"/>
    </row>
    <row r="6569" spans="3:4" x14ac:dyDescent="0.25">
      <c r="C6569" s="1"/>
      <c r="D6569" s="1"/>
    </row>
    <row r="6570" spans="3:4" x14ac:dyDescent="0.25">
      <c r="C6570" s="1"/>
      <c r="D6570" s="1"/>
    </row>
    <row r="6571" spans="3:4" x14ac:dyDescent="0.25">
      <c r="C6571" s="1"/>
      <c r="D6571" s="1"/>
    </row>
    <row r="6572" spans="3:4" x14ac:dyDescent="0.25">
      <c r="C6572" s="1"/>
      <c r="D6572" s="1"/>
    </row>
    <row r="6573" spans="3:4" x14ac:dyDescent="0.25">
      <c r="C6573" s="1"/>
      <c r="D6573" s="1"/>
    </row>
    <row r="6574" spans="3:4" x14ac:dyDescent="0.25">
      <c r="C6574" s="1"/>
      <c r="D6574" s="1"/>
    </row>
    <row r="6575" spans="3:4" x14ac:dyDescent="0.25">
      <c r="C6575" s="1"/>
      <c r="D6575" s="1"/>
    </row>
    <row r="6576" spans="3:4" x14ac:dyDescent="0.25">
      <c r="C6576" s="1"/>
      <c r="D6576" s="1"/>
    </row>
    <row r="6577" spans="3:4" x14ac:dyDescent="0.25">
      <c r="C6577" s="1"/>
      <c r="D6577" s="1"/>
    </row>
    <row r="6578" spans="3:4" x14ac:dyDescent="0.25">
      <c r="C6578" s="1"/>
      <c r="D6578" s="1"/>
    </row>
    <row r="6579" spans="3:4" x14ac:dyDescent="0.25">
      <c r="C6579" s="1"/>
      <c r="D6579" s="1"/>
    </row>
    <row r="6580" spans="3:4" x14ac:dyDescent="0.25">
      <c r="C6580" s="1"/>
      <c r="D6580" s="1"/>
    </row>
    <row r="6581" spans="3:4" x14ac:dyDescent="0.25">
      <c r="C6581" s="1"/>
      <c r="D6581" s="1"/>
    </row>
    <row r="6582" spans="3:4" x14ac:dyDescent="0.25">
      <c r="C6582" s="1"/>
      <c r="D6582" s="1"/>
    </row>
    <row r="6583" spans="3:4" x14ac:dyDescent="0.25">
      <c r="C6583" s="1"/>
      <c r="D6583" s="1"/>
    </row>
    <row r="6584" spans="3:4" x14ac:dyDescent="0.25">
      <c r="C6584" s="1"/>
      <c r="D6584" s="1"/>
    </row>
    <row r="6585" spans="3:4" x14ac:dyDescent="0.25">
      <c r="C6585" s="1"/>
      <c r="D6585" s="1"/>
    </row>
    <row r="6586" spans="3:4" x14ac:dyDescent="0.25">
      <c r="C6586" s="1"/>
      <c r="D6586" s="1"/>
    </row>
    <row r="6587" spans="3:4" x14ac:dyDescent="0.25">
      <c r="C6587" s="1"/>
      <c r="D6587" s="1"/>
    </row>
    <row r="6588" spans="3:4" x14ac:dyDescent="0.25">
      <c r="C6588" s="1"/>
      <c r="D6588" s="1"/>
    </row>
    <row r="6589" spans="3:4" x14ac:dyDescent="0.25">
      <c r="C6589" s="1"/>
      <c r="D6589" s="1"/>
    </row>
    <row r="6590" spans="3:4" x14ac:dyDescent="0.25">
      <c r="C6590" s="1"/>
      <c r="D6590" s="1"/>
    </row>
    <row r="6591" spans="3:4" x14ac:dyDescent="0.25">
      <c r="C6591" s="1"/>
      <c r="D6591" s="1"/>
    </row>
    <row r="6592" spans="3:4" x14ac:dyDescent="0.25">
      <c r="C6592" s="1"/>
      <c r="D6592" s="1"/>
    </row>
    <row r="6593" spans="3:4" x14ac:dyDescent="0.25">
      <c r="C6593" s="1"/>
      <c r="D6593" s="1"/>
    </row>
    <row r="6594" spans="3:4" x14ac:dyDescent="0.25">
      <c r="C6594" s="1"/>
      <c r="D6594" s="1"/>
    </row>
    <row r="6595" spans="3:4" x14ac:dyDescent="0.25">
      <c r="C6595" s="1"/>
      <c r="D6595" s="1"/>
    </row>
    <row r="6596" spans="3:4" x14ac:dyDescent="0.25">
      <c r="C6596" s="1"/>
      <c r="D6596" s="1"/>
    </row>
    <row r="6597" spans="3:4" x14ac:dyDescent="0.25">
      <c r="C6597" s="1"/>
      <c r="D6597" s="1"/>
    </row>
    <row r="6598" spans="3:4" x14ac:dyDescent="0.25">
      <c r="C6598" s="1"/>
      <c r="D6598" s="1"/>
    </row>
    <row r="6599" spans="3:4" x14ac:dyDescent="0.25">
      <c r="C6599" s="1"/>
      <c r="D6599" s="1"/>
    </row>
    <row r="6600" spans="3:4" x14ac:dyDescent="0.25">
      <c r="C6600" s="1"/>
      <c r="D6600" s="1"/>
    </row>
    <row r="6601" spans="3:4" x14ac:dyDescent="0.25">
      <c r="C6601" s="1"/>
      <c r="D6601" s="1"/>
    </row>
    <row r="6602" spans="3:4" x14ac:dyDescent="0.25">
      <c r="C6602" s="1"/>
      <c r="D6602" s="1"/>
    </row>
    <row r="6603" spans="3:4" x14ac:dyDescent="0.25">
      <c r="C6603" s="1"/>
      <c r="D6603" s="1"/>
    </row>
    <row r="6604" spans="3:4" x14ac:dyDescent="0.25">
      <c r="C6604" s="1"/>
      <c r="D6604" s="1"/>
    </row>
    <row r="6605" spans="3:4" x14ac:dyDescent="0.25">
      <c r="C6605" s="1"/>
      <c r="D6605" s="1"/>
    </row>
    <row r="6606" spans="3:4" x14ac:dyDescent="0.25">
      <c r="C6606" s="1"/>
      <c r="D6606" s="1"/>
    </row>
    <row r="6607" spans="3:4" x14ac:dyDescent="0.25">
      <c r="C6607" s="1"/>
      <c r="D6607" s="1"/>
    </row>
    <row r="6608" spans="3:4" x14ac:dyDescent="0.25">
      <c r="C6608" s="1"/>
      <c r="D6608" s="1"/>
    </row>
    <row r="6609" spans="3:4" x14ac:dyDescent="0.25">
      <c r="C6609" s="1"/>
      <c r="D6609" s="1"/>
    </row>
    <row r="6610" spans="3:4" x14ac:dyDescent="0.25">
      <c r="C6610" s="1"/>
      <c r="D6610" s="1"/>
    </row>
    <row r="6611" spans="3:4" x14ac:dyDescent="0.25">
      <c r="C6611" s="1"/>
      <c r="D6611" s="1"/>
    </row>
    <row r="6612" spans="3:4" x14ac:dyDescent="0.25">
      <c r="C6612" s="1"/>
      <c r="D6612" s="1"/>
    </row>
    <row r="6613" spans="3:4" x14ac:dyDescent="0.25">
      <c r="C6613" s="1"/>
      <c r="D6613" s="1"/>
    </row>
    <row r="6614" spans="3:4" x14ac:dyDescent="0.25">
      <c r="C6614" s="1"/>
      <c r="D6614" s="1"/>
    </row>
    <row r="6615" spans="3:4" x14ac:dyDescent="0.25">
      <c r="C6615" s="1"/>
      <c r="D6615" s="1"/>
    </row>
    <row r="6616" spans="3:4" x14ac:dyDescent="0.25">
      <c r="C6616" s="1"/>
      <c r="D6616" s="1"/>
    </row>
    <row r="6617" spans="3:4" x14ac:dyDescent="0.25">
      <c r="C6617" s="1"/>
      <c r="D6617" s="1"/>
    </row>
    <row r="6618" spans="3:4" x14ac:dyDescent="0.25">
      <c r="C6618" s="1"/>
      <c r="D6618" s="1"/>
    </row>
    <row r="6619" spans="3:4" x14ac:dyDescent="0.25">
      <c r="C6619" s="1"/>
      <c r="D6619" s="1"/>
    </row>
    <row r="6620" spans="3:4" x14ac:dyDescent="0.25">
      <c r="C6620" s="1"/>
      <c r="D6620" s="1"/>
    </row>
    <row r="6621" spans="3:4" x14ac:dyDescent="0.25">
      <c r="C6621" s="1"/>
      <c r="D6621" s="1"/>
    </row>
    <row r="6622" spans="3:4" x14ac:dyDescent="0.25">
      <c r="C6622" s="1"/>
      <c r="D6622" s="1"/>
    </row>
    <row r="6623" spans="3:4" x14ac:dyDescent="0.25">
      <c r="C6623" s="1"/>
      <c r="D6623" s="1"/>
    </row>
    <row r="6624" spans="3:4" x14ac:dyDescent="0.25">
      <c r="C6624" s="1"/>
      <c r="D6624" s="1"/>
    </row>
    <row r="6625" spans="3:4" x14ac:dyDescent="0.25">
      <c r="C6625" s="1"/>
      <c r="D6625" s="1"/>
    </row>
    <row r="6626" spans="3:4" x14ac:dyDescent="0.25">
      <c r="C6626" s="1"/>
      <c r="D6626" s="1"/>
    </row>
    <row r="6627" spans="3:4" x14ac:dyDescent="0.25">
      <c r="C6627" s="1"/>
      <c r="D6627" s="1"/>
    </row>
    <row r="6628" spans="3:4" x14ac:dyDescent="0.25">
      <c r="C6628" s="1"/>
      <c r="D6628" s="1"/>
    </row>
    <row r="6629" spans="3:4" x14ac:dyDescent="0.25">
      <c r="C6629" s="1"/>
      <c r="D6629" s="1"/>
    </row>
    <row r="6630" spans="3:4" x14ac:dyDescent="0.25">
      <c r="C6630" s="1"/>
      <c r="D6630" s="1"/>
    </row>
    <row r="6631" spans="3:4" x14ac:dyDescent="0.25">
      <c r="C6631" s="1"/>
      <c r="D6631" s="1"/>
    </row>
    <row r="6632" spans="3:4" x14ac:dyDescent="0.25">
      <c r="C6632" s="1"/>
      <c r="D6632" s="1"/>
    </row>
    <row r="6633" spans="3:4" x14ac:dyDescent="0.25">
      <c r="C6633" s="1"/>
      <c r="D6633" s="1"/>
    </row>
    <row r="6634" spans="3:4" x14ac:dyDescent="0.25">
      <c r="C6634" s="1"/>
      <c r="D6634" s="1"/>
    </row>
    <row r="6635" spans="3:4" x14ac:dyDescent="0.25">
      <c r="C6635" s="1"/>
      <c r="D6635" s="1"/>
    </row>
    <row r="6636" spans="3:4" x14ac:dyDescent="0.25">
      <c r="C6636" s="1"/>
      <c r="D6636" s="1"/>
    </row>
    <row r="6637" spans="3:4" x14ac:dyDescent="0.25">
      <c r="C6637" s="1"/>
      <c r="D6637" s="1"/>
    </row>
    <row r="6638" spans="3:4" x14ac:dyDescent="0.25">
      <c r="C6638" s="1"/>
      <c r="D6638" s="1"/>
    </row>
    <row r="6639" spans="3:4" x14ac:dyDescent="0.25">
      <c r="C6639" s="1"/>
      <c r="D6639" s="1"/>
    </row>
    <row r="6640" spans="3:4" x14ac:dyDescent="0.25">
      <c r="C6640" s="1"/>
      <c r="D6640" s="1"/>
    </row>
    <row r="6641" spans="3:4" x14ac:dyDescent="0.25">
      <c r="C6641" s="1"/>
      <c r="D6641" s="1"/>
    </row>
    <row r="6642" spans="3:4" x14ac:dyDescent="0.25">
      <c r="C6642" s="1"/>
      <c r="D6642" s="1"/>
    </row>
    <row r="6643" spans="3:4" x14ac:dyDescent="0.25">
      <c r="C6643" s="1"/>
      <c r="D6643" s="1"/>
    </row>
    <row r="6644" spans="3:4" x14ac:dyDescent="0.25">
      <c r="C6644" s="1"/>
      <c r="D6644" s="1"/>
    </row>
    <row r="6645" spans="3:4" x14ac:dyDescent="0.25">
      <c r="C6645" s="1"/>
      <c r="D6645" s="1"/>
    </row>
    <row r="6646" spans="3:4" x14ac:dyDescent="0.25">
      <c r="C6646" s="1"/>
      <c r="D6646" s="1"/>
    </row>
    <row r="6647" spans="3:4" x14ac:dyDescent="0.25">
      <c r="C6647" s="1"/>
      <c r="D6647" s="1"/>
    </row>
    <row r="6648" spans="3:4" x14ac:dyDescent="0.25">
      <c r="C6648" s="1"/>
      <c r="D6648" s="1"/>
    </row>
    <row r="6649" spans="3:4" x14ac:dyDescent="0.25">
      <c r="C6649" s="1"/>
      <c r="D6649" s="1"/>
    </row>
    <row r="6650" spans="3:4" x14ac:dyDescent="0.25">
      <c r="C6650" s="1"/>
      <c r="D6650" s="1"/>
    </row>
    <row r="6651" spans="3:4" x14ac:dyDescent="0.25">
      <c r="C6651" s="1"/>
      <c r="D6651" s="1"/>
    </row>
    <row r="6652" spans="3:4" x14ac:dyDescent="0.25">
      <c r="C6652" s="1"/>
      <c r="D6652" s="1"/>
    </row>
    <row r="6653" spans="3:4" x14ac:dyDescent="0.25">
      <c r="C6653" s="1"/>
      <c r="D6653" s="1"/>
    </row>
    <row r="6654" spans="3:4" x14ac:dyDescent="0.25">
      <c r="C6654" s="1"/>
      <c r="D6654" s="1"/>
    </row>
    <row r="6655" spans="3:4" x14ac:dyDescent="0.25">
      <c r="C6655" s="1"/>
      <c r="D6655" s="1"/>
    </row>
    <row r="6656" spans="3:4" x14ac:dyDescent="0.25">
      <c r="C6656" s="1"/>
      <c r="D6656" s="1"/>
    </row>
    <row r="6657" spans="3:4" x14ac:dyDescent="0.25">
      <c r="C6657" s="1"/>
      <c r="D6657" s="1"/>
    </row>
    <row r="6658" spans="3:4" x14ac:dyDescent="0.25">
      <c r="C6658" s="1"/>
      <c r="D6658" s="1"/>
    </row>
    <row r="6659" spans="3:4" x14ac:dyDescent="0.25">
      <c r="C6659" s="1"/>
      <c r="D6659" s="1"/>
    </row>
    <row r="6660" spans="3:4" x14ac:dyDescent="0.25">
      <c r="C6660" s="1"/>
      <c r="D6660" s="1"/>
    </row>
    <row r="6661" spans="3:4" x14ac:dyDescent="0.25">
      <c r="C6661" s="1"/>
      <c r="D6661" s="1"/>
    </row>
    <row r="6662" spans="3:4" x14ac:dyDescent="0.25">
      <c r="C6662" s="1"/>
      <c r="D6662" s="1"/>
    </row>
    <row r="6663" spans="3:4" x14ac:dyDescent="0.25">
      <c r="C6663" s="1"/>
      <c r="D6663" s="1"/>
    </row>
    <row r="6664" spans="3:4" x14ac:dyDescent="0.25">
      <c r="C6664" s="1"/>
      <c r="D6664" s="1"/>
    </row>
    <row r="6665" spans="3:4" x14ac:dyDescent="0.25">
      <c r="C6665" s="1"/>
      <c r="D6665" s="1"/>
    </row>
    <row r="6666" spans="3:4" x14ac:dyDescent="0.25">
      <c r="C6666" s="1"/>
      <c r="D6666" s="1"/>
    </row>
    <row r="6667" spans="3:4" x14ac:dyDescent="0.25">
      <c r="C6667" s="1"/>
      <c r="D6667" s="1"/>
    </row>
    <row r="6668" spans="3:4" x14ac:dyDescent="0.25">
      <c r="C6668" s="1"/>
      <c r="D6668" s="1"/>
    </row>
    <row r="6669" spans="3:4" x14ac:dyDescent="0.25">
      <c r="C6669" s="1"/>
      <c r="D6669" s="1"/>
    </row>
    <row r="6670" spans="3:4" x14ac:dyDescent="0.25">
      <c r="C6670" s="1"/>
      <c r="D6670" s="1"/>
    </row>
    <row r="6671" spans="3:4" x14ac:dyDescent="0.25">
      <c r="C6671" s="1"/>
      <c r="D6671" s="1"/>
    </row>
    <row r="6672" spans="3:4" x14ac:dyDescent="0.25">
      <c r="C6672" s="1"/>
      <c r="D6672" s="1"/>
    </row>
    <row r="6673" spans="3:4" x14ac:dyDescent="0.25">
      <c r="C6673" s="1"/>
      <c r="D6673" s="1"/>
    </row>
    <row r="6674" spans="3:4" x14ac:dyDescent="0.25">
      <c r="C6674" s="1"/>
      <c r="D6674" s="1"/>
    </row>
    <row r="6675" spans="3:4" x14ac:dyDescent="0.25">
      <c r="C6675" s="1"/>
      <c r="D6675" s="1"/>
    </row>
    <row r="6676" spans="3:4" x14ac:dyDescent="0.25">
      <c r="C6676" s="1"/>
      <c r="D6676" s="1"/>
    </row>
    <row r="6677" spans="3:4" x14ac:dyDescent="0.25">
      <c r="C6677" s="1"/>
      <c r="D6677" s="1"/>
    </row>
    <row r="6678" spans="3:4" x14ac:dyDescent="0.25">
      <c r="C6678" s="1"/>
      <c r="D6678" s="1"/>
    </row>
    <row r="6679" spans="3:4" x14ac:dyDescent="0.25">
      <c r="C6679" s="1"/>
      <c r="D6679" s="1"/>
    </row>
    <row r="6680" spans="3:4" x14ac:dyDescent="0.25">
      <c r="C6680" s="1"/>
      <c r="D6680" s="1"/>
    </row>
    <row r="6681" spans="3:4" x14ac:dyDescent="0.25">
      <c r="C6681" s="1"/>
      <c r="D6681" s="1"/>
    </row>
    <row r="6682" spans="3:4" x14ac:dyDescent="0.25">
      <c r="C6682" s="1"/>
      <c r="D6682" s="1"/>
    </row>
    <row r="6683" spans="3:4" x14ac:dyDescent="0.25">
      <c r="C6683" s="1"/>
      <c r="D6683" s="1"/>
    </row>
    <row r="6684" spans="3:4" x14ac:dyDescent="0.25">
      <c r="C6684" s="1"/>
      <c r="D6684" s="1"/>
    </row>
    <row r="6685" spans="3:4" x14ac:dyDescent="0.25">
      <c r="C6685" s="1"/>
      <c r="D6685" s="1"/>
    </row>
    <row r="6686" spans="3:4" x14ac:dyDescent="0.25">
      <c r="C6686" s="1"/>
      <c r="D6686" s="1"/>
    </row>
    <row r="6687" spans="3:4" x14ac:dyDescent="0.25">
      <c r="C6687" s="1"/>
      <c r="D6687" s="1"/>
    </row>
    <row r="6688" spans="3:4" x14ac:dyDescent="0.25">
      <c r="C6688" s="1"/>
      <c r="D6688" s="1"/>
    </row>
    <row r="6689" spans="3:4" x14ac:dyDescent="0.25">
      <c r="C6689" s="1"/>
      <c r="D6689" s="1"/>
    </row>
    <row r="6690" spans="3:4" x14ac:dyDescent="0.25">
      <c r="C6690" s="1"/>
      <c r="D6690" s="1"/>
    </row>
    <row r="6691" spans="3:4" x14ac:dyDescent="0.25">
      <c r="C6691" s="1"/>
      <c r="D6691" s="1"/>
    </row>
    <row r="6692" spans="3:4" x14ac:dyDescent="0.25">
      <c r="C6692" s="1"/>
      <c r="D6692" s="1"/>
    </row>
    <row r="6693" spans="3:4" x14ac:dyDescent="0.25">
      <c r="C6693" s="1"/>
      <c r="D6693" s="1"/>
    </row>
    <row r="6694" spans="3:4" x14ac:dyDescent="0.25">
      <c r="C6694" s="1"/>
      <c r="D6694" s="1"/>
    </row>
    <row r="6695" spans="3:4" x14ac:dyDescent="0.25">
      <c r="C6695" s="1"/>
      <c r="D6695" s="1"/>
    </row>
    <row r="6696" spans="3:4" x14ac:dyDescent="0.25">
      <c r="C6696" s="1"/>
      <c r="D6696" s="1"/>
    </row>
    <row r="6697" spans="3:4" x14ac:dyDescent="0.25">
      <c r="C6697" s="1"/>
      <c r="D6697" s="1"/>
    </row>
    <row r="6698" spans="3:4" x14ac:dyDescent="0.25">
      <c r="C6698" s="1"/>
      <c r="D6698" s="1"/>
    </row>
    <row r="6699" spans="3:4" x14ac:dyDescent="0.25">
      <c r="C6699" s="1"/>
      <c r="D6699" s="1"/>
    </row>
    <row r="6700" spans="3:4" x14ac:dyDescent="0.25">
      <c r="C6700" s="1"/>
      <c r="D6700" s="1"/>
    </row>
    <row r="6701" spans="3:4" x14ac:dyDescent="0.25">
      <c r="C6701" s="1"/>
      <c r="D6701" s="1"/>
    </row>
    <row r="6702" spans="3:4" x14ac:dyDescent="0.25">
      <c r="C6702" s="1"/>
      <c r="D6702" s="1"/>
    </row>
    <row r="6703" spans="3:4" x14ac:dyDescent="0.25">
      <c r="C6703" s="1"/>
      <c r="D6703" s="1"/>
    </row>
    <row r="6704" spans="3:4" x14ac:dyDescent="0.25">
      <c r="C6704" s="1"/>
      <c r="D6704" s="1"/>
    </row>
    <row r="6705" spans="3:4" x14ac:dyDescent="0.25">
      <c r="C6705" s="1"/>
      <c r="D6705" s="1"/>
    </row>
    <row r="6706" spans="3:4" x14ac:dyDescent="0.25">
      <c r="C6706" s="1"/>
      <c r="D6706" s="1"/>
    </row>
    <row r="6707" spans="3:4" x14ac:dyDescent="0.25">
      <c r="C6707" s="1"/>
      <c r="D6707" s="1"/>
    </row>
    <row r="6708" spans="3:4" x14ac:dyDescent="0.25">
      <c r="C6708" s="1"/>
      <c r="D6708" s="1"/>
    </row>
    <row r="6709" spans="3:4" x14ac:dyDescent="0.25">
      <c r="C6709" s="1"/>
      <c r="D6709" s="1"/>
    </row>
    <row r="6710" spans="3:4" x14ac:dyDescent="0.25">
      <c r="C6710" s="1"/>
      <c r="D6710" s="1"/>
    </row>
    <row r="6711" spans="3:4" x14ac:dyDescent="0.25">
      <c r="C6711" s="1"/>
      <c r="D6711" s="1"/>
    </row>
    <row r="6712" spans="3:4" x14ac:dyDescent="0.25">
      <c r="C6712" s="1"/>
      <c r="D6712" s="1"/>
    </row>
    <row r="6713" spans="3:4" x14ac:dyDescent="0.25">
      <c r="C6713" s="1"/>
      <c r="D6713" s="1"/>
    </row>
    <row r="6714" spans="3:4" x14ac:dyDescent="0.25">
      <c r="C6714" s="1"/>
      <c r="D6714" s="1"/>
    </row>
    <row r="6715" spans="3:4" x14ac:dyDescent="0.25">
      <c r="C6715" s="1"/>
      <c r="D6715" s="1"/>
    </row>
    <row r="6716" spans="3:4" x14ac:dyDescent="0.25">
      <c r="C6716" s="1"/>
      <c r="D6716" s="1"/>
    </row>
    <row r="6717" spans="3:4" x14ac:dyDescent="0.25">
      <c r="C6717" s="1"/>
      <c r="D6717" s="1"/>
    </row>
    <row r="6718" spans="3:4" x14ac:dyDescent="0.25">
      <c r="C6718" s="1"/>
      <c r="D6718" s="1"/>
    </row>
    <row r="6719" spans="3:4" x14ac:dyDescent="0.25">
      <c r="C6719" s="1"/>
      <c r="D6719" s="1"/>
    </row>
    <row r="6720" spans="3:4" x14ac:dyDescent="0.25">
      <c r="C6720" s="1"/>
      <c r="D6720" s="1"/>
    </row>
    <row r="6721" spans="3:4" x14ac:dyDescent="0.25">
      <c r="C6721" s="1"/>
      <c r="D6721" s="1"/>
    </row>
    <row r="6722" spans="3:4" x14ac:dyDescent="0.25">
      <c r="C6722" s="1"/>
      <c r="D6722" s="1"/>
    </row>
    <row r="6723" spans="3:4" x14ac:dyDescent="0.25">
      <c r="C6723" s="1"/>
      <c r="D6723" s="1"/>
    </row>
    <row r="6724" spans="3:4" x14ac:dyDescent="0.25">
      <c r="C6724" s="1"/>
      <c r="D6724" s="1"/>
    </row>
    <row r="6725" spans="3:4" x14ac:dyDescent="0.25">
      <c r="C6725" s="1"/>
      <c r="D6725" s="1"/>
    </row>
    <row r="6726" spans="3:4" x14ac:dyDescent="0.25">
      <c r="C6726" s="1"/>
      <c r="D6726" s="1"/>
    </row>
    <row r="6727" spans="3:4" x14ac:dyDescent="0.25">
      <c r="C6727" s="1"/>
      <c r="D6727" s="1"/>
    </row>
    <row r="6728" spans="3:4" x14ac:dyDescent="0.25">
      <c r="C6728" s="1"/>
      <c r="D6728" s="1"/>
    </row>
    <row r="6729" spans="3:4" x14ac:dyDescent="0.25">
      <c r="C6729" s="1"/>
      <c r="D6729" s="1"/>
    </row>
    <row r="6730" spans="3:4" x14ac:dyDescent="0.25">
      <c r="C6730" s="1"/>
      <c r="D6730" s="1"/>
    </row>
    <row r="6731" spans="3:4" x14ac:dyDescent="0.25">
      <c r="C6731" s="1"/>
      <c r="D6731" s="1"/>
    </row>
    <row r="6732" spans="3:4" x14ac:dyDescent="0.25">
      <c r="C6732" s="1"/>
      <c r="D6732" s="1"/>
    </row>
    <row r="6733" spans="3:4" x14ac:dyDescent="0.25">
      <c r="C6733" s="1"/>
      <c r="D6733" s="1"/>
    </row>
    <row r="6734" spans="3:4" x14ac:dyDescent="0.25">
      <c r="C6734" s="1"/>
      <c r="D6734" s="1"/>
    </row>
    <row r="6735" spans="3:4" x14ac:dyDescent="0.25">
      <c r="C6735" s="1"/>
      <c r="D6735" s="1"/>
    </row>
    <row r="6736" spans="3:4" x14ac:dyDescent="0.25">
      <c r="C6736" s="1"/>
      <c r="D6736" s="1"/>
    </row>
    <row r="6737" spans="3:4" x14ac:dyDescent="0.25">
      <c r="C6737" s="1"/>
      <c r="D6737" s="1"/>
    </row>
    <row r="6738" spans="3:4" x14ac:dyDescent="0.25">
      <c r="C6738" s="1"/>
      <c r="D6738" s="1"/>
    </row>
    <row r="6739" spans="3:4" x14ac:dyDescent="0.25">
      <c r="C6739" s="1"/>
      <c r="D6739" s="1"/>
    </row>
    <row r="6740" spans="3:4" x14ac:dyDescent="0.25">
      <c r="C6740" s="1"/>
      <c r="D6740" s="1"/>
    </row>
    <row r="6741" spans="3:4" x14ac:dyDescent="0.25">
      <c r="C6741" s="1"/>
      <c r="D6741" s="1"/>
    </row>
    <row r="6742" spans="3:4" x14ac:dyDescent="0.25">
      <c r="C6742" s="1"/>
      <c r="D6742" s="1"/>
    </row>
    <row r="6743" spans="3:4" x14ac:dyDescent="0.25">
      <c r="C6743" s="1"/>
      <c r="D6743" s="1"/>
    </row>
    <row r="6744" spans="3:4" x14ac:dyDescent="0.25">
      <c r="C6744" s="1"/>
      <c r="D6744" s="1"/>
    </row>
    <row r="6745" spans="3:4" x14ac:dyDescent="0.25">
      <c r="C6745" s="1"/>
      <c r="D6745" s="1"/>
    </row>
    <row r="6746" spans="3:4" x14ac:dyDescent="0.25">
      <c r="C6746" s="1"/>
      <c r="D6746" s="1"/>
    </row>
    <row r="6747" spans="3:4" x14ac:dyDescent="0.25">
      <c r="C6747" s="1"/>
      <c r="D6747" s="1"/>
    </row>
    <row r="6748" spans="3:4" x14ac:dyDescent="0.25">
      <c r="C6748" s="1"/>
      <c r="D6748" s="1"/>
    </row>
    <row r="6749" spans="3:4" x14ac:dyDescent="0.25">
      <c r="C6749" s="1"/>
      <c r="D6749" s="1"/>
    </row>
    <row r="6750" spans="3:4" x14ac:dyDescent="0.25">
      <c r="C6750" s="1"/>
      <c r="D6750" s="1"/>
    </row>
    <row r="6751" spans="3:4" x14ac:dyDescent="0.25">
      <c r="C6751" s="1"/>
      <c r="D6751" s="1"/>
    </row>
    <row r="6752" spans="3:4" x14ac:dyDescent="0.25">
      <c r="C6752" s="1"/>
      <c r="D6752" s="1"/>
    </row>
    <row r="6753" spans="3:4" x14ac:dyDescent="0.25">
      <c r="C6753" s="1"/>
      <c r="D6753" s="1"/>
    </row>
    <row r="6754" spans="3:4" x14ac:dyDescent="0.25">
      <c r="C6754" s="1"/>
      <c r="D6754" s="1"/>
    </row>
    <row r="6755" spans="3:4" x14ac:dyDescent="0.25">
      <c r="C6755" s="1"/>
      <c r="D6755" s="1"/>
    </row>
    <row r="6756" spans="3:4" x14ac:dyDescent="0.25">
      <c r="C6756" s="1"/>
      <c r="D6756" s="1"/>
    </row>
    <row r="6757" spans="3:4" x14ac:dyDescent="0.25">
      <c r="C6757" s="1"/>
      <c r="D6757" s="1"/>
    </row>
    <row r="6758" spans="3:4" x14ac:dyDescent="0.25">
      <c r="C6758" s="1"/>
      <c r="D6758" s="1"/>
    </row>
    <row r="6759" spans="3:4" x14ac:dyDescent="0.25">
      <c r="C6759" s="1"/>
      <c r="D6759" s="1"/>
    </row>
    <row r="6760" spans="3:4" x14ac:dyDescent="0.25">
      <c r="C6760" s="1"/>
      <c r="D6760" s="1"/>
    </row>
    <row r="6761" spans="3:4" x14ac:dyDescent="0.25">
      <c r="C6761" s="1"/>
      <c r="D6761" s="1"/>
    </row>
    <row r="6762" spans="3:4" x14ac:dyDescent="0.25">
      <c r="C6762" s="1"/>
      <c r="D6762" s="1"/>
    </row>
    <row r="6763" spans="3:4" x14ac:dyDescent="0.25">
      <c r="C6763" s="1"/>
      <c r="D6763" s="1"/>
    </row>
    <row r="6764" spans="3:4" x14ac:dyDescent="0.25">
      <c r="C6764" s="1"/>
      <c r="D6764" s="1"/>
    </row>
    <row r="6765" spans="3:4" x14ac:dyDescent="0.25">
      <c r="C6765" s="1"/>
      <c r="D6765" s="1"/>
    </row>
    <row r="6766" spans="3:4" x14ac:dyDescent="0.25">
      <c r="C6766" s="1"/>
      <c r="D6766" s="1"/>
    </row>
    <row r="6767" spans="3:4" x14ac:dyDescent="0.25">
      <c r="C6767" s="1"/>
      <c r="D6767" s="1"/>
    </row>
    <row r="6768" spans="3:4" x14ac:dyDescent="0.25">
      <c r="C6768" s="1"/>
      <c r="D6768" s="1"/>
    </row>
    <row r="6769" spans="3:4" x14ac:dyDescent="0.25">
      <c r="C6769" s="1"/>
      <c r="D6769" s="1"/>
    </row>
    <row r="6770" spans="3:4" x14ac:dyDescent="0.25">
      <c r="C6770" s="1"/>
      <c r="D6770" s="1"/>
    </row>
    <row r="6771" spans="3:4" x14ac:dyDescent="0.25">
      <c r="C6771" s="1"/>
      <c r="D6771" s="1"/>
    </row>
    <row r="6772" spans="3:4" x14ac:dyDescent="0.25">
      <c r="C6772" s="1"/>
      <c r="D6772" s="1"/>
    </row>
    <row r="6773" spans="3:4" x14ac:dyDescent="0.25">
      <c r="C6773" s="1"/>
      <c r="D6773" s="1"/>
    </row>
    <row r="6774" spans="3:4" x14ac:dyDescent="0.25">
      <c r="C6774" s="1"/>
      <c r="D6774" s="1"/>
    </row>
    <row r="6775" spans="3:4" x14ac:dyDescent="0.25">
      <c r="C6775" s="1"/>
      <c r="D6775" s="1"/>
    </row>
    <row r="6776" spans="3:4" x14ac:dyDescent="0.25">
      <c r="C6776" s="1"/>
      <c r="D6776" s="1"/>
    </row>
    <row r="6777" spans="3:4" x14ac:dyDescent="0.25">
      <c r="C6777" s="1"/>
      <c r="D6777" s="1"/>
    </row>
    <row r="6778" spans="3:4" x14ac:dyDescent="0.25">
      <c r="C6778" s="1"/>
      <c r="D6778" s="1"/>
    </row>
    <row r="6779" spans="3:4" x14ac:dyDescent="0.25">
      <c r="C6779" s="1"/>
      <c r="D6779" s="1"/>
    </row>
    <row r="6780" spans="3:4" x14ac:dyDescent="0.25">
      <c r="C6780" s="1"/>
      <c r="D6780" s="1"/>
    </row>
    <row r="6781" spans="3:4" x14ac:dyDescent="0.25">
      <c r="C6781" s="1"/>
      <c r="D6781" s="1"/>
    </row>
    <row r="6782" spans="3:4" x14ac:dyDescent="0.25">
      <c r="C6782" s="1"/>
      <c r="D6782" s="1"/>
    </row>
    <row r="6783" spans="3:4" x14ac:dyDescent="0.25">
      <c r="C6783" s="1"/>
      <c r="D6783" s="1"/>
    </row>
    <row r="6784" spans="3:4" x14ac:dyDescent="0.25">
      <c r="C6784" s="1"/>
      <c r="D6784" s="1"/>
    </row>
    <row r="6785" spans="3:4" x14ac:dyDescent="0.25">
      <c r="C6785" s="1"/>
      <c r="D6785" s="1"/>
    </row>
    <row r="6786" spans="3:4" x14ac:dyDescent="0.25">
      <c r="C6786" s="1"/>
      <c r="D6786" s="1"/>
    </row>
    <row r="6787" spans="3:4" x14ac:dyDescent="0.25">
      <c r="C6787" s="1"/>
      <c r="D6787" s="1"/>
    </row>
    <row r="6788" spans="3:4" x14ac:dyDescent="0.25">
      <c r="C6788" s="1"/>
      <c r="D6788" s="1"/>
    </row>
    <row r="6789" spans="3:4" x14ac:dyDescent="0.25">
      <c r="C6789" s="1"/>
      <c r="D6789" s="1"/>
    </row>
    <row r="6790" spans="3:4" x14ac:dyDescent="0.25">
      <c r="C6790" s="1"/>
      <c r="D6790" s="1"/>
    </row>
    <row r="6791" spans="3:4" x14ac:dyDescent="0.25">
      <c r="C6791" s="1"/>
      <c r="D6791" s="1"/>
    </row>
    <row r="6792" spans="3:4" x14ac:dyDescent="0.25">
      <c r="C6792" s="1"/>
      <c r="D6792" s="1"/>
    </row>
    <row r="6793" spans="3:4" x14ac:dyDescent="0.25">
      <c r="C6793" s="1"/>
      <c r="D6793" s="1"/>
    </row>
    <row r="6794" spans="3:4" x14ac:dyDescent="0.25">
      <c r="C6794" s="1"/>
      <c r="D6794" s="1"/>
    </row>
    <row r="6795" spans="3:4" x14ac:dyDescent="0.25">
      <c r="C6795" s="1"/>
      <c r="D6795" s="1"/>
    </row>
    <row r="6796" spans="3:4" x14ac:dyDescent="0.25">
      <c r="C6796" s="1"/>
      <c r="D6796" s="1"/>
    </row>
    <row r="6797" spans="3:4" x14ac:dyDescent="0.25">
      <c r="C6797" s="1"/>
      <c r="D6797" s="1"/>
    </row>
    <row r="6798" spans="3:4" x14ac:dyDescent="0.25">
      <c r="C6798" s="1"/>
      <c r="D6798" s="1"/>
    </row>
    <row r="6799" spans="3:4" x14ac:dyDescent="0.25">
      <c r="C6799" s="1"/>
      <c r="D6799" s="1"/>
    </row>
    <row r="6800" spans="3:4" x14ac:dyDescent="0.25">
      <c r="C6800" s="1"/>
      <c r="D6800" s="1"/>
    </row>
    <row r="6801" spans="3:4" x14ac:dyDescent="0.25">
      <c r="C6801" s="1"/>
      <c r="D6801" s="1"/>
    </row>
    <row r="6802" spans="3:4" x14ac:dyDescent="0.25">
      <c r="C6802" s="1"/>
      <c r="D6802" s="1"/>
    </row>
    <row r="6803" spans="3:4" x14ac:dyDescent="0.25">
      <c r="C6803" s="1"/>
      <c r="D6803" s="1"/>
    </row>
    <row r="6804" spans="3:4" x14ac:dyDescent="0.25">
      <c r="C6804" s="1"/>
      <c r="D6804" s="1"/>
    </row>
    <row r="6805" spans="3:4" x14ac:dyDescent="0.25">
      <c r="C6805" s="1"/>
      <c r="D6805" s="1"/>
    </row>
    <row r="6806" spans="3:4" x14ac:dyDescent="0.25">
      <c r="C6806" s="1"/>
      <c r="D6806" s="1"/>
    </row>
    <row r="6807" spans="3:4" x14ac:dyDescent="0.25">
      <c r="C6807" s="1"/>
      <c r="D6807" s="1"/>
    </row>
    <row r="6808" spans="3:4" x14ac:dyDescent="0.25">
      <c r="C6808" s="1"/>
      <c r="D6808" s="1"/>
    </row>
    <row r="6809" spans="3:4" x14ac:dyDescent="0.25">
      <c r="C6809" s="1"/>
      <c r="D6809" s="1"/>
    </row>
    <row r="6810" spans="3:4" x14ac:dyDescent="0.25">
      <c r="C6810" s="1"/>
      <c r="D6810" s="1"/>
    </row>
    <row r="6811" spans="3:4" x14ac:dyDescent="0.25">
      <c r="C6811" s="1"/>
      <c r="D6811" s="1"/>
    </row>
    <row r="6812" spans="3:4" x14ac:dyDescent="0.25">
      <c r="C6812" s="1"/>
      <c r="D6812" s="1"/>
    </row>
    <row r="6813" spans="3:4" x14ac:dyDescent="0.25">
      <c r="C6813" s="1"/>
      <c r="D6813" s="1"/>
    </row>
    <row r="6814" spans="3:4" x14ac:dyDescent="0.25">
      <c r="C6814" s="1"/>
      <c r="D6814" s="1"/>
    </row>
    <row r="6815" spans="3:4" x14ac:dyDescent="0.25">
      <c r="C6815" s="1"/>
      <c r="D6815" s="1"/>
    </row>
    <row r="6816" spans="3:4" x14ac:dyDescent="0.25">
      <c r="C6816" s="1"/>
      <c r="D6816" s="1"/>
    </row>
    <row r="6817" spans="3:4" x14ac:dyDescent="0.25">
      <c r="C6817" s="1"/>
      <c r="D6817" s="1"/>
    </row>
    <row r="6818" spans="3:4" x14ac:dyDescent="0.25">
      <c r="C6818" s="1"/>
      <c r="D6818" s="1"/>
    </row>
    <row r="6819" spans="3:4" x14ac:dyDescent="0.25">
      <c r="C6819" s="1"/>
      <c r="D6819" s="1"/>
    </row>
    <row r="6820" spans="3:4" x14ac:dyDescent="0.25">
      <c r="C6820" s="1"/>
      <c r="D6820" s="1"/>
    </row>
    <row r="6821" spans="3:4" x14ac:dyDescent="0.25">
      <c r="C6821" s="1"/>
      <c r="D6821" s="1"/>
    </row>
    <row r="6822" spans="3:4" x14ac:dyDescent="0.25">
      <c r="C6822" s="1"/>
      <c r="D6822" s="1"/>
    </row>
    <row r="6823" spans="3:4" x14ac:dyDescent="0.25">
      <c r="C6823" s="1"/>
      <c r="D6823" s="1"/>
    </row>
    <row r="6824" spans="3:4" x14ac:dyDescent="0.25">
      <c r="C6824" s="1"/>
      <c r="D6824" s="1"/>
    </row>
    <row r="6825" spans="3:4" x14ac:dyDescent="0.25">
      <c r="C6825" s="1"/>
      <c r="D6825" s="1"/>
    </row>
    <row r="6826" spans="3:4" x14ac:dyDescent="0.25">
      <c r="C6826" s="1"/>
      <c r="D6826" s="1"/>
    </row>
    <row r="6827" spans="3:4" x14ac:dyDescent="0.25">
      <c r="C6827" s="1"/>
      <c r="D6827" s="1"/>
    </row>
    <row r="6828" spans="3:4" x14ac:dyDescent="0.25">
      <c r="C6828" s="1"/>
      <c r="D6828" s="1"/>
    </row>
    <row r="6829" spans="3:4" x14ac:dyDescent="0.25">
      <c r="C6829" s="1"/>
      <c r="D6829" s="1"/>
    </row>
    <row r="6830" spans="3:4" x14ac:dyDescent="0.25">
      <c r="C6830" s="1"/>
      <c r="D6830" s="1"/>
    </row>
    <row r="6831" spans="3:4" x14ac:dyDescent="0.25">
      <c r="C6831" s="1"/>
      <c r="D6831" s="1"/>
    </row>
    <row r="6832" spans="3:4" x14ac:dyDescent="0.25">
      <c r="C6832" s="1"/>
      <c r="D6832" s="1"/>
    </row>
    <row r="6833" spans="3:4" x14ac:dyDescent="0.25">
      <c r="C6833" s="1"/>
      <c r="D6833" s="1"/>
    </row>
    <row r="6834" spans="3:4" x14ac:dyDescent="0.25">
      <c r="C6834" s="1"/>
      <c r="D6834" s="1"/>
    </row>
    <row r="6835" spans="3:4" x14ac:dyDescent="0.25">
      <c r="C6835" s="1"/>
      <c r="D6835" s="1"/>
    </row>
    <row r="6836" spans="3:4" x14ac:dyDescent="0.25">
      <c r="C6836" s="1"/>
      <c r="D6836" s="1"/>
    </row>
    <row r="6837" spans="3:4" x14ac:dyDescent="0.25">
      <c r="C6837" s="1"/>
      <c r="D6837" s="1"/>
    </row>
    <row r="6838" spans="3:4" x14ac:dyDescent="0.25">
      <c r="C6838" s="1"/>
      <c r="D6838" s="1"/>
    </row>
    <row r="6839" spans="3:4" x14ac:dyDescent="0.25">
      <c r="C6839" s="1"/>
      <c r="D6839" s="1"/>
    </row>
    <row r="6840" spans="3:4" x14ac:dyDescent="0.25">
      <c r="C6840" s="1"/>
      <c r="D6840" s="1"/>
    </row>
    <row r="6841" spans="3:4" x14ac:dyDescent="0.25">
      <c r="C6841" s="1"/>
      <c r="D6841" s="1"/>
    </row>
    <row r="6842" spans="3:4" x14ac:dyDescent="0.25">
      <c r="C6842" s="1"/>
      <c r="D6842" s="1"/>
    </row>
    <row r="6843" spans="3:4" x14ac:dyDescent="0.25">
      <c r="C6843" s="1"/>
      <c r="D6843" s="1"/>
    </row>
    <row r="6844" spans="3:4" x14ac:dyDescent="0.25">
      <c r="C6844" s="1"/>
      <c r="D6844" s="1"/>
    </row>
    <row r="6845" spans="3:4" x14ac:dyDescent="0.25">
      <c r="C6845" s="1"/>
      <c r="D6845" s="1"/>
    </row>
    <row r="6846" spans="3:4" x14ac:dyDescent="0.25">
      <c r="C6846" s="1"/>
      <c r="D6846" s="1"/>
    </row>
    <row r="6847" spans="3:4" x14ac:dyDescent="0.25">
      <c r="C6847" s="1"/>
      <c r="D6847" s="1"/>
    </row>
    <row r="6848" spans="3:4" x14ac:dyDescent="0.25">
      <c r="C6848" s="1"/>
      <c r="D6848" s="1"/>
    </row>
    <row r="6849" spans="3:4" x14ac:dyDescent="0.25">
      <c r="C6849" s="1"/>
      <c r="D6849" s="1"/>
    </row>
    <row r="6850" spans="3:4" x14ac:dyDescent="0.25">
      <c r="C6850" s="1"/>
      <c r="D6850" s="1"/>
    </row>
    <row r="6851" spans="3:4" x14ac:dyDescent="0.25">
      <c r="C6851" s="1"/>
      <c r="D6851" s="1"/>
    </row>
    <row r="6852" spans="3:4" x14ac:dyDescent="0.25">
      <c r="C6852" s="1"/>
      <c r="D6852" s="1"/>
    </row>
    <row r="6853" spans="3:4" x14ac:dyDescent="0.25">
      <c r="C6853" s="1"/>
      <c r="D6853" s="1"/>
    </row>
    <row r="6854" spans="3:4" x14ac:dyDescent="0.25">
      <c r="C6854" s="1"/>
      <c r="D6854" s="1"/>
    </row>
    <row r="6855" spans="3:4" x14ac:dyDescent="0.25">
      <c r="C6855" s="1"/>
      <c r="D6855" s="1"/>
    </row>
    <row r="6856" spans="3:4" x14ac:dyDescent="0.25">
      <c r="C6856" s="1"/>
      <c r="D6856" s="1"/>
    </row>
    <row r="6857" spans="3:4" x14ac:dyDescent="0.25">
      <c r="C6857" s="1"/>
      <c r="D6857" s="1"/>
    </row>
    <row r="6858" spans="3:4" x14ac:dyDescent="0.25">
      <c r="C6858" s="1"/>
      <c r="D6858" s="1"/>
    </row>
    <row r="6859" spans="3:4" x14ac:dyDescent="0.25">
      <c r="C6859" s="1"/>
      <c r="D6859" s="1"/>
    </row>
    <row r="6860" spans="3:4" x14ac:dyDescent="0.25">
      <c r="C6860" s="1"/>
      <c r="D6860" s="1"/>
    </row>
    <row r="6861" spans="3:4" x14ac:dyDescent="0.25">
      <c r="C6861" s="1"/>
      <c r="D6861" s="1"/>
    </row>
    <row r="6862" spans="3:4" x14ac:dyDescent="0.25">
      <c r="C6862" s="1"/>
      <c r="D6862" s="1"/>
    </row>
    <row r="6863" spans="3:4" x14ac:dyDescent="0.25">
      <c r="C6863" s="1"/>
      <c r="D6863" s="1"/>
    </row>
    <row r="6864" spans="3:4" x14ac:dyDescent="0.25">
      <c r="C6864" s="1"/>
      <c r="D6864" s="1"/>
    </row>
    <row r="6865" spans="3:4" x14ac:dyDescent="0.25">
      <c r="C6865" s="1"/>
      <c r="D6865" s="1"/>
    </row>
    <row r="6866" spans="3:4" x14ac:dyDescent="0.25">
      <c r="C6866" s="1"/>
      <c r="D6866" s="1"/>
    </row>
    <row r="6867" spans="3:4" x14ac:dyDescent="0.25">
      <c r="C6867" s="1"/>
      <c r="D6867" s="1"/>
    </row>
    <row r="6868" spans="3:4" x14ac:dyDescent="0.25">
      <c r="C6868" s="1"/>
      <c r="D6868" s="1"/>
    </row>
    <row r="6869" spans="3:4" x14ac:dyDescent="0.25">
      <c r="C6869" s="1"/>
      <c r="D6869" s="1"/>
    </row>
    <row r="6870" spans="3:4" x14ac:dyDescent="0.25">
      <c r="C6870" s="1"/>
      <c r="D6870" s="1"/>
    </row>
    <row r="6871" spans="3:4" x14ac:dyDescent="0.25">
      <c r="C6871" s="1"/>
      <c r="D6871" s="1"/>
    </row>
    <row r="6872" spans="3:4" x14ac:dyDescent="0.25">
      <c r="C6872" s="1"/>
      <c r="D6872" s="1"/>
    </row>
    <row r="6873" spans="3:4" x14ac:dyDescent="0.25">
      <c r="C6873" s="1"/>
      <c r="D6873" s="1"/>
    </row>
    <row r="6874" spans="3:4" x14ac:dyDescent="0.25">
      <c r="C6874" s="1"/>
      <c r="D6874" s="1"/>
    </row>
    <row r="6875" spans="3:4" x14ac:dyDescent="0.25">
      <c r="C6875" s="1"/>
      <c r="D6875" s="1"/>
    </row>
    <row r="6876" spans="3:4" x14ac:dyDescent="0.25">
      <c r="C6876" s="1"/>
      <c r="D6876" s="1"/>
    </row>
    <row r="6877" spans="3:4" x14ac:dyDescent="0.25">
      <c r="C6877" s="1"/>
      <c r="D6877" s="1"/>
    </row>
    <row r="6878" spans="3:4" x14ac:dyDescent="0.25">
      <c r="C6878" s="1"/>
      <c r="D6878" s="1"/>
    </row>
    <row r="6879" spans="3:4" x14ac:dyDescent="0.25">
      <c r="C6879" s="1"/>
      <c r="D6879" s="1"/>
    </row>
    <row r="6880" spans="3:4" x14ac:dyDescent="0.25">
      <c r="C6880" s="1"/>
      <c r="D6880" s="1"/>
    </row>
    <row r="6881" spans="3:4" x14ac:dyDescent="0.25">
      <c r="C6881" s="1"/>
      <c r="D6881" s="1"/>
    </row>
    <row r="6882" spans="3:4" x14ac:dyDescent="0.25">
      <c r="C6882" s="1"/>
      <c r="D6882" s="1"/>
    </row>
    <row r="6883" spans="3:4" x14ac:dyDescent="0.25">
      <c r="C6883" s="1"/>
      <c r="D6883" s="1"/>
    </row>
    <row r="6884" spans="3:4" x14ac:dyDescent="0.25">
      <c r="C6884" s="1"/>
      <c r="D6884" s="1"/>
    </row>
    <row r="6885" spans="3:4" x14ac:dyDescent="0.25">
      <c r="C6885" s="1"/>
      <c r="D6885" s="1"/>
    </row>
    <row r="6886" spans="3:4" x14ac:dyDescent="0.25">
      <c r="C6886" s="1"/>
      <c r="D6886" s="1"/>
    </row>
    <row r="6887" spans="3:4" x14ac:dyDescent="0.25">
      <c r="C6887" s="1"/>
      <c r="D6887" s="1"/>
    </row>
    <row r="6888" spans="3:4" x14ac:dyDescent="0.25">
      <c r="C6888" s="1"/>
      <c r="D6888" s="1"/>
    </row>
    <row r="6889" spans="3:4" x14ac:dyDescent="0.25">
      <c r="C6889" s="1"/>
      <c r="D6889" s="1"/>
    </row>
    <row r="6890" spans="3:4" x14ac:dyDescent="0.25">
      <c r="C6890" s="1"/>
      <c r="D6890" s="1"/>
    </row>
    <row r="6891" spans="3:4" x14ac:dyDescent="0.25">
      <c r="C6891" s="1"/>
      <c r="D6891" s="1"/>
    </row>
    <row r="6892" spans="3:4" x14ac:dyDescent="0.25">
      <c r="C6892" s="1"/>
      <c r="D6892" s="1"/>
    </row>
    <row r="6893" spans="3:4" x14ac:dyDescent="0.25">
      <c r="C6893" s="1"/>
      <c r="D6893" s="1"/>
    </row>
    <row r="6894" spans="3:4" x14ac:dyDescent="0.25">
      <c r="C6894" s="1"/>
      <c r="D6894" s="1"/>
    </row>
    <row r="6895" spans="3:4" x14ac:dyDescent="0.25">
      <c r="C6895" s="1"/>
      <c r="D6895" s="1"/>
    </row>
    <row r="6896" spans="3:4" x14ac:dyDescent="0.25">
      <c r="C6896" s="1"/>
      <c r="D6896" s="1"/>
    </row>
    <row r="6897" spans="3:4" x14ac:dyDescent="0.25">
      <c r="C6897" s="1"/>
      <c r="D6897" s="1"/>
    </row>
    <row r="6898" spans="3:4" x14ac:dyDescent="0.25">
      <c r="C6898" s="1"/>
      <c r="D6898" s="1"/>
    </row>
    <row r="6899" spans="3:4" x14ac:dyDescent="0.25">
      <c r="C6899" s="1"/>
      <c r="D6899" s="1"/>
    </row>
    <row r="6900" spans="3:4" x14ac:dyDescent="0.25">
      <c r="C6900" s="1"/>
      <c r="D6900" s="1"/>
    </row>
    <row r="6901" spans="3:4" x14ac:dyDescent="0.25">
      <c r="C6901" s="1"/>
      <c r="D6901" s="1"/>
    </row>
    <row r="6902" spans="3:4" x14ac:dyDescent="0.25">
      <c r="C6902" s="1"/>
      <c r="D6902" s="1"/>
    </row>
    <row r="6903" spans="3:4" x14ac:dyDescent="0.25">
      <c r="C6903" s="1"/>
      <c r="D6903" s="1"/>
    </row>
    <row r="6904" spans="3:4" x14ac:dyDescent="0.25">
      <c r="C6904" s="1"/>
      <c r="D6904" s="1"/>
    </row>
    <row r="6905" spans="3:4" x14ac:dyDescent="0.25">
      <c r="C6905" s="1"/>
      <c r="D6905" s="1"/>
    </row>
    <row r="6906" spans="3:4" x14ac:dyDescent="0.25">
      <c r="C6906" s="1"/>
      <c r="D6906" s="1"/>
    </row>
    <row r="6907" spans="3:4" x14ac:dyDescent="0.25">
      <c r="C6907" s="1"/>
      <c r="D6907" s="1"/>
    </row>
    <row r="6908" spans="3:4" x14ac:dyDescent="0.25">
      <c r="C6908" s="1"/>
      <c r="D6908" s="1"/>
    </row>
    <row r="6909" spans="3:4" x14ac:dyDescent="0.25">
      <c r="C6909" s="1"/>
      <c r="D6909" s="1"/>
    </row>
    <row r="6910" spans="3:4" x14ac:dyDescent="0.25">
      <c r="C6910" s="1"/>
      <c r="D6910" s="1"/>
    </row>
    <row r="6911" spans="3:4" x14ac:dyDescent="0.25">
      <c r="C6911" s="1"/>
      <c r="D6911" s="1"/>
    </row>
    <row r="6912" spans="3:4" x14ac:dyDescent="0.25">
      <c r="C6912" s="1"/>
      <c r="D6912" s="1"/>
    </row>
    <row r="6913" spans="3:4" x14ac:dyDescent="0.25">
      <c r="C6913" s="1"/>
      <c r="D6913" s="1"/>
    </row>
    <row r="6914" spans="3:4" x14ac:dyDescent="0.25">
      <c r="C6914" s="1"/>
      <c r="D6914" s="1"/>
    </row>
    <row r="6915" spans="3:4" x14ac:dyDescent="0.25">
      <c r="C6915" s="1"/>
      <c r="D6915" s="1"/>
    </row>
    <row r="6916" spans="3:4" x14ac:dyDescent="0.25">
      <c r="C6916" s="1"/>
      <c r="D6916" s="1"/>
    </row>
    <row r="6917" spans="3:4" x14ac:dyDescent="0.25">
      <c r="C6917" s="1"/>
      <c r="D6917" s="1"/>
    </row>
    <row r="6918" spans="3:4" x14ac:dyDescent="0.25">
      <c r="C6918" s="1"/>
      <c r="D6918" s="1"/>
    </row>
    <row r="6919" spans="3:4" x14ac:dyDescent="0.25">
      <c r="C6919" s="1"/>
      <c r="D6919" s="1"/>
    </row>
    <row r="6920" spans="3:4" x14ac:dyDescent="0.25">
      <c r="C6920" s="1"/>
      <c r="D6920" s="1"/>
    </row>
    <row r="6921" spans="3:4" x14ac:dyDescent="0.25">
      <c r="C6921" s="1"/>
      <c r="D6921" s="1"/>
    </row>
    <row r="6922" spans="3:4" x14ac:dyDescent="0.25">
      <c r="C6922" s="1"/>
      <c r="D6922" s="1"/>
    </row>
    <row r="6923" spans="3:4" x14ac:dyDescent="0.25">
      <c r="C6923" s="1"/>
      <c r="D6923" s="1"/>
    </row>
    <row r="6924" spans="3:4" x14ac:dyDescent="0.25">
      <c r="C6924" s="1"/>
      <c r="D6924" s="1"/>
    </row>
    <row r="6925" spans="3:4" x14ac:dyDescent="0.25">
      <c r="C6925" s="1"/>
      <c r="D6925" s="1"/>
    </row>
    <row r="6926" spans="3:4" x14ac:dyDescent="0.25">
      <c r="C6926" s="1"/>
      <c r="D6926" s="1"/>
    </row>
    <row r="6927" spans="3:4" x14ac:dyDescent="0.25">
      <c r="C6927" s="1"/>
      <c r="D6927" s="1"/>
    </row>
    <row r="6928" spans="3:4" x14ac:dyDescent="0.25">
      <c r="C6928" s="1"/>
      <c r="D6928" s="1"/>
    </row>
    <row r="6929" spans="3:4" x14ac:dyDescent="0.25">
      <c r="C6929" s="1"/>
      <c r="D6929" s="1"/>
    </row>
    <row r="6930" spans="3:4" x14ac:dyDescent="0.25">
      <c r="C6930" s="1"/>
      <c r="D6930" s="1"/>
    </row>
    <row r="6931" spans="3:4" x14ac:dyDescent="0.25">
      <c r="C6931" s="1"/>
      <c r="D6931" s="1"/>
    </row>
    <row r="6932" spans="3:4" x14ac:dyDescent="0.25">
      <c r="C6932" s="1"/>
      <c r="D6932" s="1"/>
    </row>
    <row r="6933" spans="3:4" x14ac:dyDescent="0.25">
      <c r="C6933" s="1"/>
      <c r="D6933" s="1"/>
    </row>
    <row r="6934" spans="3:4" x14ac:dyDescent="0.25">
      <c r="C6934" s="1"/>
      <c r="D6934" s="1"/>
    </row>
    <row r="6935" spans="3:4" x14ac:dyDescent="0.25">
      <c r="C6935" s="1"/>
      <c r="D6935" s="1"/>
    </row>
    <row r="6936" spans="3:4" x14ac:dyDescent="0.25">
      <c r="C6936" s="1"/>
      <c r="D6936" s="1"/>
    </row>
    <row r="6937" spans="3:4" x14ac:dyDescent="0.25">
      <c r="C6937" s="1"/>
      <c r="D6937" s="1"/>
    </row>
    <row r="6938" spans="3:4" x14ac:dyDescent="0.25">
      <c r="C6938" s="1"/>
      <c r="D6938" s="1"/>
    </row>
    <row r="6939" spans="3:4" x14ac:dyDescent="0.25">
      <c r="C6939" s="1"/>
      <c r="D6939" s="1"/>
    </row>
    <row r="6940" spans="3:4" x14ac:dyDescent="0.25">
      <c r="C6940" s="1"/>
      <c r="D6940" s="1"/>
    </row>
    <row r="6941" spans="3:4" x14ac:dyDescent="0.25">
      <c r="C6941" s="1"/>
      <c r="D6941" s="1"/>
    </row>
    <row r="6942" spans="3:4" x14ac:dyDescent="0.25">
      <c r="C6942" s="1"/>
      <c r="D6942" s="1"/>
    </row>
    <row r="6943" spans="3:4" x14ac:dyDescent="0.25">
      <c r="C6943" s="1"/>
      <c r="D6943" s="1"/>
    </row>
    <row r="6944" spans="3:4" x14ac:dyDescent="0.25">
      <c r="C6944" s="1"/>
      <c r="D6944" s="1"/>
    </row>
    <row r="6945" spans="3:4" x14ac:dyDescent="0.25">
      <c r="C6945" s="1"/>
      <c r="D6945" s="1"/>
    </row>
    <row r="6946" spans="3:4" x14ac:dyDescent="0.25">
      <c r="C6946" s="1"/>
      <c r="D6946" s="1"/>
    </row>
    <row r="6947" spans="3:4" x14ac:dyDescent="0.25">
      <c r="C6947" s="1"/>
      <c r="D6947" s="1"/>
    </row>
    <row r="6948" spans="3:4" x14ac:dyDescent="0.25">
      <c r="C6948" s="1"/>
      <c r="D6948" s="1"/>
    </row>
    <row r="6949" spans="3:4" x14ac:dyDescent="0.25">
      <c r="C6949" s="1"/>
      <c r="D6949" s="1"/>
    </row>
    <row r="6950" spans="3:4" x14ac:dyDescent="0.25">
      <c r="C6950" s="1"/>
      <c r="D6950" s="1"/>
    </row>
    <row r="6951" spans="3:4" x14ac:dyDescent="0.25">
      <c r="C6951" s="1"/>
      <c r="D6951" s="1"/>
    </row>
    <row r="6952" spans="3:4" x14ac:dyDescent="0.25">
      <c r="C6952" s="1"/>
      <c r="D6952" s="1"/>
    </row>
    <row r="6953" spans="3:4" x14ac:dyDescent="0.25">
      <c r="C6953" s="1"/>
      <c r="D6953" s="1"/>
    </row>
    <row r="6954" spans="3:4" x14ac:dyDescent="0.25">
      <c r="C6954" s="1"/>
      <c r="D6954" s="1"/>
    </row>
    <row r="6955" spans="3:4" x14ac:dyDescent="0.25">
      <c r="C6955" s="1"/>
      <c r="D6955" s="1"/>
    </row>
    <row r="6956" spans="3:4" x14ac:dyDescent="0.25">
      <c r="C6956" s="1"/>
      <c r="D6956" s="1"/>
    </row>
    <row r="6957" spans="3:4" x14ac:dyDescent="0.25">
      <c r="C6957" s="1"/>
      <c r="D6957" s="1"/>
    </row>
    <row r="6958" spans="3:4" x14ac:dyDescent="0.25">
      <c r="C6958" s="1"/>
      <c r="D6958" s="1"/>
    </row>
    <row r="6959" spans="3:4" x14ac:dyDescent="0.25">
      <c r="C6959" s="1"/>
      <c r="D6959" s="1"/>
    </row>
    <row r="6960" spans="3:4" x14ac:dyDescent="0.25">
      <c r="C6960" s="1"/>
      <c r="D6960" s="1"/>
    </row>
    <row r="6961" spans="3:4" x14ac:dyDescent="0.25">
      <c r="C6961" s="1"/>
      <c r="D6961" s="1"/>
    </row>
    <row r="6962" spans="3:4" x14ac:dyDescent="0.25">
      <c r="C6962" s="1"/>
      <c r="D6962" s="1"/>
    </row>
    <row r="6963" spans="3:4" x14ac:dyDescent="0.25">
      <c r="C6963" s="1"/>
      <c r="D6963" s="1"/>
    </row>
    <row r="6964" spans="3:4" x14ac:dyDescent="0.25">
      <c r="C6964" s="1"/>
      <c r="D6964" s="1"/>
    </row>
    <row r="6965" spans="3:4" x14ac:dyDescent="0.25">
      <c r="C6965" s="1"/>
      <c r="D6965" s="1"/>
    </row>
    <row r="6966" spans="3:4" x14ac:dyDescent="0.25">
      <c r="C6966" s="1"/>
      <c r="D6966" s="1"/>
    </row>
    <row r="6967" spans="3:4" x14ac:dyDescent="0.25">
      <c r="C6967" s="1"/>
      <c r="D6967" s="1"/>
    </row>
    <row r="6968" spans="3:4" x14ac:dyDescent="0.25">
      <c r="C6968" s="1"/>
      <c r="D6968" s="1"/>
    </row>
    <row r="6969" spans="3:4" x14ac:dyDescent="0.25">
      <c r="C6969" s="1"/>
      <c r="D6969" s="1"/>
    </row>
    <row r="6970" spans="3:4" x14ac:dyDescent="0.25">
      <c r="C6970" s="1"/>
      <c r="D6970" s="1"/>
    </row>
    <row r="6971" spans="3:4" x14ac:dyDescent="0.25">
      <c r="C6971" s="1"/>
      <c r="D6971" s="1"/>
    </row>
    <row r="6972" spans="3:4" x14ac:dyDescent="0.25">
      <c r="C6972" s="1"/>
      <c r="D6972" s="1"/>
    </row>
    <row r="6973" spans="3:4" x14ac:dyDescent="0.25">
      <c r="C6973" s="1"/>
      <c r="D6973" s="1"/>
    </row>
    <row r="6974" spans="3:4" x14ac:dyDescent="0.25">
      <c r="C6974" s="1"/>
      <c r="D6974" s="1"/>
    </row>
    <row r="6975" spans="3:4" x14ac:dyDescent="0.25">
      <c r="C6975" s="1"/>
      <c r="D6975" s="1"/>
    </row>
    <row r="6976" spans="3:4" x14ac:dyDescent="0.25">
      <c r="C6976" s="1"/>
      <c r="D6976" s="1"/>
    </row>
    <row r="6977" spans="3:4" x14ac:dyDescent="0.25">
      <c r="C6977" s="1"/>
      <c r="D6977" s="1"/>
    </row>
    <row r="6978" spans="3:4" x14ac:dyDescent="0.25">
      <c r="C6978" s="1"/>
      <c r="D6978" s="1"/>
    </row>
    <row r="6979" spans="3:4" x14ac:dyDescent="0.25">
      <c r="C6979" s="1"/>
      <c r="D6979" s="1"/>
    </row>
    <row r="6980" spans="3:4" x14ac:dyDescent="0.25">
      <c r="C6980" s="1"/>
      <c r="D6980" s="1"/>
    </row>
    <row r="6981" spans="3:4" x14ac:dyDescent="0.25">
      <c r="C6981" s="1"/>
      <c r="D6981" s="1"/>
    </row>
    <row r="6982" spans="3:4" x14ac:dyDescent="0.25">
      <c r="C6982" s="1"/>
      <c r="D6982" s="1"/>
    </row>
    <row r="6983" spans="3:4" x14ac:dyDescent="0.25">
      <c r="C6983" s="1"/>
      <c r="D6983" s="1"/>
    </row>
    <row r="6984" spans="3:4" x14ac:dyDescent="0.25">
      <c r="C6984" s="1"/>
      <c r="D6984" s="1"/>
    </row>
    <row r="6985" spans="3:4" x14ac:dyDescent="0.25">
      <c r="C6985" s="1"/>
      <c r="D6985" s="1"/>
    </row>
    <row r="6986" spans="3:4" x14ac:dyDescent="0.25">
      <c r="C6986" s="1"/>
      <c r="D6986" s="1"/>
    </row>
    <row r="6987" spans="3:4" x14ac:dyDescent="0.25">
      <c r="C6987" s="1"/>
      <c r="D6987" s="1"/>
    </row>
    <row r="6988" spans="3:4" x14ac:dyDescent="0.25">
      <c r="C6988" s="1"/>
      <c r="D6988" s="1"/>
    </row>
    <row r="6989" spans="3:4" x14ac:dyDescent="0.25">
      <c r="C6989" s="1"/>
      <c r="D6989" s="1"/>
    </row>
    <row r="6990" spans="3:4" x14ac:dyDescent="0.25">
      <c r="C6990" s="1"/>
      <c r="D6990" s="1"/>
    </row>
    <row r="6991" spans="3:4" x14ac:dyDescent="0.25">
      <c r="C6991" s="1"/>
      <c r="D6991" s="1"/>
    </row>
    <row r="6992" spans="3:4" x14ac:dyDescent="0.25">
      <c r="C6992" s="1"/>
      <c r="D6992" s="1"/>
    </row>
    <row r="6993" spans="3:4" x14ac:dyDescent="0.25">
      <c r="C6993" s="1"/>
      <c r="D6993" s="1"/>
    </row>
    <row r="6994" spans="3:4" x14ac:dyDescent="0.25">
      <c r="C6994" s="1"/>
      <c r="D6994" s="1"/>
    </row>
    <row r="6995" spans="3:4" x14ac:dyDescent="0.25">
      <c r="C6995" s="1"/>
      <c r="D6995" s="1"/>
    </row>
    <row r="6996" spans="3:4" x14ac:dyDescent="0.25">
      <c r="C6996" s="1"/>
      <c r="D6996" s="1"/>
    </row>
    <row r="6997" spans="3:4" x14ac:dyDescent="0.25">
      <c r="C6997" s="1"/>
      <c r="D6997" s="1"/>
    </row>
    <row r="6998" spans="3:4" x14ac:dyDescent="0.25">
      <c r="C6998" s="1"/>
      <c r="D6998" s="1"/>
    </row>
    <row r="6999" spans="3:4" x14ac:dyDescent="0.25">
      <c r="C6999" s="1"/>
      <c r="D6999" s="1"/>
    </row>
    <row r="7000" spans="3:4" x14ac:dyDescent="0.25">
      <c r="C7000" s="1"/>
      <c r="D7000" s="1"/>
    </row>
    <row r="7001" spans="3:4" x14ac:dyDescent="0.25">
      <c r="C7001" s="1"/>
      <c r="D7001" s="1"/>
    </row>
    <row r="7002" spans="3:4" x14ac:dyDescent="0.25">
      <c r="C7002" s="1"/>
      <c r="D7002" s="1"/>
    </row>
    <row r="7003" spans="3:4" x14ac:dyDescent="0.25">
      <c r="C7003" s="1"/>
      <c r="D7003" s="1"/>
    </row>
    <row r="7004" spans="3:4" x14ac:dyDescent="0.25">
      <c r="C7004" s="1"/>
      <c r="D7004" s="1"/>
    </row>
    <row r="7005" spans="3:4" x14ac:dyDescent="0.25">
      <c r="C7005" s="1"/>
      <c r="D7005" s="1"/>
    </row>
    <row r="7006" spans="3:4" x14ac:dyDescent="0.25">
      <c r="C7006" s="1"/>
      <c r="D7006" s="1"/>
    </row>
    <row r="7007" spans="3:4" x14ac:dyDescent="0.25">
      <c r="C7007" s="1"/>
      <c r="D7007" s="1"/>
    </row>
    <row r="7008" spans="3:4" x14ac:dyDescent="0.25">
      <c r="C7008" s="1"/>
      <c r="D7008" s="1"/>
    </row>
    <row r="7009" spans="3:4" x14ac:dyDescent="0.25">
      <c r="C7009" s="1"/>
      <c r="D7009" s="1"/>
    </row>
    <row r="7010" spans="3:4" x14ac:dyDescent="0.25">
      <c r="C7010" s="1"/>
      <c r="D7010" s="1"/>
    </row>
    <row r="7011" spans="3:4" x14ac:dyDescent="0.25">
      <c r="C7011" s="1"/>
      <c r="D7011" s="1"/>
    </row>
    <row r="7012" spans="3:4" x14ac:dyDescent="0.25">
      <c r="C7012" s="1"/>
      <c r="D7012" s="1"/>
    </row>
    <row r="7013" spans="3:4" x14ac:dyDescent="0.25">
      <c r="C7013" s="1"/>
      <c r="D7013" s="1"/>
    </row>
    <row r="7014" spans="3:4" x14ac:dyDescent="0.25">
      <c r="C7014" s="1"/>
      <c r="D7014" s="1"/>
    </row>
    <row r="7015" spans="3:4" x14ac:dyDescent="0.25">
      <c r="C7015" s="1"/>
      <c r="D7015" s="1"/>
    </row>
    <row r="7016" spans="3:4" x14ac:dyDescent="0.25">
      <c r="C7016" s="1"/>
      <c r="D7016" s="1"/>
    </row>
    <row r="7017" spans="3:4" x14ac:dyDescent="0.25">
      <c r="C7017" s="1"/>
      <c r="D7017" s="1"/>
    </row>
    <row r="7018" spans="3:4" x14ac:dyDescent="0.25">
      <c r="C7018" s="1"/>
      <c r="D7018" s="1"/>
    </row>
    <row r="7019" spans="3:4" x14ac:dyDescent="0.25">
      <c r="C7019" s="1"/>
      <c r="D7019" s="1"/>
    </row>
    <row r="7020" spans="3:4" x14ac:dyDescent="0.25">
      <c r="C7020" s="1"/>
      <c r="D7020" s="1"/>
    </row>
    <row r="7021" spans="3:4" x14ac:dyDescent="0.25">
      <c r="C7021" s="1"/>
      <c r="D7021" s="1"/>
    </row>
    <row r="7022" spans="3:4" x14ac:dyDescent="0.25">
      <c r="C7022" s="1"/>
      <c r="D7022" s="1"/>
    </row>
    <row r="7023" spans="3:4" x14ac:dyDescent="0.25">
      <c r="C7023" s="1"/>
      <c r="D7023" s="1"/>
    </row>
    <row r="7024" spans="3:4" x14ac:dyDescent="0.25">
      <c r="C7024" s="1"/>
      <c r="D7024" s="1"/>
    </row>
    <row r="7025" spans="3:4" x14ac:dyDescent="0.25">
      <c r="C7025" s="1"/>
      <c r="D7025" s="1"/>
    </row>
    <row r="7026" spans="3:4" x14ac:dyDescent="0.25">
      <c r="C7026" s="1"/>
      <c r="D7026" s="1"/>
    </row>
    <row r="7027" spans="3:4" x14ac:dyDescent="0.25">
      <c r="C7027" s="1"/>
      <c r="D7027" s="1"/>
    </row>
    <row r="7028" spans="3:4" x14ac:dyDescent="0.25">
      <c r="C7028" s="1"/>
      <c r="D7028" s="1"/>
    </row>
    <row r="7029" spans="3:4" x14ac:dyDescent="0.25">
      <c r="C7029" s="1"/>
      <c r="D7029" s="1"/>
    </row>
    <row r="7030" spans="3:4" x14ac:dyDescent="0.25">
      <c r="C7030" s="1"/>
      <c r="D7030" s="1"/>
    </row>
    <row r="7031" spans="3:4" x14ac:dyDescent="0.25">
      <c r="C7031" s="1"/>
      <c r="D7031" s="1"/>
    </row>
    <row r="7032" spans="3:4" x14ac:dyDescent="0.25">
      <c r="C7032" s="1"/>
      <c r="D7032" s="1"/>
    </row>
    <row r="7033" spans="3:4" x14ac:dyDescent="0.25">
      <c r="C7033" s="1"/>
      <c r="D7033" s="1"/>
    </row>
    <row r="7034" spans="3:4" x14ac:dyDescent="0.25">
      <c r="C7034" s="1"/>
      <c r="D7034" s="1"/>
    </row>
    <row r="7035" spans="3:4" x14ac:dyDescent="0.25">
      <c r="C7035" s="1"/>
      <c r="D7035" s="1"/>
    </row>
    <row r="7036" spans="3:4" x14ac:dyDescent="0.25">
      <c r="C7036" s="1"/>
      <c r="D7036" s="1"/>
    </row>
    <row r="7037" spans="3:4" x14ac:dyDescent="0.25">
      <c r="C7037" s="1"/>
      <c r="D7037" s="1"/>
    </row>
    <row r="7038" spans="3:4" x14ac:dyDescent="0.25">
      <c r="C7038" s="1"/>
      <c r="D7038" s="1"/>
    </row>
    <row r="7039" spans="3:4" x14ac:dyDescent="0.25">
      <c r="C7039" s="1"/>
      <c r="D7039" s="1"/>
    </row>
    <row r="7040" spans="3:4" x14ac:dyDescent="0.25">
      <c r="C7040" s="1"/>
      <c r="D7040" s="1"/>
    </row>
    <row r="7041" spans="3:4" x14ac:dyDescent="0.25">
      <c r="C7041" s="1"/>
      <c r="D7041" s="1"/>
    </row>
    <row r="7042" spans="3:4" x14ac:dyDescent="0.25">
      <c r="C7042" s="1"/>
      <c r="D7042" s="1"/>
    </row>
    <row r="7043" spans="3:4" x14ac:dyDescent="0.25">
      <c r="C7043" s="1"/>
      <c r="D7043" s="1"/>
    </row>
    <row r="7044" spans="3:4" x14ac:dyDescent="0.25">
      <c r="C7044" s="1"/>
      <c r="D7044" s="1"/>
    </row>
    <row r="7045" spans="3:4" x14ac:dyDescent="0.25">
      <c r="C7045" s="1"/>
      <c r="D7045" s="1"/>
    </row>
    <row r="7046" spans="3:4" x14ac:dyDescent="0.25">
      <c r="C7046" s="1"/>
      <c r="D7046" s="1"/>
    </row>
    <row r="7047" spans="3:4" x14ac:dyDescent="0.25">
      <c r="C7047" s="1"/>
      <c r="D7047" s="1"/>
    </row>
    <row r="7048" spans="3:4" x14ac:dyDescent="0.25">
      <c r="C7048" s="1"/>
      <c r="D7048" s="1"/>
    </row>
    <row r="7049" spans="3:4" x14ac:dyDescent="0.25">
      <c r="C7049" s="1"/>
      <c r="D7049" s="1"/>
    </row>
    <row r="7050" spans="3:4" x14ac:dyDescent="0.25">
      <c r="C7050" s="1"/>
      <c r="D7050" s="1"/>
    </row>
    <row r="7051" spans="3:4" x14ac:dyDescent="0.25">
      <c r="C7051" s="1"/>
      <c r="D7051" s="1"/>
    </row>
    <row r="7052" spans="3:4" x14ac:dyDescent="0.25">
      <c r="C7052" s="1"/>
      <c r="D7052" s="1"/>
    </row>
    <row r="7053" spans="3:4" x14ac:dyDescent="0.25">
      <c r="C7053" s="1"/>
      <c r="D7053" s="1"/>
    </row>
    <row r="7054" spans="3:4" x14ac:dyDescent="0.25">
      <c r="C7054" s="1"/>
      <c r="D7054" s="1"/>
    </row>
    <row r="7055" spans="3:4" x14ac:dyDescent="0.25">
      <c r="C7055" s="1"/>
      <c r="D7055" s="1"/>
    </row>
    <row r="7056" spans="3:4" x14ac:dyDescent="0.25">
      <c r="C7056" s="1"/>
      <c r="D7056" s="1"/>
    </row>
    <row r="7057" spans="3:4" x14ac:dyDescent="0.25">
      <c r="C7057" s="1"/>
      <c r="D7057" s="1"/>
    </row>
    <row r="7058" spans="3:4" x14ac:dyDescent="0.25">
      <c r="C7058" s="1"/>
      <c r="D7058" s="1"/>
    </row>
    <row r="7059" spans="3:4" x14ac:dyDescent="0.25">
      <c r="C7059" s="1"/>
      <c r="D7059" s="1"/>
    </row>
    <row r="7060" spans="3:4" x14ac:dyDescent="0.25">
      <c r="C7060" s="1"/>
      <c r="D7060" s="1"/>
    </row>
    <row r="7061" spans="3:4" x14ac:dyDescent="0.25">
      <c r="C7061" s="1"/>
      <c r="D7061" s="1"/>
    </row>
    <row r="7062" spans="3:4" x14ac:dyDescent="0.25">
      <c r="C7062" s="1"/>
      <c r="D7062" s="1"/>
    </row>
    <row r="7063" spans="3:4" x14ac:dyDescent="0.25">
      <c r="C7063" s="1"/>
      <c r="D7063" s="1"/>
    </row>
    <row r="7064" spans="3:4" x14ac:dyDescent="0.25">
      <c r="C7064" s="1"/>
      <c r="D7064" s="1"/>
    </row>
    <row r="7065" spans="3:4" x14ac:dyDescent="0.25">
      <c r="C7065" s="1"/>
      <c r="D7065" s="1"/>
    </row>
    <row r="7066" spans="3:4" x14ac:dyDescent="0.25">
      <c r="C7066" s="1"/>
      <c r="D7066" s="1"/>
    </row>
    <row r="7067" spans="3:4" x14ac:dyDescent="0.25">
      <c r="C7067" s="1"/>
      <c r="D7067" s="1"/>
    </row>
    <row r="7068" spans="3:4" x14ac:dyDescent="0.25">
      <c r="C7068" s="1"/>
      <c r="D7068" s="1"/>
    </row>
    <row r="7069" spans="3:4" x14ac:dyDescent="0.25">
      <c r="C7069" s="1"/>
      <c r="D7069" s="1"/>
    </row>
    <row r="7070" spans="3:4" x14ac:dyDescent="0.25">
      <c r="C7070" s="1"/>
      <c r="D7070" s="1"/>
    </row>
    <row r="7071" spans="3:4" x14ac:dyDescent="0.25">
      <c r="C7071" s="1"/>
      <c r="D7071" s="1"/>
    </row>
    <row r="7072" spans="3:4" x14ac:dyDescent="0.25">
      <c r="C7072" s="1"/>
      <c r="D7072" s="1"/>
    </row>
    <row r="7073" spans="3:4" x14ac:dyDescent="0.25">
      <c r="C7073" s="1"/>
      <c r="D7073" s="1"/>
    </row>
    <row r="7074" spans="3:4" x14ac:dyDescent="0.25">
      <c r="C7074" s="1"/>
      <c r="D7074" s="1"/>
    </row>
    <row r="7075" spans="3:4" x14ac:dyDescent="0.25">
      <c r="C7075" s="1"/>
      <c r="D7075" s="1"/>
    </row>
    <row r="7076" spans="3:4" x14ac:dyDescent="0.25">
      <c r="C7076" s="1"/>
      <c r="D7076" s="1"/>
    </row>
    <row r="7077" spans="3:4" x14ac:dyDescent="0.25">
      <c r="C7077" s="1"/>
      <c r="D7077" s="1"/>
    </row>
    <row r="7078" spans="3:4" x14ac:dyDescent="0.25">
      <c r="C7078" s="1"/>
      <c r="D7078" s="1"/>
    </row>
    <row r="7079" spans="3:4" x14ac:dyDescent="0.25">
      <c r="C7079" s="1"/>
      <c r="D7079" s="1"/>
    </row>
    <row r="7080" spans="3:4" x14ac:dyDescent="0.25">
      <c r="C7080" s="1"/>
      <c r="D7080" s="1"/>
    </row>
    <row r="7081" spans="3:4" x14ac:dyDescent="0.25">
      <c r="C7081" s="1"/>
      <c r="D7081" s="1"/>
    </row>
    <row r="7082" spans="3:4" x14ac:dyDescent="0.25">
      <c r="C7082" s="1"/>
      <c r="D7082" s="1"/>
    </row>
    <row r="7083" spans="3:4" x14ac:dyDescent="0.25">
      <c r="C7083" s="1"/>
      <c r="D7083" s="1"/>
    </row>
    <row r="7084" spans="3:4" x14ac:dyDescent="0.25">
      <c r="C7084" s="1"/>
      <c r="D7084" s="1"/>
    </row>
    <row r="7085" spans="3:4" x14ac:dyDescent="0.25">
      <c r="C7085" s="1"/>
      <c r="D7085" s="1"/>
    </row>
    <row r="7086" spans="3:4" x14ac:dyDescent="0.25">
      <c r="C7086" s="1"/>
      <c r="D7086" s="1"/>
    </row>
    <row r="7087" spans="3:4" x14ac:dyDescent="0.25">
      <c r="C7087" s="1"/>
      <c r="D7087" s="1"/>
    </row>
    <row r="7088" spans="3:4" x14ac:dyDescent="0.25">
      <c r="C7088" s="1"/>
      <c r="D7088" s="1"/>
    </row>
    <row r="7089" spans="3:4" x14ac:dyDescent="0.25">
      <c r="C7089" s="1"/>
      <c r="D7089" s="1"/>
    </row>
    <row r="7090" spans="3:4" x14ac:dyDescent="0.25">
      <c r="C7090" s="1"/>
      <c r="D7090" s="1"/>
    </row>
    <row r="7091" spans="3:4" x14ac:dyDescent="0.25">
      <c r="C7091" s="1"/>
      <c r="D7091" s="1"/>
    </row>
    <row r="7092" spans="3:4" x14ac:dyDescent="0.25">
      <c r="C7092" s="1"/>
      <c r="D7092" s="1"/>
    </row>
    <row r="7093" spans="3:4" x14ac:dyDescent="0.25">
      <c r="C7093" s="1"/>
      <c r="D7093" s="1"/>
    </row>
    <row r="7094" spans="3:4" x14ac:dyDescent="0.25">
      <c r="C7094" s="1"/>
      <c r="D7094" s="1"/>
    </row>
    <row r="7095" spans="3:4" x14ac:dyDescent="0.25">
      <c r="C7095" s="1"/>
      <c r="D7095" s="1"/>
    </row>
    <row r="7096" spans="3:4" x14ac:dyDescent="0.25">
      <c r="C7096" s="1"/>
      <c r="D7096" s="1"/>
    </row>
    <row r="7097" spans="3:4" x14ac:dyDescent="0.25">
      <c r="C7097" s="1"/>
      <c r="D7097" s="1"/>
    </row>
    <row r="7098" spans="3:4" x14ac:dyDescent="0.25">
      <c r="C7098" s="1"/>
      <c r="D7098" s="1"/>
    </row>
    <row r="7099" spans="3:4" x14ac:dyDescent="0.25">
      <c r="C7099" s="1"/>
      <c r="D7099" s="1"/>
    </row>
    <row r="7100" spans="3:4" x14ac:dyDescent="0.25">
      <c r="C7100" s="1"/>
      <c r="D7100" s="1"/>
    </row>
    <row r="7101" spans="3:4" x14ac:dyDescent="0.25">
      <c r="C7101" s="1"/>
      <c r="D7101" s="1"/>
    </row>
    <row r="7102" spans="3:4" x14ac:dyDescent="0.25">
      <c r="C7102" s="1"/>
      <c r="D7102" s="1"/>
    </row>
    <row r="7103" spans="3:4" x14ac:dyDescent="0.25">
      <c r="C7103" s="1"/>
      <c r="D7103" s="1"/>
    </row>
    <row r="7104" spans="3:4" x14ac:dyDescent="0.25">
      <c r="C7104" s="1"/>
      <c r="D7104" s="1"/>
    </row>
    <row r="7105" spans="3:4" x14ac:dyDescent="0.25">
      <c r="C7105" s="1"/>
      <c r="D7105" s="1"/>
    </row>
    <row r="7106" spans="3:4" x14ac:dyDescent="0.25">
      <c r="C7106" s="1"/>
      <c r="D7106" s="1"/>
    </row>
    <row r="7107" spans="3:4" x14ac:dyDescent="0.25">
      <c r="C7107" s="1"/>
      <c r="D7107" s="1"/>
    </row>
    <row r="7108" spans="3:4" x14ac:dyDescent="0.25">
      <c r="C7108" s="1"/>
      <c r="D7108" s="1"/>
    </row>
    <row r="7109" spans="3:4" x14ac:dyDescent="0.25">
      <c r="C7109" s="1"/>
      <c r="D7109" s="1"/>
    </row>
    <row r="7110" spans="3:4" x14ac:dyDescent="0.25">
      <c r="C7110" s="1"/>
      <c r="D7110" s="1"/>
    </row>
    <row r="7111" spans="3:4" x14ac:dyDescent="0.25">
      <c r="C7111" s="1"/>
      <c r="D7111" s="1"/>
    </row>
    <row r="7112" spans="3:4" x14ac:dyDescent="0.25">
      <c r="C7112" s="1"/>
      <c r="D7112" s="1"/>
    </row>
    <row r="7113" spans="3:4" x14ac:dyDescent="0.25">
      <c r="C7113" s="1"/>
      <c r="D7113" s="1"/>
    </row>
    <row r="7114" spans="3:4" x14ac:dyDescent="0.25">
      <c r="C7114" s="1"/>
      <c r="D7114" s="1"/>
    </row>
    <row r="7115" spans="3:4" x14ac:dyDescent="0.25">
      <c r="C7115" s="1"/>
      <c r="D7115" s="1"/>
    </row>
    <row r="7116" spans="3:4" x14ac:dyDescent="0.25">
      <c r="C7116" s="1"/>
      <c r="D7116" s="1"/>
    </row>
    <row r="7117" spans="3:4" x14ac:dyDescent="0.25">
      <c r="C7117" s="1"/>
      <c r="D7117" s="1"/>
    </row>
    <row r="7118" spans="3:4" x14ac:dyDescent="0.25">
      <c r="C7118" s="1"/>
      <c r="D7118" s="1"/>
    </row>
    <row r="7119" spans="3:4" x14ac:dyDescent="0.25">
      <c r="C7119" s="1"/>
      <c r="D7119" s="1"/>
    </row>
    <row r="7120" spans="3:4" x14ac:dyDescent="0.25">
      <c r="C7120" s="1"/>
      <c r="D7120" s="1"/>
    </row>
    <row r="7121" spans="3:4" x14ac:dyDescent="0.25">
      <c r="C7121" s="1"/>
      <c r="D7121" s="1"/>
    </row>
    <row r="7122" spans="3:4" x14ac:dyDescent="0.25">
      <c r="C7122" s="1"/>
      <c r="D7122" s="1"/>
    </row>
    <row r="7123" spans="3:4" x14ac:dyDescent="0.25">
      <c r="C7123" s="1"/>
      <c r="D7123" s="1"/>
    </row>
    <row r="7124" spans="3:4" x14ac:dyDescent="0.25">
      <c r="C7124" s="1"/>
      <c r="D7124" s="1"/>
    </row>
    <row r="7125" spans="3:4" x14ac:dyDescent="0.25">
      <c r="C7125" s="1"/>
      <c r="D7125" s="1"/>
    </row>
    <row r="7126" spans="3:4" x14ac:dyDescent="0.25">
      <c r="C7126" s="1"/>
      <c r="D7126" s="1"/>
    </row>
    <row r="7127" spans="3:4" x14ac:dyDescent="0.25">
      <c r="C7127" s="1"/>
      <c r="D7127" s="1"/>
    </row>
    <row r="7128" spans="3:4" x14ac:dyDescent="0.25">
      <c r="C7128" s="1"/>
      <c r="D7128" s="1"/>
    </row>
    <row r="7129" spans="3:4" x14ac:dyDescent="0.25">
      <c r="C7129" s="1"/>
      <c r="D7129" s="1"/>
    </row>
    <row r="7130" spans="3:4" x14ac:dyDescent="0.25">
      <c r="C7130" s="1"/>
      <c r="D7130" s="1"/>
    </row>
    <row r="7131" spans="3:4" x14ac:dyDescent="0.25">
      <c r="C7131" s="1"/>
      <c r="D7131" s="1"/>
    </row>
    <row r="7132" spans="3:4" x14ac:dyDescent="0.25">
      <c r="C7132" s="1"/>
      <c r="D7132" s="1"/>
    </row>
    <row r="7133" spans="3:4" x14ac:dyDescent="0.25">
      <c r="C7133" s="1"/>
      <c r="D7133" s="1"/>
    </row>
    <row r="7134" spans="3:4" x14ac:dyDescent="0.25">
      <c r="C7134" s="1"/>
      <c r="D7134" s="1"/>
    </row>
    <row r="7135" spans="3:4" x14ac:dyDescent="0.25">
      <c r="C7135" s="1"/>
      <c r="D7135" s="1"/>
    </row>
    <row r="7136" spans="3:4" x14ac:dyDescent="0.25">
      <c r="C7136" s="1"/>
      <c r="D7136" s="1"/>
    </row>
    <row r="7137" spans="3:4" x14ac:dyDescent="0.25">
      <c r="C7137" s="1"/>
      <c r="D7137" s="1"/>
    </row>
    <row r="7138" spans="3:4" x14ac:dyDescent="0.25">
      <c r="C7138" s="1"/>
      <c r="D7138" s="1"/>
    </row>
    <row r="7139" spans="3:4" x14ac:dyDescent="0.25">
      <c r="C7139" s="1"/>
      <c r="D7139" s="1"/>
    </row>
    <row r="7140" spans="3:4" x14ac:dyDescent="0.25">
      <c r="C7140" s="1"/>
      <c r="D7140" s="1"/>
    </row>
    <row r="7141" spans="3:4" x14ac:dyDescent="0.25">
      <c r="C7141" s="1"/>
      <c r="D7141" s="1"/>
    </row>
    <row r="7142" spans="3:4" x14ac:dyDescent="0.25">
      <c r="C7142" s="1"/>
      <c r="D7142" s="1"/>
    </row>
    <row r="7143" spans="3:4" x14ac:dyDescent="0.25">
      <c r="C7143" s="1"/>
      <c r="D7143" s="1"/>
    </row>
    <row r="7144" spans="3:4" x14ac:dyDescent="0.25">
      <c r="C7144" s="1"/>
      <c r="D7144" s="1"/>
    </row>
    <row r="7145" spans="3:4" x14ac:dyDescent="0.25">
      <c r="C7145" s="1"/>
      <c r="D7145" s="1"/>
    </row>
    <row r="7146" spans="3:4" x14ac:dyDescent="0.25">
      <c r="C7146" s="1"/>
      <c r="D7146" s="1"/>
    </row>
    <row r="7147" spans="3:4" x14ac:dyDescent="0.25">
      <c r="C7147" s="1"/>
      <c r="D7147" s="1"/>
    </row>
    <row r="7148" spans="3:4" x14ac:dyDescent="0.25">
      <c r="C7148" s="1"/>
      <c r="D7148" s="1"/>
    </row>
    <row r="7149" spans="3:4" x14ac:dyDescent="0.25">
      <c r="C7149" s="1"/>
      <c r="D7149" s="1"/>
    </row>
    <row r="7150" spans="3:4" x14ac:dyDescent="0.25">
      <c r="C7150" s="1"/>
      <c r="D7150" s="1"/>
    </row>
    <row r="7151" spans="3:4" x14ac:dyDescent="0.25">
      <c r="C7151" s="1"/>
      <c r="D7151" s="1"/>
    </row>
    <row r="7152" spans="3:4" x14ac:dyDescent="0.25">
      <c r="C7152" s="1"/>
      <c r="D7152" s="1"/>
    </row>
    <row r="7153" spans="3:4" x14ac:dyDescent="0.25">
      <c r="C7153" s="1"/>
      <c r="D7153" s="1"/>
    </row>
    <row r="7154" spans="3:4" x14ac:dyDescent="0.25">
      <c r="C7154" s="1"/>
      <c r="D7154" s="1"/>
    </row>
    <row r="7155" spans="3:4" x14ac:dyDescent="0.25">
      <c r="C7155" s="1"/>
      <c r="D7155" s="1"/>
    </row>
    <row r="7156" spans="3:4" x14ac:dyDescent="0.25">
      <c r="C7156" s="1"/>
      <c r="D7156" s="1"/>
    </row>
    <row r="7157" spans="3:4" x14ac:dyDescent="0.25">
      <c r="C7157" s="1"/>
      <c r="D7157" s="1"/>
    </row>
    <row r="7158" spans="3:4" x14ac:dyDescent="0.25">
      <c r="C7158" s="1"/>
      <c r="D7158" s="1"/>
    </row>
    <row r="7159" spans="3:4" x14ac:dyDescent="0.25">
      <c r="C7159" s="1"/>
      <c r="D7159" s="1"/>
    </row>
    <row r="7160" spans="3:4" x14ac:dyDescent="0.25">
      <c r="C7160" s="1"/>
      <c r="D7160" s="1"/>
    </row>
    <row r="7161" spans="3:4" x14ac:dyDescent="0.25">
      <c r="C7161" s="1"/>
      <c r="D7161" s="1"/>
    </row>
    <row r="7162" spans="3:4" x14ac:dyDescent="0.25">
      <c r="C7162" s="1"/>
      <c r="D7162" s="1"/>
    </row>
    <row r="7163" spans="3:4" x14ac:dyDescent="0.25">
      <c r="C7163" s="1"/>
      <c r="D7163" s="1"/>
    </row>
    <row r="7164" spans="3:4" x14ac:dyDescent="0.25">
      <c r="C7164" s="1"/>
      <c r="D7164" s="1"/>
    </row>
    <row r="7165" spans="3:4" x14ac:dyDescent="0.25">
      <c r="C7165" s="1"/>
      <c r="D7165" s="1"/>
    </row>
    <row r="7166" spans="3:4" x14ac:dyDescent="0.25">
      <c r="C7166" s="1"/>
      <c r="D7166" s="1"/>
    </row>
    <row r="7167" spans="3:4" x14ac:dyDescent="0.25">
      <c r="C7167" s="1"/>
      <c r="D7167" s="1"/>
    </row>
    <row r="7168" spans="3:4" x14ac:dyDescent="0.25">
      <c r="C7168" s="1"/>
      <c r="D7168" s="1"/>
    </row>
    <row r="7169" spans="3:4" x14ac:dyDescent="0.25">
      <c r="C7169" s="1"/>
      <c r="D7169" s="1"/>
    </row>
    <row r="7170" spans="3:4" x14ac:dyDescent="0.25">
      <c r="C7170" s="1"/>
      <c r="D7170" s="1"/>
    </row>
    <row r="7171" spans="3:4" x14ac:dyDescent="0.25">
      <c r="C7171" s="1"/>
      <c r="D7171" s="1"/>
    </row>
    <row r="7172" spans="3:4" x14ac:dyDescent="0.25">
      <c r="C7172" s="1"/>
      <c r="D7172" s="1"/>
    </row>
    <row r="7173" spans="3:4" x14ac:dyDescent="0.25">
      <c r="C7173" s="1"/>
      <c r="D7173" s="1"/>
    </row>
    <row r="7174" spans="3:4" x14ac:dyDescent="0.25">
      <c r="C7174" s="1"/>
      <c r="D7174" s="1"/>
    </row>
    <row r="7175" spans="3:4" x14ac:dyDescent="0.25">
      <c r="C7175" s="1"/>
      <c r="D7175" s="1"/>
    </row>
    <row r="7176" spans="3:4" x14ac:dyDescent="0.25">
      <c r="C7176" s="1"/>
      <c r="D7176" s="1"/>
    </row>
    <row r="7177" spans="3:4" x14ac:dyDescent="0.25">
      <c r="C7177" s="1"/>
      <c r="D7177" s="1"/>
    </row>
    <row r="7178" spans="3:4" x14ac:dyDescent="0.25">
      <c r="C7178" s="1"/>
      <c r="D7178" s="1"/>
    </row>
    <row r="7179" spans="3:4" x14ac:dyDescent="0.25">
      <c r="C7179" s="1"/>
      <c r="D7179" s="1"/>
    </row>
    <row r="7180" spans="3:4" x14ac:dyDescent="0.25">
      <c r="C7180" s="1"/>
      <c r="D7180" s="1"/>
    </row>
    <row r="7181" spans="3:4" x14ac:dyDescent="0.25">
      <c r="C7181" s="1"/>
      <c r="D7181" s="1"/>
    </row>
    <row r="7182" spans="3:4" x14ac:dyDescent="0.25">
      <c r="C7182" s="1"/>
      <c r="D7182" s="1"/>
    </row>
    <row r="7183" spans="3:4" x14ac:dyDescent="0.25">
      <c r="C7183" s="1"/>
      <c r="D7183" s="1"/>
    </row>
    <row r="7184" spans="3:4" x14ac:dyDescent="0.25">
      <c r="C7184" s="1"/>
      <c r="D7184" s="1"/>
    </row>
    <row r="7185" spans="3:4" x14ac:dyDescent="0.25">
      <c r="C7185" s="1"/>
      <c r="D7185" s="1"/>
    </row>
    <row r="7186" spans="3:4" x14ac:dyDescent="0.25">
      <c r="C7186" s="1"/>
      <c r="D7186" s="1"/>
    </row>
    <row r="7187" spans="3:4" x14ac:dyDescent="0.25">
      <c r="C7187" s="1"/>
      <c r="D7187" s="1"/>
    </row>
    <row r="7188" spans="3:4" x14ac:dyDescent="0.25">
      <c r="C7188" s="1"/>
      <c r="D7188" s="1"/>
    </row>
    <row r="7189" spans="3:4" x14ac:dyDescent="0.25">
      <c r="C7189" s="1"/>
      <c r="D7189" s="1"/>
    </row>
    <row r="7190" spans="3:4" x14ac:dyDescent="0.25">
      <c r="C7190" s="1"/>
      <c r="D7190" s="1"/>
    </row>
    <row r="7191" spans="3:4" x14ac:dyDescent="0.25">
      <c r="C7191" s="1"/>
      <c r="D7191" s="1"/>
    </row>
    <row r="7192" spans="3:4" x14ac:dyDescent="0.25">
      <c r="C7192" s="1"/>
      <c r="D7192" s="1"/>
    </row>
    <row r="7193" spans="3:4" x14ac:dyDescent="0.25">
      <c r="C7193" s="1"/>
      <c r="D7193" s="1"/>
    </row>
    <row r="7194" spans="3:4" x14ac:dyDescent="0.25">
      <c r="C7194" s="1"/>
      <c r="D7194" s="1"/>
    </row>
    <row r="7195" spans="3:4" x14ac:dyDescent="0.25">
      <c r="C7195" s="1"/>
      <c r="D7195" s="1"/>
    </row>
    <row r="7196" spans="3:4" x14ac:dyDescent="0.25">
      <c r="C7196" s="1"/>
      <c r="D7196" s="1"/>
    </row>
    <row r="7197" spans="3:4" x14ac:dyDescent="0.25">
      <c r="C7197" s="1"/>
      <c r="D7197" s="1"/>
    </row>
    <row r="7198" spans="3:4" x14ac:dyDescent="0.25">
      <c r="C7198" s="1"/>
      <c r="D7198" s="1"/>
    </row>
    <row r="7199" spans="3:4" x14ac:dyDescent="0.25">
      <c r="C7199" s="1"/>
      <c r="D7199" s="1"/>
    </row>
    <row r="7200" spans="3:4" x14ac:dyDescent="0.25">
      <c r="C7200" s="1"/>
      <c r="D7200" s="1"/>
    </row>
    <row r="7201" spans="3:4" x14ac:dyDescent="0.25">
      <c r="C7201" s="1"/>
      <c r="D7201" s="1"/>
    </row>
    <row r="7202" spans="3:4" x14ac:dyDescent="0.25">
      <c r="C7202" s="1"/>
      <c r="D7202" s="1"/>
    </row>
    <row r="7203" spans="3:4" x14ac:dyDescent="0.25">
      <c r="C7203" s="1"/>
      <c r="D7203" s="1"/>
    </row>
    <row r="7204" spans="3:4" x14ac:dyDescent="0.25">
      <c r="C7204" s="1"/>
      <c r="D7204" s="1"/>
    </row>
    <row r="7205" spans="3:4" x14ac:dyDescent="0.25">
      <c r="C7205" s="1"/>
      <c r="D7205" s="1"/>
    </row>
    <row r="7206" spans="3:4" x14ac:dyDescent="0.25">
      <c r="C7206" s="1"/>
      <c r="D7206" s="1"/>
    </row>
    <row r="7207" spans="3:4" x14ac:dyDescent="0.25">
      <c r="C7207" s="1"/>
      <c r="D7207" s="1"/>
    </row>
    <row r="7208" spans="3:4" x14ac:dyDescent="0.25">
      <c r="C7208" s="1"/>
      <c r="D7208" s="1"/>
    </row>
    <row r="7209" spans="3:4" x14ac:dyDescent="0.25">
      <c r="C7209" s="1"/>
      <c r="D7209" s="1"/>
    </row>
    <row r="7210" spans="3:4" x14ac:dyDescent="0.25">
      <c r="C7210" s="1"/>
      <c r="D7210" s="1"/>
    </row>
    <row r="7211" spans="3:4" x14ac:dyDescent="0.25">
      <c r="C7211" s="1"/>
      <c r="D7211" s="1"/>
    </row>
    <row r="7212" spans="3:4" x14ac:dyDescent="0.25">
      <c r="C7212" s="1"/>
      <c r="D7212" s="1"/>
    </row>
    <row r="7213" spans="3:4" x14ac:dyDescent="0.25">
      <c r="C7213" s="1"/>
      <c r="D7213" s="1"/>
    </row>
    <row r="7214" spans="3:4" x14ac:dyDescent="0.25">
      <c r="C7214" s="1"/>
      <c r="D7214" s="1"/>
    </row>
    <row r="7215" spans="3:4" x14ac:dyDescent="0.25">
      <c r="C7215" s="1"/>
      <c r="D7215" s="1"/>
    </row>
    <row r="7216" spans="3:4" x14ac:dyDescent="0.25">
      <c r="C7216" s="1"/>
      <c r="D7216" s="1"/>
    </row>
    <row r="7217" spans="3:4" x14ac:dyDescent="0.25">
      <c r="C7217" s="1"/>
      <c r="D7217" s="1"/>
    </row>
    <row r="7218" spans="3:4" x14ac:dyDescent="0.25">
      <c r="C7218" s="1"/>
      <c r="D7218" s="1"/>
    </row>
    <row r="7219" spans="3:4" x14ac:dyDescent="0.25">
      <c r="C7219" s="1"/>
      <c r="D7219" s="1"/>
    </row>
    <row r="7220" spans="3:4" x14ac:dyDescent="0.25">
      <c r="C7220" s="1"/>
      <c r="D7220" s="1"/>
    </row>
    <row r="7221" spans="3:4" x14ac:dyDescent="0.25">
      <c r="C7221" s="1"/>
      <c r="D7221" s="1"/>
    </row>
    <row r="7222" spans="3:4" x14ac:dyDescent="0.25">
      <c r="C7222" s="1"/>
      <c r="D7222" s="1"/>
    </row>
    <row r="7223" spans="3:4" x14ac:dyDescent="0.25">
      <c r="C7223" s="1"/>
      <c r="D7223" s="1"/>
    </row>
    <row r="7224" spans="3:4" x14ac:dyDescent="0.25">
      <c r="C7224" s="1"/>
      <c r="D7224" s="1"/>
    </row>
    <row r="7225" spans="3:4" x14ac:dyDescent="0.25">
      <c r="C7225" s="1"/>
      <c r="D7225" s="1"/>
    </row>
    <row r="7226" spans="3:4" x14ac:dyDescent="0.25">
      <c r="C7226" s="1"/>
      <c r="D7226" s="1"/>
    </row>
    <row r="7227" spans="3:4" x14ac:dyDescent="0.25">
      <c r="C7227" s="1"/>
      <c r="D7227" s="1"/>
    </row>
    <row r="7228" spans="3:4" x14ac:dyDescent="0.25">
      <c r="C7228" s="1"/>
      <c r="D7228" s="1"/>
    </row>
    <row r="7229" spans="3:4" x14ac:dyDescent="0.25">
      <c r="C7229" s="1"/>
      <c r="D7229" s="1"/>
    </row>
    <row r="7230" spans="3:4" x14ac:dyDescent="0.25">
      <c r="C7230" s="1"/>
      <c r="D7230" s="1"/>
    </row>
    <row r="7231" spans="3:4" x14ac:dyDescent="0.25">
      <c r="C7231" s="1"/>
      <c r="D7231" s="1"/>
    </row>
    <row r="7232" spans="3:4" x14ac:dyDescent="0.25">
      <c r="C7232" s="1"/>
      <c r="D7232" s="1"/>
    </row>
    <row r="7233" spans="3:4" x14ac:dyDescent="0.25">
      <c r="C7233" s="1"/>
      <c r="D7233" s="1"/>
    </row>
    <row r="7234" spans="3:4" x14ac:dyDescent="0.25">
      <c r="C7234" s="1"/>
      <c r="D7234" s="1"/>
    </row>
    <row r="7235" spans="3:4" x14ac:dyDescent="0.25">
      <c r="C7235" s="1"/>
      <c r="D7235" s="1"/>
    </row>
    <row r="7236" spans="3:4" x14ac:dyDescent="0.25">
      <c r="C7236" s="1"/>
      <c r="D7236" s="1"/>
    </row>
    <row r="7237" spans="3:4" x14ac:dyDescent="0.25">
      <c r="C7237" s="1"/>
      <c r="D7237" s="1"/>
    </row>
    <row r="7238" spans="3:4" x14ac:dyDescent="0.25">
      <c r="C7238" s="1"/>
      <c r="D7238" s="1"/>
    </row>
    <row r="7239" spans="3:4" x14ac:dyDescent="0.25">
      <c r="C7239" s="1"/>
      <c r="D7239" s="1"/>
    </row>
    <row r="7240" spans="3:4" x14ac:dyDescent="0.25">
      <c r="C7240" s="1"/>
      <c r="D7240" s="1"/>
    </row>
    <row r="7241" spans="3:4" x14ac:dyDescent="0.25">
      <c r="C7241" s="1"/>
      <c r="D7241" s="1"/>
    </row>
    <row r="7242" spans="3:4" x14ac:dyDescent="0.25">
      <c r="C7242" s="1"/>
      <c r="D7242" s="1"/>
    </row>
    <row r="7243" spans="3:4" x14ac:dyDescent="0.25">
      <c r="C7243" s="1"/>
      <c r="D7243" s="1"/>
    </row>
    <row r="7244" spans="3:4" x14ac:dyDescent="0.25">
      <c r="C7244" s="1"/>
      <c r="D7244" s="1"/>
    </row>
    <row r="7245" spans="3:4" x14ac:dyDescent="0.25">
      <c r="C7245" s="1"/>
      <c r="D7245" s="1"/>
    </row>
    <row r="7246" spans="3:4" x14ac:dyDescent="0.25">
      <c r="C7246" s="1"/>
      <c r="D7246" s="1"/>
    </row>
    <row r="7247" spans="3:4" x14ac:dyDescent="0.25">
      <c r="C7247" s="1"/>
      <c r="D7247" s="1"/>
    </row>
    <row r="7248" spans="3:4" x14ac:dyDescent="0.25">
      <c r="C7248" s="1"/>
      <c r="D7248" s="1"/>
    </row>
    <row r="7249" spans="3:4" x14ac:dyDescent="0.25">
      <c r="C7249" s="1"/>
      <c r="D7249" s="1"/>
    </row>
    <row r="7250" spans="3:4" x14ac:dyDescent="0.25">
      <c r="C7250" s="1"/>
      <c r="D7250" s="1"/>
    </row>
    <row r="7251" spans="3:4" x14ac:dyDescent="0.25">
      <c r="C7251" s="1"/>
      <c r="D7251" s="1"/>
    </row>
    <row r="7252" spans="3:4" x14ac:dyDescent="0.25">
      <c r="C7252" s="1"/>
      <c r="D7252" s="1"/>
    </row>
    <row r="7253" spans="3:4" x14ac:dyDescent="0.25">
      <c r="C7253" s="1"/>
      <c r="D7253" s="1"/>
    </row>
    <row r="7254" spans="3:4" x14ac:dyDescent="0.25">
      <c r="C7254" s="1"/>
      <c r="D7254" s="1"/>
    </row>
    <row r="7255" spans="3:4" x14ac:dyDescent="0.25">
      <c r="C7255" s="1"/>
      <c r="D7255" s="1"/>
    </row>
    <row r="7256" spans="3:4" x14ac:dyDescent="0.25">
      <c r="C7256" s="1"/>
      <c r="D7256" s="1"/>
    </row>
    <row r="7257" spans="3:4" x14ac:dyDescent="0.25">
      <c r="C7257" s="1"/>
      <c r="D7257" s="1"/>
    </row>
    <row r="7258" spans="3:4" x14ac:dyDescent="0.25">
      <c r="C7258" s="1"/>
      <c r="D7258" s="1"/>
    </row>
    <row r="7259" spans="3:4" x14ac:dyDescent="0.25">
      <c r="C7259" s="1"/>
      <c r="D7259" s="1"/>
    </row>
    <row r="7260" spans="3:4" x14ac:dyDescent="0.25">
      <c r="C7260" s="1"/>
      <c r="D7260" s="1"/>
    </row>
    <row r="7261" spans="3:4" x14ac:dyDescent="0.25">
      <c r="C7261" s="1"/>
      <c r="D7261" s="1"/>
    </row>
    <row r="7262" spans="3:4" x14ac:dyDescent="0.25">
      <c r="C7262" s="1"/>
      <c r="D7262" s="1"/>
    </row>
    <row r="7263" spans="3:4" x14ac:dyDescent="0.25">
      <c r="C7263" s="1"/>
      <c r="D7263" s="1"/>
    </row>
    <row r="7264" spans="3:4" x14ac:dyDescent="0.25">
      <c r="C7264" s="1"/>
      <c r="D7264" s="1"/>
    </row>
    <row r="7265" spans="3:4" x14ac:dyDescent="0.25">
      <c r="C7265" s="1"/>
      <c r="D7265" s="1"/>
    </row>
    <row r="7266" spans="3:4" x14ac:dyDescent="0.25">
      <c r="C7266" s="1"/>
      <c r="D7266" s="1"/>
    </row>
    <row r="7267" spans="3:4" x14ac:dyDescent="0.25">
      <c r="C7267" s="1"/>
      <c r="D7267" s="1"/>
    </row>
    <row r="7268" spans="3:4" x14ac:dyDescent="0.25">
      <c r="C7268" s="1"/>
      <c r="D7268" s="1"/>
    </row>
    <row r="7269" spans="3:4" x14ac:dyDescent="0.25">
      <c r="C7269" s="1"/>
      <c r="D7269" s="1"/>
    </row>
    <row r="7270" spans="3:4" x14ac:dyDescent="0.25">
      <c r="C7270" s="1"/>
      <c r="D7270" s="1"/>
    </row>
    <row r="7271" spans="3:4" x14ac:dyDescent="0.25">
      <c r="C7271" s="1"/>
      <c r="D7271" s="1"/>
    </row>
    <row r="7272" spans="3:4" x14ac:dyDescent="0.25">
      <c r="C7272" s="1"/>
      <c r="D7272" s="1"/>
    </row>
    <row r="7273" spans="3:4" x14ac:dyDescent="0.25">
      <c r="C7273" s="1"/>
      <c r="D7273" s="1"/>
    </row>
    <row r="7274" spans="3:4" x14ac:dyDescent="0.25">
      <c r="C7274" s="1"/>
      <c r="D7274" s="1"/>
    </row>
    <row r="7275" spans="3:4" x14ac:dyDescent="0.25">
      <c r="C7275" s="1"/>
      <c r="D7275" s="1"/>
    </row>
    <row r="7276" spans="3:4" x14ac:dyDescent="0.25">
      <c r="C7276" s="1"/>
      <c r="D7276" s="1"/>
    </row>
    <row r="7277" spans="3:4" x14ac:dyDescent="0.25">
      <c r="C7277" s="1"/>
      <c r="D7277" s="1"/>
    </row>
    <row r="7278" spans="3:4" x14ac:dyDescent="0.25">
      <c r="C7278" s="1"/>
      <c r="D7278" s="1"/>
    </row>
    <row r="7279" spans="3:4" x14ac:dyDescent="0.25">
      <c r="C7279" s="1"/>
      <c r="D7279" s="1"/>
    </row>
    <row r="7280" spans="3:4" x14ac:dyDescent="0.25">
      <c r="C7280" s="1"/>
      <c r="D7280" s="1"/>
    </row>
    <row r="7281" spans="3:4" x14ac:dyDescent="0.25">
      <c r="C7281" s="1"/>
      <c r="D7281" s="1"/>
    </row>
    <row r="7282" spans="3:4" x14ac:dyDescent="0.25">
      <c r="C7282" s="1"/>
      <c r="D7282" s="1"/>
    </row>
    <row r="7283" spans="3:4" x14ac:dyDescent="0.25">
      <c r="C7283" s="1"/>
      <c r="D7283" s="1"/>
    </row>
    <row r="7284" spans="3:4" x14ac:dyDescent="0.25">
      <c r="C7284" s="1"/>
      <c r="D7284" s="1"/>
    </row>
    <row r="7285" spans="3:4" x14ac:dyDescent="0.25">
      <c r="C7285" s="1"/>
      <c r="D7285" s="1"/>
    </row>
    <row r="7286" spans="3:4" x14ac:dyDescent="0.25">
      <c r="C7286" s="1"/>
      <c r="D7286" s="1"/>
    </row>
    <row r="7287" spans="3:4" x14ac:dyDescent="0.25">
      <c r="C7287" s="1"/>
      <c r="D7287" s="1"/>
    </row>
    <row r="7288" spans="3:4" x14ac:dyDescent="0.25">
      <c r="C7288" s="1"/>
      <c r="D7288" s="1"/>
    </row>
    <row r="7289" spans="3:4" x14ac:dyDescent="0.25">
      <c r="C7289" s="1"/>
      <c r="D7289" s="1"/>
    </row>
    <row r="7290" spans="3:4" x14ac:dyDescent="0.25">
      <c r="C7290" s="1"/>
      <c r="D7290" s="1"/>
    </row>
    <row r="7291" spans="3:4" x14ac:dyDescent="0.25">
      <c r="C7291" s="1"/>
      <c r="D7291" s="1"/>
    </row>
    <row r="7292" spans="3:4" x14ac:dyDescent="0.25">
      <c r="C7292" s="1"/>
      <c r="D7292" s="1"/>
    </row>
    <row r="7293" spans="3:4" x14ac:dyDescent="0.25">
      <c r="C7293" s="1"/>
      <c r="D7293" s="1"/>
    </row>
    <row r="7294" spans="3:4" x14ac:dyDescent="0.25">
      <c r="C7294" s="1"/>
      <c r="D7294" s="1"/>
    </row>
    <row r="7295" spans="3:4" x14ac:dyDescent="0.25">
      <c r="C7295" s="1"/>
      <c r="D7295" s="1"/>
    </row>
    <row r="7296" spans="3:4" x14ac:dyDescent="0.25">
      <c r="C7296" s="1"/>
      <c r="D7296" s="1"/>
    </row>
    <row r="7297" spans="3:4" x14ac:dyDescent="0.25">
      <c r="C7297" s="1"/>
      <c r="D7297" s="1"/>
    </row>
    <row r="7298" spans="3:4" x14ac:dyDescent="0.25">
      <c r="C7298" s="1"/>
      <c r="D7298" s="1"/>
    </row>
    <row r="7299" spans="3:4" x14ac:dyDescent="0.25">
      <c r="C7299" s="1"/>
      <c r="D7299" s="1"/>
    </row>
    <row r="7300" spans="3:4" x14ac:dyDescent="0.25">
      <c r="C7300" s="1"/>
      <c r="D7300" s="1"/>
    </row>
    <row r="7301" spans="3:4" x14ac:dyDescent="0.25">
      <c r="C7301" s="1"/>
      <c r="D7301" s="1"/>
    </row>
    <row r="7302" spans="3:4" x14ac:dyDescent="0.25">
      <c r="C7302" s="1"/>
      <c r="D7302" s="1"/>
    </row>
    <row r="7303" spans="3:4" x14ac:dyDescent="0.25">
      <c r="C7303" s="1"/>
      <c r="D7303" s="1"/>
    </row>
    <row r="7304" spans="3:4" x14ac:dyDescent="0.25">
      <c r="C7304" s="1"/>
      <c r="D7304" s="1"/>
    </row>
    <row r="7305" spans="3:4" x14ac:dyDescent="0.25">
      <c r="C7305" s="1"/>
      <c r="D7305" s="1"/>
    </row>
    <row r="7306" spans="3:4" x14ac:dyDescent="0.25">
      <c r="C7306" s="1"/>
      <c r="D7306" s="1"/>
    </row>
    <row r="7307" spans="3:4" x14ac:dyDescent="0.25">
      <c r="C7307" s="1"/>
      <c r="D7307" s="1"/>
    </row>
    <row r="7308" spans="3:4" x14ac:dyDescent="0.25">
      <c r="C7308" s="1"/>
      <c r="D7308" s="1"/>
    </row>
    <row r="7309" spans="3:4" x14ac:dyDescent="0.25">
      <c r="C7309" s="1"/>
      <c r="D7309" s="1"/>
    </row>
    <row r="7310" spans="3:4" x14ac:dyDescent="0.25">
      <c r="C7310" s="1"/>
      <c r="D7310" s="1"/>
    </row>
    <row r="7311" spans="3:4" x14ac:dyDescent="0.25">
      <c r="C7311" s="1"/>
      <c r="D7311" s="1"/>
    </row>
    <row r="7312" spans="3:4" x14ac:dyDescent="0.25">
      <c r="C7312" s="1"/>
      <c r="D7312" s="1"/>
    </row>
    <row r="7313" spans="3:4" x14ac:dyDescent="0.25">
      <c r="C7313" s="1"/>
      <c r="D7313" s="1"/>
    </row>
    <row r="7314" spans="3:4" x14ac:dyDescent="0.25">
      <c r="C7314" s="1"/>
      <c r="D7314" s="1"/>
    </row>
    <row r="7315" spans="3:4" x14ac:dyDescent="0.25">
      <c r="C7315" s="1"/>
      <c r="D7315" s="1"/>
    </row>
    <row r="7316" spans="3:4" x14ac:dyDescent="0.25">
      <c r="C7316" s="1"/>
      <c r="D7316" s="1"/>
    </row>
    <row r="7317" spans="3:4" x14ac:dyDescent="0.25">
      <c r="C7317" s="1"/>
      <c r="D7317" s="1"/>
    </row>
    <row r="7318" spans="3:4" x14ac:dyDescent="0.25">
      <c r="C7318" s="1"/>
      <c r="D7318" s="1"/>
    </row>
    <row r="7319" spans="3:4" x14ac:dyDescent="0.25">
      <c r="C7319" s="1"/>
      <c r="D7319" s="1"/>
    </row>
    <row r="7320" spans="3:4" x14ac:dyDescent="0.25">
      <c r="C7320" s="1"/>
      <c r="D7320" s="1"/>
    </row>
    <row r="7321" spans="3:4" x14ac:dyDescent="0.25">
      <c r="C7321" s="1"/>
      <c r="D7321" s="1"/>
    </row>
    <row r="7322" spans="3:4" x14ac:dyDescent="0.25">
      <c r="C7322" s="1"/>
      <c r="D7322" s="1"/>
    </row>
    <row r="7323" spans="3:4" x14ac:dyDescent="0.25">
      <c r="C7323" s="1"/>
      <c r="D7323" s="1"/>
    </row>
    <row r="7324" spans="3:4" x14ac:dyDescent="0.25">
      <c r="C7324" s="1"/>
      <c r="D7324" s="1"/>
    </row>
    <row r="7325" spans="3:4" x14ac:dyDescent="0.25">
      <c r="C7325" s="1"/>
      <c r="D7325" s="1"/>
    </row>
    <row r="7326" spans="3:4" x14ac:dyDescent="0.25">
      <c r="C7326" s="1"/>
      <c r="D7326" s="1"/>
    </row>
    <row r="7327" spans="3:4" x14ac:dyDescent="0.25">
      <c r="C7327" s="1"/>
      <c r="D7327" s="1"/>
    </row>
    <row r="7328" spans="3:4" x14ac:dyDescent="0.25">
      <c r="C7328" s="1"/>
      <c r="D7328" s="1"/>
    </row>
    <row r="7329" spans="3:4" x14ac:dyDescent="0.25">
      <c r="C7329" s="1"/>
      <c r="D7329" s="1"/>
    </row>
    <row r="7330" spans="3:4" x14ac:dyDescent="0.25">
      <c r="C7330" s="1"/>
      <c r="D7330" s="1"/>
    </row>
    <row r="7331" spans="3:4" x14ac:dyDescent="0.25">
      <c r="C7331" s="1"/>
      <c r="D7331" s="1"/>
    </row>
    <row r="7332" spans="3:4" x14ac:dyDescent="0.25">
      <c r="C7332" s="1"/>
      <c r="D7332" s="1"/>
    </row>
    <row r="7333" spans="3:4" x14ac:dyDescent="0.25">
      <c r="C7333" s="1"/>
      <c r="D7333" s="1"/>
    </row>
    <row r="7334" spans="3:4" x14ac:dyDescent="0.25">
      <c r="C7334" s="1"/>
      <c r="D7334" s="1"/>
    </row>
    <row r="7335" spans="3:4" x14ac:dyDescent="0.25">
      <c r="C7335" s="1"/>
      <c r="D7335" s="1"/>
    </row>
    <row r="7336" spans="3:4" x14ac:dyDescent="0.25">
      <c r="C7336" s="1"/>
      <c r="D7336" s="1"/>
    </row>
    <row r="7337" spans="3:4" x14ac:dyDescent="0.25">
      <c r="C7337" s="1"/>
      <c r="D7337" s="1"/>
    </row>
    <row r="7338" spans="3:4" x14ac:dyDescent="0.25">
      <c r="C7338" s="1"/>
      <c r="D7338" s="1"/>
    </row>
    <row r="7339" spans="3:4" x14ac:dyDescent="0.25">
      <c r="C7339" s="1"/>
      <c r="D7339" s="1"/>
    </row>
    <row r="7340" spans="3:4" x14ac:dyDescent="0.25">
      <c r="C7340" s="1"/>
      <c r="D7340" s="1"/>
    </row>
    <row r="7341" spans="3:4" x14ac:dyDescent="0.25">
      <c r="C7341" s="1"/>
      <c r="D7341" s="1"/>
    </row>
    <row r="7342" spans="3:4" x14ac:dyDescent="0.25">
      <c r="C7342" s="1"/>
      <c r="D7342" s="1"/>
    </row>
    <row r="7343" spans="3:4" x14ac:dyDescent="0.25">
      <c r="C7343" s="1"/>
      <c r="D7343" s="1"/>
    </row>
    <row r="7344" spans="3:4" x14ac:dyDescent="0.25">
      <c r="C7344" s="1"/>
      <c r="D7344" s="1"/>
    </row>
    <row r="7345" spans="3:4" x14ac:dyDescent="0.25">
      <c r="C7345" s="1"/>
      <c r="D7345" s="1"/>
    </row>
    <row r="7346" spans="3:4" x14ac:dyDescent="0.25">
      <c r="C7346" s="1"/>
      <c r="D7346" s="1"/>
    </row>
    <row r="7347" spans="3:4" x14ac:dyDescent="0.25">
      <c r="C7347" s="1"/>
      <c r="D7347" s="1"/>
    </row>
    <row r="7348" spans="3:4" x14ac:dyDescent="0.25">
      <c r="C7348" s="1"/>
      <c r="D7348" s="1"/>
    </row>
    <row r="7349" spans="3:4" x14ac:dyDescent="0.25">
      <c r="C7349" s="1"/>
      <c r="D7349" s="1"/>
    </row>
    <row r="7350" spans="3:4" x14ac:dyDescent="0.25">
      <c r="C7350" s="1"/>
      <c r="D7350" s="1"/>
    </row>
    <row r="7351" spans="3:4" x14ac:dyDescent="0.25">
      <c r="C7351" s="1"/>
      <c r="D7351" s="1"/>
    </row>
    <row r="7352" spans="3:4" x14ac:dyDescent="0.25">
      <c r="C7352" s="1"/>
      <c r="D7352" s="1"/>
    </row>
    <row r="7353" spans="3:4" x14ac:dyDescent="0.25">
      <c r="C7353" s="1"/>
      <c r="D7353" s="1"/>
    </row>
    <row r="7354" spans="3:4" x14ac:dyDescent="0.25">
      <c r="C7354" s="1"/>
      <c r="D7354" s="1"/>
    </row>
    <row r="7355" spans="3:4" x14ac:dyDescent="0.25">
      <c r="C7355" s="1"/>
      <c r="D7355" s="1"/>
    </row>
    <row r="7356" spans="3:4" x14ac:dyDescent="0.25">
      <c r="C7356" s="1"/>
      <c r="D7356" s="1"/>
    </row>
    <row r="7357" spans="3:4" x14ac:dyDescent="0.25">
      <c r="C7357" s="1"/>
      <c r="D7357" s="1"/>
    </row>
    <row r="7358" spans="3:4" x14ac:dyDescent="0.25">
      <c r="C7358" s="1"/>
      <c r="D7358" s="1"/>
    </row>
    <row r="7359" spans="3:4" x14ac:dyDescent="0.25">
      <c r="C7359" s="1"/>
      <c r="D7359" s="1"/>
    </row>
    <row r="7360" spans="3:4" x14ac:dyDescent="0.25">
      <c r="C7360" s="1"/>
      <c r="D7360" s="1"/>
    </row>
    <row r="7361" spans="3:4" x14ac:dyDescent="0.25">
      <c r="C7361" s="1"/>
      <c r="D7361" s="1"/>
    </row>
    <row r="7362" spans="3:4" x14ac:dyDescent="0.25">
      <c r="C7362" s="1"/>
      <c r="D7362" s="1"/>
    </row>
    <row r="7363" spans="3:4" x14ac:dyDescent="0.25">
      <c r="C7363" s="1"/>
      <c r="D7363" s="1"/>
    </row>
    <row r="7364" spans="3:4" x14ac:dyDescent="0.25">
      <c r="C7364" s="1"/>
      <c r="D7364" s="1"/>
    </row>
    <row r="7365" spans="3:4" x14ac:dyDescent="0.25">
      <c r="C7365" s="1"/>
      <c r="D7365" s="1"/>
    </row>
    <row r="7366" spans="3:4" x14ac:dyDescent="0.25">
      <c r="C7366" s="1"/>
      <c r="D7366" s="1"/>
    </row>
    <row r="7367" spans="3:4" x14ac:dyDescent="0.25">
      <c r="C7367" s="1"/>
      <c r="D7367" s="1"/>
    </row>
    <row r="7368" spans="3:4" x14ac:dyDescent="0.25">
      <c r="C7368" s="1"/>
      <c r="D7368" s="1"/>
    </row>
    <row r="7369" spans="3:4" x14ac:dyDescent="0.25">
      <c r="C7369" s="1"/>
      <c r="D7369" s="1"/>
    </row>
    <row r="7370" spans="3:4" x14ac:dyDescent="0.25">
      <c r="C7370" s="1"/>
      <c r="D7370" s="1"/>
    </row>
    <row r="7371" spans="3:4" x14ac:dyDescent="0.25">
      <c r="C7371" s="1"/>
      <c r="D7371" s="1"/>
    </row>
    <row r="7372" spans="3:4" x14ac:dyDescent="0.25">
      <c r="C7372" s="1"/>
      <c r="D7372" s="1"/>
    </row>
    <row r="7373" spans="3:4" x14ac:dyDescent="0.25">
      <c r="C7373" s="1"/>
      <c r="D7373" s="1"/>
    </row>
    <row r="7374" spans="3:4" x14ac:dyDescent="0.25">
      <c r="C7374" s="1"/>
      <c r="D7374" s="1"/>
    </row>
    <row r="7375" spans="3:4" x14ac:dyDescent="0.25">
      <c r="C7375" s="1"/>
      <c r="D7375" s="1"/>
    </row>
    <row r="7376" spans="3:4" x14ac:dyDescent="0.25">
      <c r="C7376" s="1"/>
      <c r="D7376" s="1"/>
    </row>
    <row r="7377" spans="3:4" x14ac:dyDescent="0.25">
      <c r="C7377" s="1"/>
      <c r="D7377" s="1"/>
    </row>
    <row r="7378" spans="3:4" x14ac:dyDescent="0.25">
      <c r="C7378" s="1"/>
      <c r="D7378" s="1"/>
    </row>
    <row r="7379" spans="3:4" x14ac:dyDescent="0.25">
      <c r="C7379" s="1"/>
      <c r="D7379" s="1"/>
    </row>
    <row r="7380" spans="3:4" x14ac:dyDescent="0.25">
      <c r="C7380" s="1"/>
      <c r="D7380" s="1"/>
    </row>
    <row r="7381" spans="3:4" x14ac:dyDescent="0.25">
      <c r="C7381" s="1"/>
      <c r="D7381" s="1"/>
    </row>
    <row r="7382" spans="3:4" x14ac:dyDescent="0.25">
      <c r="C7382" s="1"/>
      <c r="D7382" s="1"/>
    </row>
    <row r="7383" spans="3:4" x14ac:dyDescent="0.25">
      <c r="C7383" s="1"/>
      <c r="D7383" s="1"/>
    </row>
    <row r="7384" spans="3:4" x14ac:dyDescent="0.25">
      <c r="C7384" s="1"/>
      <c r="D7384" s="1"/>
    </row>
    <row r="7385" spans="3:4" x14ac:dyDescent="0.25">
      <c r="C7385" s="1"/>
      <c r="D7385" s="1"/>
    </row>
    <row r="7386" spans="3:4" x14ac:dyDescent="0.25">
      <c r="C7386" s="1"/>
      <c r="D7386" s="1"/>
    </row>
    <row r="7387" spans="3:4" x14ac:dyDescent="0.25">
      <c r="C7387" s="1"/>
      <c r="D7387" s="1"/>
    </row>
    <row r="7388" spans="3:4" x14ac:dyDescent="0.25">
      <c r="C7388" s="1"/>
      <c r="D7388" s="1"/>
    </row>
    <row r="7389" spans="3:4" x14ac:dyDescent="0.25">
      <c r="C7389" s="1"/>
      <c r="D7389" s="1"/>
    </row>
    <row r="7390" spans="3:4" x14ac:dyDescent="0.25">
      <c r="C7390" s="1"/>
      <c r="D7390" s="1"/>
    </row>
    <row r="7391" spans="3:4" x14ac:dyDescent="0.25">
      <c r="C7391" s="1"/>
      <c r="D7391" s="1"/>
    </row>
    <row r="7392" spans="3:4" x14ac:dyDescent="0.25">
      <c r="C7392" s="1"/>
      <c r="D7392" s="1"/>
    </row>
    <row r="7393" spans="3:4" x14ac:dyDescent="0.25">
      <c r="C7393" s="1"/>
      <c r="D7393" s="1"/>
    </row>
    <row r="7394" spans="3:4" x14ac:dyDescent="0.25">
      <c r="C7394" s="1"/>
      <c r="D7394" s="1"/>
    </row>
    <row r="7395" spans="3:4" x14ac:dyDescent="0.25">
      <c r="C7395" s="1"/>
      <c r="D7395" s="1"/>
    </row>
    <row r="7396" spans="3:4" x14ac:dyDescent="0.25">
      <c r="C7396" s="1"/>
      <c r="D7396" s="1"/>
    </row>
    <row r="7397" spans="3:4" x14ac:dyDescent="0.25">
      <c r="C7397" s="1"/>
      <c r="D7397" s="1"/>
    </row>
    <row r="7398" spans="3:4" x14ac:dyDescent="0.25">
      <c r="C7398" s="1"/>
      <c r="D7398" s="1"/>
    </row>
    <row r="7399" spans="3:4" x14ac:dyDescent="0.25">
      <c r="C7399" s="1"/>
      <c r="D7399" s="1"/>
    </row>
    <row r="7400" spans="3:4" x14ac:dyDescent="0.25">
      <c r="C7400" s="1"/>
      <c r="D7400" s="1"/>
    </row>
    <row r="7401" spans="3:4" x14ac:dyDescent="0.25">
      <c r="C7401" s="1"/>
      <c r="D7401" s="1"/>
    </row>
    <row r="7402" spans="3:4" x14ac:dyDescent="0.25">
      <c r="C7402" s="1"/>
      <c r="D7402" s="1"/>
    </row>
    <row r="7403" spans="3:4" x14ac:dyDescent="0.25">
      <c r="C7403" s="1"/>
      <c r="D7403" s="1"/>
    </row>
    <row r="7404" spans="3:4" x14ac:dyDescent="0.25">
      <c r="C7404" s="1"/>
      <c r="D7404" s="1"/>
    </row>
    <row r="7405" spans="3:4" x14ac:dyDescent="0.25">
      <c r="C7405" s="1"/>
      <c r="D7405" s="1"/>
    </row>
    <row r="7406" spans="3:4" x14ac:dyDescent="0.25">
      <c r="C7406" s="1"/>
      <c r="D7406" s="1"/>
    </row>
    <row r="7407" spans="3:4" x14ac:dyDescent="0.25">
      <c r="C7407" s="1"/>
      <c r="D7407" s="1"/>
    </row>
    <row r="7408" spans="3:4" x14ac:dyDescent="0.25">
      <c r="C7408" s="1"/>
      <c r="D7408" s="1"/>
    </row>
    <row r="7409" spans="3:4" x14ac:dyDescent="0.25">
      <c r="C7409" s="1"/>
      <c r="D7409" s="1"/>
    </row>
    <row r="7410" spans="3:4" x14ac:dyDescent="0.25">
      <c r="C7410" s="1"/>
      <c r="D7410" s="1"/>
    </row>
    <row r="7411" spans="3:4" x14ac:dyDescent="0.25">
      <c r="C7411" s="1"/>
      <c r="D7411" s="1"/>
    </row>
    <row r="7412" spans="3:4" x14ac:dyDescent="0.25">
      <c r="C7412" s="1"/>
      <c r="D7412" s="1"/>
    </row>
    <row r="7413" spans="3:4" x14ac:dyDescent="0.25">
      <c r="C7413" s="1"/>
      <c r="D7413" s="1"/>
    </row>
    <row r="7414" spans="3:4" x14ac:dyDescent="0.25">
      <c r="C7414" s="1"/>
      <c r="D7414" s="1"/>
    </row>
    <row r="7415" spans="3:4" x14ac:dyDescent="0.25">
      <c r="C7415" s="1"/>
      <c r="D7415" s="1"/>
    </row>
    <row r="7416" spans="3:4" x14ac:dyDescent="0.25">
      <c r="C7416" s="1"/>
      <c r="D7416" s="1"/>
    </row>
    <row r="7417" spans="3:4" x14ac:dyDescent="0.25">
      <c r="C7417" s="1"/>
      <c r="D7417" s="1"/>
    </row>
    <row r="7418" spans="3:4" x14ac:dyDescent="0.25">
      <c r="C7418" s="1"/>
      <c r="D7418" s="1"/>
    </row>
    <row r="7419" spans="3:4" x14ac:dyDescent="0.25">
      <c r="C7419" s="1"/>
      <c r="D7419" s="1"/>
    </row>
    <row r="7420" spans="3:4" x14ac:dyDescent="0.25">
      <c r="C7420" s="1"/>
      <c r="D7420" s="1"/>
    </row>
    <row r="7421" spans="3:4" x14ac:dyDescent="0.25">
      <c r="C7421" s="1"/>
      <c r="D7421" s="1"/>
    </row>
    <row r="7422" spans="3:4" x14ac:dyDescent="0.25">
      <c r="C7422" s="1"/>
      <c r="D7422" s="1"/>
    </row>
    <row r="7423" spans="3:4" x14ac:dyDescent="0.25">
      <c r="C7423" s="1"/>
      <c r="D7423" s="1"/>
    </row>
    <row r="7424" spans="3:4" x14ac:dyDescent="0.25">
      <c r="C7424" s="1"/>
      <c r="D7424" s="1"/>
    </row>
    <row r="7425" spans="3:4" x14ac:dyDescent="0.25">
      <c r="C7425" s="1"/>
      <c r="D7425" s="1"/>
    </row>
    <row r="7426" spans="3:4" x14ac:dyDescent="0.25">
      <c r="C7426" s="1"/>
      <c r="D7426" s="1"/>
    </row>
    <row r="7427" spans="3:4" x14ac:dyDescent="0.25">
      <c r="C7427" s="1"/>
      <c r="D7427" s="1"/>
    </row>
    <row r="7428" spans="3:4" x14ac:dyDescent="0.25">
      <c r="C7428" s="1"/>
      <c r="D7428" s="1"/>
    </row>
    <row r="7429" spans="3:4" x14ac:dyDescent="0.25">
      <c r="C7429" s="1"/>
      <c r="D7429" s="1"/>
    </row>
    <row r="7430" spans="3:4" x14ac:dyDescent="0.25">
      <c r="C7430" s="1"/>
      <c r="D7430" s="1"/>
    </row>
    <row r="7431" spans="3:4" x14ac:dyDescent="0.25">
      <c r="C7431" s="1"/>
      <c r="D7431" s="1"/>
    </row>
    <row r="7432" spans="3:4" x14ac:dyDescent="0.25">
      <c r="C7432" s="1"/>
      <c r="D7432" s="1"/>
    </row>
    <row r="7433" spans="3:4" x14ac:dyDescent="0.25">
      <c r="C7433" s="1"/>
      <c r="D7433" s="1"/>
    </row>
    <row r="7434" spans="3:4" x14ac:dyDescent="0.25">
      <c r="C7434" s="1"/>
      <c r="D7434" s="1"/>
    </row>
    <row r="7435" spans="3:4" x14ac:dyDescent="0.25">
      <c r="C7435" s="1"/>
      <c r="D7435" s="1"/>
    </row>
    <row r="7436" spans="3:4" x14ac:dyDescent="0.25">
      <c r="C7436" s="1"/>
      <c r="D7436" s="1"/>
    </row>
    <row r="7437" spans="3:4" x14ac:dyDescent="0.25">
      <c r="C7437" s="1"/>
      <c r="D7437" s="1"/>
    </row>
    <row r="7438" spans="3:4" x14ac:dyDescent="0.25">
      <c r="C7438" s="1"/>
      <c r="D7438" s="1"/>
    </row>
    <row r="7439" spans="3:4" x14ac:dyDescent="0.25">
      <c r="C7439" s="1"/>
      <c r="D7439" s="1"/>
    </row>
    <row r="7440" spans="3:4" x14ac:dyDescent="0.25">
      <c r="C7440" s="1"/>
      <c r="D7440" s="1"/>
    </row>
    <row r="7441" spans="3:4" x14ac:dyDescent="0.25">
      <c r="C7441" s="1"/>
      <c r="D7441" s="1"/>
    </row>
    <row r="7442" spans="3:4" x14ac:dyDescent="0.25">
      <c r="C7442" s="1"/>
      <c r="D7442" s="1"/>
    </row>
    <row r="7443" spans="3:4" x14ac:dyDescent="0.25">
      <c r="C7443" s="1"/>
      <c r="D7443" s="1"/>
    </row>
    <row r="7444" spans="3:4" x14ac:dyDescent="0.25">
      <c r="C7444" s="1"/>
      <c r="D7444" s="1"/>
    </row>
    <row r="7445" spans="3:4" x14ac:dyDescent="0.25">
      <c r="C7445" s="1"/>
      <c r="D7445" s="1"/>
    </row>
    <row r="7446" spans="3:4" x14ac:dyDescent="0.25">
      <c r="C7446" s="1"/>
      <c r="D7446" s="1"/>
    </row>
    <row r="7447" spans="3:4" x14ac:dyDescent="0.25">
      <c r="C7447" s="1"/>
      <c r="D7447" s="1"/>
    </row>
    <row r="7448" spans="3:4" x14ac:dyDescent="0.25">
      <c r="C7448" s="1"/>
      <c r="D7448" s="1"/>
    </row>
    <row r="7449" spans="3:4" x14ac:dyDescent="0.25">
      <c r="C7449" s="1"/>
      <c r="D7449" s="1"/>
    </row>
    <row r="7450" spans="3:4" x14ac:dyDescent="0.25">
      <c r="C7450" s="1"/>
      <c r="D7450" s="1"/>
    </row>
    <row r="7451" spans="3:4" x14ac:dyDescent="0.25">
      <c r="C7451" s="1"/>
      <c r="D7451" s="1"/>
    </row>
    <row r="7452" spans="3:4" x14ac:dyDescent="0.25">
      <c r="C7452" s="1"/>
      <c r="D7452" s="1"/>
    </row>
    <row r="7453" spans="3:4" x14ac:dyDescent="0.25">
      <c r="C7453" s="1"/>
      <c r="D7453" s="1"/>
    </row>
    <row r="7454" spans="3:4" x14ac:dyDescent="0.25">
      <c r="C7454" s="1"/>
      <c r="D7454" s="1"/>
    </row>
    <row r="7455" spans="3:4" x14ac:dyDescent="0.25">
      <c r="C7455" s="1"/>
      <c r="D7455" s="1"/>
    </row>
    <row r="7456" spans="3:4" x14ac:dyDescent="0.25">
      <c r="C7456" s="1"/>
      <c r="D7456" s="1"/>
    </row>
    <row r="7457" spans="3:4" x14ac:dyDescent="0.25">
      <c r="C7457" s="1"/>
      <c r="D7457" s="1"/>
    </row>
    <row r="7458" spans="3:4" x14ac:dyDescent="0.25">
      <c r="C7458" s="1"/>
      <c r="D7458" s="1"/>
    </row>
    <row r="7459" spans="3:4" x14ac:dyDescent="0.25">
      <c r="C7459" s="1"/>
      <c r="D7459" s="1"/>
    </row>
    <row r="7460" spans="3:4" x14ac:dyDescent="0.25">
      <c r="C7460" s="1"/>
      <c r="D7460" s="1"/>
    </row>
    <row r="7461" spans="3:4" x14ac:dyDescent="0.25">
      <c r="C7461" s="1"/>
      <c r="D7461" s="1"/>
    </row>
    <row r="7462" spans="3:4" x14ac:dyDescent="0.25">
      <c r="C7462" s="1"/>
      <c r="D7462" s="1"/>
    </row>
    <row r="7463" spans="3:4" x14ac:dyDescent="0.25">
      <c r="C7463" s="1"/>
      <c r="D7463" s="1"/>
    </row>
    <row r="7464" spans="3:4" x14ac:dyDescent="0.25">
      <c r="C7464" s="1"/>
      <c r="D7464" s="1"/>
    </row>
    <row r="7465" spans="3:4" x14ac:dyDescent="0.25">
      <c r="C7465" s="1"/>
      <c r="D7465" s="1"/>
    </row>
    <row r="7466" spans="3:4" x14ac:dyDescent="0.25">
      <c r="C7466" s="1"/>
      <c r="D7466" s="1"/>
    </row>
    <row r="7467" spans="3:4" x14ac:dyDescent="0.25">
      <c r="C7467" s="1"/>
      <c r="D7467" s="1"/>
    </row>
    <row r="7468" spans="3:4" x14ac:dyDescent="0.25">
      <c r="C7468" s="1"/>
      <c r="D7468" s="1"/>
    </row>
    <row r="7469" spans="3:4" x14ac:dyDescent="0.25">
      <c r="C7469" s="1"/>
      <c r="D7469" s="1"/>
    </row>
    <row r="7470" spans="3:4" x14ac:dyDescent="0.25">
      <c r="C7470" s="1"/>
      <c r="D7470" s="1"/>
    </row>
    <row r="7471" spans="3:4" x14ac:dyDescent="0.25">
      <c r="C7471" s="1"/>
      <c r="D7471" s="1"/>
    </row>
    <row r="7472" spans="3:4" x14ac:dyDescent="0.25">
      <c r="C7472" s="1"/>
      <c r="D7472" s="1"/>
    </row>
    <row r="7473" spans="3:4" x14ac:dyDescent="0.25">
      <c r="C7473" s="1"/>
      <c r="D7473" s="1"/>
    </row>
    <row r="7474" spans="3:4" x14ac:dyDescent="0.25">
      <c r="C7474" s="1"/>
      <c r="D7474" s="1"/>
    </row>
    <row r="7475" spans="3:4" x14ac:dyDescent="0.25">
      <c r="C7475" s="1"/>
      <c r="D7475" s="1"/>
    </row>
    <row r="7476" spans="3:4" x14ac:dyDescent="0.25">
      <c r="C7476" s="1"/>
      <c r="D7476" s="1"/>
    </row>
    <row r="7477" spans="3:4" x14ac:dyDescent="0.25">
      <c r="C7477" s="1"/>
      <c r="D7477" s="1"/>
    </row>
    <row r="7478" spans="3:4" x14ac:dyDescent="0.25">
      <c r="C7478" s="1"/>
      <c r="D7478" s="1"/>
    </row>
    <row r="7479" spans="3:4" x14ac:dyDescent="0.25">
      <c r="C7479" s="1"/>
      <c r="D7479" s="1"/>
    </row>
    <row r="7480" spans="3:4" x14ac:dyDescent="0.25">
      <c r="C7480" s="1"/>
      <c r="D7480" s="1"/>
    </row>
    <row r="7481" spans="3:4" x14ac:dyDescent="0.25">
      <c r="C7481" s="1"/>
      <c r="D7481" s="1"/>
    </row>
    <row r="7482" spans="3:4" x14ac:dyDescent="0.25">
      <c r="C7482" s="1"/>
      <c r="D7482" s="1"/>
    </row>
    <row r="7483" spans="3:4" x14ac:dyDescent="0.25">
      <c r="C7483" s="1"/>
      <c r="D7483" s="1"/>
    </row>
    <row r="7484" spans="3:4" x14ac:dyDescent="0.25">
      <c r="C7484" s="1"/>
      <c r="D7484" s="1"/>
    </row>
    <row r="7485" spans="3:4" x14ac:dyDescent="0.25">
      <c r="C7485" s="1"/>
      <c r="D7485" s="1"/>
    </row>
    <row r="7486" spans="3:4" x14ac:dyDescent="0.25">
      <c r="C7486" s="1"/>
      <c r="D7486" s="1"/>
    </row>
    <row r="7487" spans="3:4" x14ac:dyDescent="0.25">
      <c r="C7487" s="1"/>
      <c r="D7487" s="1"/>
    </row>
    <row r="7488" spans="3:4" x14ac:dyDescent="0.25">
      <c r="C7488" s="1"/>
      <c r="D7488" s="1"/>
    </row>
    <row r="7489" spans="3:4" x14ac:dyDescent="0.25">
      <c r="C7489" s="1"/>
      <c r="D7489" s="1"/>
    </row>
    <row r="7490" spans="3:4" x14ac:dyDescent="0.25">
      <c r="C7490" s="1"/>
      <c r="D7490" s="1"/>
    </row>
    <row r="7491" spans="3:4" x14ac:dyDescent="0.25">
      <c r="C7491" s="1"/>
      <c r="D7491" s="1"/>
    </row>
    <row r="7492" spans="3:4" x14ac:dyDescent="0.25">
      <c r="C7492" s="1"/>
      <c r="D7492" s="1"/>
    </row>
    <row r="7493" spans="3:4" x14ac:dyDescent="0.25">
      <c r="C7493" s="1"/>
      <c r="D7493" s="1"/>
    </row>
    <row r="7494" spans="3:4" x14ac:dyDescent="0.25">
      <c r="C7494" s="1"/>
      <c r="D7494" s="1"/>
    </row>
    <row r="7495" spans="3:4" x14ac:dyDescent="0.25">
      <c r="C7495" s="1"/>
      <c r="D7495" s="1"/>
    </row>
    <row r="7496" spans="3:4" x14ac:dyDescent="0.25">
      <c r="C7496" s="1"/>
      <c r="D7496" s="1"/>
    </row>
    <row r="7497" spans="3:4" x14ac:dyDescent="0.25">
      <c r="C7497" s="1"/>
      <c r="D7497" s="1"/>
    </row>
    <row r="7498" spans="3:4" x14ac:dyDescent="0.25">
      <c r="C7498" s="1"/>
      <c r="D7498" s="1"/>
    </row>
    <row r="7499" spans="3:4" x14ac:dyDescent="0.25">
      <c r="C7499" s="1"/>
      <c r="D7499" s="1"/>
    </row>
    <row r="7500" spans="3:4" x14ac:dyDescent="0.25">
      <c r="C7500" s="1"/>
      <c r="D7500" s="1"/>
    </row>
    <row r="7501" spans="3:4" x14ac:dyDescent="0.25">
      <c r="C7501" s="1"/>
      <c r="D7501" s="1"/>
    </row>
    <row r="7502" spans="3:4" x14ac:dyDescent="0.25">
      <c r="C7502" s="1"/>
      <c r="D7502" s="1"/>
    </row>
    <row r="7503" spans="3:4" x14ac:dyDescent="0.25">
      <c r="C7503" s="1"/>
      <c r="D7503" s="1"/>
    </row>
    <row r="7504" spans="3:4" x14ac:dyDescent="0.25">
      <c r="C7504" s="1"/>
      <c r="D7504" s="1"/>
    </row>
    <row r="7505" spans="3:4" x14ac:dyDescent="0.25">
      <c r="C7505" s="1"/>
      <c r="D7505" s="1"/>
    </row>
    <row r="7506" spans="3:4" x14ac:dyDescent="0.25">
      <c r="C7506" s="1"/>
      <c r="D7506" s="1"/>
    </row>
    <row r="7507" spans="3:4" x14ac:dyDescent="0.25">
      <c r="C7507" s="1"/>
      <c r="D7507" s="1"/>
    </row>
    <row r="7508" spans="3:4" x14ac:dyDescent="0.25">
      <c r="C7508" s="1"/>
      <c r="D7508" s="1"/>
    </row>
    <row r="7509" spans="3:4" x14ac:dyDescent="0.25">
      <c r="C7509" s="1"/>
      <c r="D7509" s="1"/>
    </row>
    <row r="7510" spans="3:4" x14ac:dyDescent="0.25">
      <c r="C7510" s="1"/>
      <c r="D7510" s="1"/>
    </row>
    <row r="7511" spans="3:4" x14ac:dyDescent="0.25">
      <c r="C7511" s="1"/>
      <c r="D7511" s="1"/>
    </row>
    <row r="7512" spans="3:4" x14ac:dyDescent="0.25">
      <c r="C7512" s="1"/>
      <c r="D7512" s="1"/>
    </row>
    <row r="7513" spans="3:4" x14ac:dyDescent="0.25">
      <c r="C7513" s="1"/>
      <c r="D7513" s="1"/>
    </row>
    <row r="7514" spans="3:4" x14ac:dyDescent="0.25">
      <c r="C7514" s="1"/>
      <c r="D7514" s="1"/>
    </row>
    <row r="7515" spans="3:4" x14ac:dyDescent="0.25">
      <c r="C7515" s="1"/>
      <c r="D7515" s="1"/>
    </row>
    <row r="7516" spans="3:4" x14ac:dyDescent="0.25">
      <c r="C7516" s="1"/>
      <c r="D7516" s="1"/>
    </row>
    <row r="7517" spans="3:4" x14ac:dyDescent="0.25">
      <c r="C7517" s="1"/>
      <c r="D7517" s="1"/>
    </row>
    <row r="7518" spans="3:4" x14ac:dyDescent="0.25">
      <c r="C7518" s="1"/>
      <c r="D7518" s="1"/>
    </row>
    <row r="7519" spans="3:4" x14ac:dyDescent="0.25">
      <c r="C7519" s="1"/>
      <c r="D7519" s="1"/>
    </row>
    <row r="7520" spans="3:4" x14ac:dyDescent="0.25">
      <c r="C7520" s="1"/>
      <c r="D7520" s="1"/>
    </row>
    <row r="7521" spans="3:4" x14ac:dyDescent="0.25">
      <c r="C7521" s="1"/>
      <c r="D7521" s="1"/>
    </row>
    <row r="7522" spans="3:4" x14ac:dyDescent="0.25">
      <c r="C7522" s="1"/>
      <c r="D7522" s="1"/>
    </row>
    <row r="7523" spans="3:4" x14ac:dyDescent="0.25">
      <c r="C7523" s="1"/>
      <c r="D7523" s="1"/>
    </row>
    <row r="7524" spans="3:4" x14ac:dyDescent="0.25">
      <c r="C7524" s="1"/>
      <c r="D7524" s="1"/>
    </row>
    <row r="7525" spans="3:4" x14ac:dyDescent="0.25">
      <c r="C7525" s="1"/>
      <c r="D7525" s="1"/>
    </row>
    <row r="7526" spans="3:4" x14ac:dyDescent="0.25">
      <c r="C7526" s="1"/>
      <c r="D7526" s="1"/>
    </row>
    <row r="7527" spans="3:4" x14ac:dyDescent="0.25">
      <c r="C7527" s="1"/>
      <c r="D7527" s="1"/>
    </row>
    <row r="7528" spans="3:4" x14ac:dyDescent="0.25">
      <c r="C7528" s="1"/>
      <c r="D7528" s="1"/>
    </row>
    <row r="7529" spans="3:4" x14ac:dyDescent="0.25">
      <c r="C7529" s="1"/>
      <c r="D7529" s="1"/>
    </row>
    <row r="7530" spans="3:4" x14ac:dyDescent="0.25">
      <c r="C7530" s="1"/>
      <c r="D7530" s="1"/>
    </row>
    <row r="7531" spans="3:4" x14ac:dyDescent="0.25">
      <c r="C7531" s="1"/>
      <c r="D7531" s="1"/>
    </row>
    <row r="7532" spans="3:4" x14ac:dyDescent="0.25">
      <c r="C7532" s="1"/>
      <c r="D7532" s="1"/>
    </row>
    <row r="7533" spans="3:4" x14ac:dyDescent="0.25">
      <c r="C7533" s="1"/>
      <c r="D7533" s="1"/>
    </row>
    <row r="7534" spans="3:4" x14ac:dyDescent="0.25">
      <c r="C7534" s="1"/>
      <c r="D7534" s="1"/>
    </row>
    <row r="7535" spans="3:4" x14ac:dyDescent="0.25">
      <c r="C7535" s="1"/>
      <c r="D7535" s="1"/>
    </row>
    <row r="7536" spans="3:4" x14ac:dyDescent="0.25">
      <c r="C7536" s="1"/>
      <c r="D7536" s="1"/>
    </row>
    <row r="7537" spans="3:4" x14ac:dyDescent="0.25">
      <c r="C7537" s="1"/>
      <c r="D7537" s="1"/>
    </row>
    <row r="7538" spans="3:4" x14ac:dyDescent="0.25">
      <c r="C7538" s="1"/>
      <c r="D7538" s="1"/>
    </row>
    <row r="7539" spans="3:4" x14ac:dyDescent="0.25">
      <c r="C7539" s="1"/>
      <c r="D7539" s="1"/>
    </row>
    <row r="7540" spans="3:4" x14ac:dyDescent="0.25">
      <c r="C7540" s="1"/>
      <c r="D7540" s="1"/>
    </row>
    <row r="7541" spans="3:4" x14ac:dyDescent="0.25">
      <c r="C7541" s="1"/>
      <c r="D7541" s="1"/>
    </row>
    <row r="7542" spans="3:4" x14ac:dyDescent="0.25">
      <c r="C7542" s="1"/>
      <c r="D7542" s="1"/>
    </row>
    <row r="7543" spans="3:4" x14ac:dyDescent="0.25">
      <c r="C7543" s="1"/>
      <c r="D7543" s="1"/>
    </row>
    <row r="7544" spans="3:4" x14ac:dyDescent="0.25">
      <c r="C7544" s="1"/>
      <c r="D7544" s="1"/>
    </row>
    <row r="7545" spans="3:4" x14ac:dyDescent="0.25">
      <c r="C7545" s="1"/>
      <c r="D7545" s="1"/>
    </row>
    <row r="7546" spans="3:4" x14ac:dyDescent="0.25">
      <c r="C7546" s="1"/>
      <c r="D7546" s="1"/>
    </row>
    <row r="7547" spans="3:4" x14ac:dyDescent="0.25">
      <c r="C7547" s="1"/>
      <c r="D7547" s="1"/>
    </row>
    <row r="7548" spans="3:4" x14ac:dyDescent="0.25">
      <c r="C7548" s="1"/>
      <c r="D7548" s="1"/>
    </row>
    <row r="7549" spans="3:4" x14ac:dyDescent="0.25">
      <c r="C7549" s="1"/>
      <c r="D7549" s="1"/>
    </row>
    <row r="7550" spans="3:4" x14ac:dyDescent="0.25">
      <c r="C7550" s="1"/>
      <c r="D7550" s="1"/>
    </row>
    <row r="7551" spans="3:4" x14ac:dyDescent="0.25">
      <c r="C7551" s="1"/>
      <c r="D7551" s="1"/>
    </row>
    <row r="7552" spans="3:4" x14ac:dyDescent="0.25">
      <c r="C7552" s="1"/>
      <c r="D7552" s="1"/>
    </row>
    <row r="7553" spans="3:4" x14ac:dyDescent="0.25">
      <c r="C7553" s="1"/>
      <c r="D7553" s="1"/>
    </row>
    <row r="7554" spans="3:4" x14ac:dyDescent="0.25">
      <c r="C7554" s="1"/>
      <c r="D7554" s="1"/>
    </row>
    <row r="7555" spans="3:4" x14ac:dyDescent="0.25">
      <c r="C7555" s="1"/>
      <c r="D7555" s="1"/>
    </row>
    <row r="7556" spans="3:4" x14ac:dyDescent="0.25">
      <c r="C7556" s="1"/>
      <c r="D7556" s="1"/>
    </row>
    <row r="7557" spans="3:4" x14ac:dyDescent="0.25">
      <c r="C7557" s="1"/>
      <c r="D7557" s="1"/>
    </row>
    <row r="7558" spans="3:4" x14ac:dyDescent="0.25">
      <c r="C7558" s="1"/>
      <c r="D7558" s="1"/>
    </row>
    <row r="7559" spans="3:4" x14ac:dyDescent="0.25">
      <c r="C7559" s="1"/>
      <c r="D7559" s="1"/>
    </row>
    <row r="7560" spans="3:4" x14ac:dyDescent="0.25">
      <c r="C7560" s="1"/>
      <c r="D7560" s="1"/>
    </row>
    <row r="7561" spans="3:4" x14ac:dyDescent="0.25">
      <c r="C7561" s="1"/>
      <c r="D7561" s="1"/>
    </row>
    <row r="7562" spans="3:4" x14ac:dyDescent="0.25">
      <c r="C7562" s="1"/>
      <c r="D7562" s="1"/>
    </row>
    <row r="7563" spans="3:4" x14ac:dyDescent="0.25">
      <c r="C7563" s="1"/>
      <c r="D7563" s="1"/>
    </row>
    <row r="7564" spans="3:4" x14ac:dyDescent="0.25">
      <c r="C7564" s="1"/>
      <c r="D7564" s="1"/>
    </row>
    <row r="7565" spans="3:4" x14ac:dyDescent="0.25">
      <c r="C7565" s="1"/>
      <c r="D7565" s="1"/>
    </row>
    <row r="7566" spans="3:4" x14ac:dyDescent="0.25">
      <c r="C7566" s="1"/>
      <c r="D7566" s="1"/>
    </row>
    <row r="7567" spans="3:4" x14ac:dyDescent="0.25">
      <c r="C7567" s="1"/>
      <c r="D7567" s="1"/>
    </row>
    <row r="7568" spans="3:4" x14ac:dyDescent="0.25">
      <c r="C7568" s="1"/>
      <c r="D7568" s="1"/>
    </row>
    <row r="7569" spans="3:4" x14ac:dyDescent="0.25">
      <c r="C7569" s="1"/>
      <c r="D7569" s="1"/>
    </row>
    <row r="7570" spans="3:4" x14ac:dyDescent="0.25">
      <c r="C7570" s="1"/>
      <c r="D7570" s="1"/>
    </row>
    <row r="7571" spans="3:4" x14ac:dyDescent="0.25">
      <c r="C7571" s="1"/>
      <c r="D7571" s="1"/>
    </row>
    <row r="7572" spans="3:4" x14ac:dyDescent="0.25">
      <c r="C7572" s="1"/>
      <c r="D7572" s="1"/>
    </row>
    <row r="7573" spans="3:4" x14ac:dyDescent="0.25">
      <c r="C7573" s="1"/>
      <c r="D7573" s="1"/>
    </row>
    <row r="7574" spans="3:4" x14ac:dyDescent="0.25">
      <c r="C7574" s="1"/>
      <c r="D7574" s="1"/>
    </row>
    <row r="7575" spans="3:4" x14ac:dyDescent="0.25">
      <c r="C7575" s="1"/>
      <c r="D7575" s="1"/>
    </row>
    <row r="7576" spans="3:4" x14ac:dyDescent="0.25">
      <c r="C7576" s="1"/>
      <c r="D7576" s="1"/>
    </row>
    <row r="7577" spans="3:4" x14ac:dyDescent="0.25">
      <c r="C7577" s="1"/>
      <c r="D7577" s="1"/>
    </row>
    <row r="7578" spans="3:4" x14ac:dyDescent="0.25">
      <c r="C7578" s="1"/>
      <c r="D7578" s="1"/>
    </row>
    <row r="7579" spans="3:4" x14ac:dyDescent="0.25">
      <c r="C7579" s="1"/>
      <c r="D7579" s="1"/>
    </row>
    <row r="7580" spans="3:4" x14ac:dyDescent="0.25">
      <c r="C7580" s="1"/>
      <c r="D7580" s="1"/>
    </row>
    <row r="7581" spans="3:4" x14ac:dyDescent="0.25">
      <c r="C7581" s="1"/>
      <c r="D7581" s="1"/>
    </row>
    <row r="7582" spans="3:4" x14ac:dyDescent="0.25">
      <c r="C7582" s="1"/>
      <c r="D7582" s="1"/>
    </row>
    <row r="7583" spans="3:4" x14ac:dyDescent="0.25">
      <c r="C7583" s="1"/>
      <c r="D7583" s="1"/>
    </row>
    <row r="7584" spans="3:4" x14ac:dyDescent="0.25">
      <c r="C7584" s="1"/>
      <c r="D7584" s="1"/>
    </row>
    <row r="7585" spans="3:4" x14ac:dyDescent="0.25">
      <c r="C7585" s="1"/>
      <c r="D7585" s="1"/>
    </row>
    <row r="7586" spans="3:4" x14ac:dyDescent="0.25">
      <c r="C7586" s="1"/>
      <c r="D7586" s="1"/>
    </row>
    <row r="7587" spans="3:4" x14ac:dyDescent="0.25">
      <c r="C7587" s="1"/>
      <c r="D7587" s="1"/>
    </row>
    <row r="7588" spans="3:4" x14ac:dyDescent="0.25">
      <c r="C7588" s="1"/>
      <c r="D7588" s="1"/>
    </row>
    <row r="7589" spans="3:4" x14ac:dyDescent="0.25">
      <c r="C7589" s="1"/>
      <c r="D7589" s="1"/>
    </row>
    <row r="7590" spans="3:4" x14ac:dyDescent="0.25">
      <c r="C7590" s="1"/>
      <c r="D7590" s="1"/>
    </row>
    <row r="7591" spans="3:4" x14ac:dyDescent="0.25">
      <c r="C7591" s="1"/>
      <c r="D7591" s="1"/>
    </row>
    <row r="7592" spans="3:4" x14ac:dyDescent="0.25">
      <c r="C7592" s="1"/>
      <c r="D7592" s="1"/>
    </row>
    <row r="7593" spans="3:4" x14ac:dyDescent="0.25">
      <c r="C7593" s="1"/>
      <c r="D7593" s="1"/>
    </row>
    <row r="7594" spans="3:4" x14ac:dyDescent="0.25">
      <c r="C7594" s="1"/>
      <c r="D7594" s="1"/>
    </row>
    <row r="7595" spans="3:4" x14ac:dyDescent="0.25">
      <c r="C7595" s="1"/>
      <c r="D7595" s="1"/>
    </row>
    <row r="7596" spans="3:4" x14ac:dyDescent="0.25">
      <c r="C7596" s="1"/>
      <c r="D7596" s="1"/>
    </row>
    <row r="7597" spans="3:4" x14ac:dyDescent="0.25">
      <c r="C7597" s="1"/>
      <c r="D7597" s="1"/>
    </row>
    <row r="7598" spans="3:4" x14ac:dyDescent="0.25">
      <c r="C7598" s="1"/>
      <c r="D7598" s="1"/>
    </row>
    <row r="7599" spans="3:4" x14ac:dyDescent="0.25">
      <c r="C7599" s="1"/>
      <c r="D7599" s="1"/>
    </row>
    <row r="7600" spans="3:4" x14ac:dyDescent="0.25">
      <c r="C7600" s="1"/>
      <c r="D7600" s="1"/>
    </row>
    <row r="7601" spans="3:4" x14ac:dyDescent="0.25">
      <c r="C7601" s="1"/>
      <c r="D7601" s="1"/>
    </row>
    <row r="7602" spans="3:4" x14ac:dyDescent="0.25">
      <c r="C7602" s="1"/>
      <c r="D7602" s="1"/>
    </row>
    <row r="7603" spans="3:4" x14ac:dyDescent="0.25">
      <c r="C7603" s="1"/>
      <c r="D7603" s="1"/>
    </row>
    <row r="7604" spans="3:4" x14ac:dyDescent="0.25">
      <c r="C7604" s="1"/>
      <c r="D7604" s="1"/>
    </row>
    <row r="7605" spans="3:4" x14ac:dyDescent="0.25">
      <c r="C7605" s="1"/>
      <c r="D7605" s="1"/>
    </row>
    <row r="7606" spans="3:4" x14ac:dyDescent="0.25">
      <c r="C7606" s="1"/>
      <c r="D7606" s="1"/>
    </row>
    <row r="7607" spans="3:4" x14ac:dyDescent="0.25">
      <c r="C7607" s="1"/>
      <c r="D7607" s="1"/>
    </row>
    <row r="7608" spans="3:4" x14ac:dyDescent="0.25">
      <c r="C7608" s="1"/>
      <c r="D7608" s="1"/>
    </row>
    <row r="7609" spans="3:4" x14ac:dyDescent="0.25">
      <c r="C7609" s="1"/>
      <c r="D7609" s="1"/>
    </row>
    <row r="7610" spans="3:4" x14ac:dyDescent="0.25">
      <c r="C7610" s="1"/>
      <c r="D7610" s="1"/>
    </row>
    <row r="7611" spans="3:4" x14ac:dyDescent="0.25">
      <c r="C7611" s="1"/>
      <c r="D7611" s="1"/>
    </row>
    <row r="7612" spans="3:4" x14ac:dyDescent="0.25">
      <c r="C7612" s="1"/>
      <c r="D7612" s="1"/>
    </row>
    <row r="7613" spans="3:4" x14ac:dyDescent="0.25">
      <c r="C7613" s="1"/>
      <c r="D7613" s="1"/>
    </row>
    <row r="7614" spans="3:4" x14ac:dyDescent="0.25">
      <c r="C7614" s="1"/>
      <c r="D7614" s="1"/>
    </row>
    <row r="7615" spans="3:4" x14ac:dyDescent="0.25">
      <c r="C7615" s="1"/>
      <c r="D7615" s="1"/>
    </row>
    <row r="7616" spans="3:4" x14ac:dyDescent="0.25">
      <c r="C7616" s="1"/>
      <c r="D7616" s="1"/>
    </row>
    <row r="7617" spans="3:4" x14ac:dyDescent="0.25">
      <c r="C7617" s="1"/>
      <c r="D7617" s="1"/>
    </row>
    <row r="7618" spans="3:4" x14ac:dyDescent="0.25">
      <c r="C7618" s="1"/>
      <c r="D7618" s="1"/>
    </row>
    <row r="7619" spans="3:4" x14ac:dyDescent="0.25">
      <c r="C7619" s="1"/>
      <c r="D7619" s="1"/>
    </row>
    <row r="7620" spans="3:4" x14ac:dyDescent="0.25">
      <c r="C7620" s="1"/>
      <c r="D7620" s="1"/>
    </row>
    <row r="7621" spans="3:4" x14ac:dyDescent="0.25">
      <c r="C7621" s="1"/>
      <c r="D7621" s="1"/>
    </row>
    <row r="7622" spans="3:4" x14ac:dyDescent="0.25">
      <c r="C7622" s="1"/>
      <c r="D7622" s="1"/>
    </row>
    <row r="7623" spans="3:4" x14ac:dyDescent="0.25">
      <c r="C7623" s="1"/>
      <c r="D7623" s="1"/>
    </row>
    <row r="7624" spans="3:4" x14ac:dyDescent="0.25">
      <c r="C7624" s="1"/>
      <c r="D7624" s="1"/>
    </row>
    <row r="7625" spans="3:4" x14ac:dyDescent="0.25">
      <c r="C7625" s="1"/>
      <c r="D7625" s="1"/>
    </row>
    <row r="7626" spans="3:4" x14ac:dyDescent="0.25">
      <c r="C7626" s="1"/>
      <c r="D7626" s="1"/>
    </row>
    <row r="7627" spans="3:4" x14ac:dyDescent="0.25">
      <c r="C7627" s="1"/>
      <c r="D7627" s="1"/>
    </row>
    <row r="7628" spans="3:4" x14ac:dyDescent="0.25">
      <c r="C7628" s="1"/>
      <c r="D7628" s="1"/>
    </row>
    <row r="7629" spans="3:4" x14ac:dyDescent="0.25">
      <c r="C7629" s="1"/>
      <c r="D7629" s="1"/>
    </row>
    <row r="7630" spans="3:4" x14ac:dyDescent="0.25">
      <c r="C7630" s="1"/>
      <c r="D7630" s="1"/>
    </row>
    <row r="7631" spans="3:4" x14ac:dyDescent="0.25">
      <c r="C7631" s="1"/>
      <c r="D7631" s="1"/>
    </row>
    <row r="7632" spans="3:4" x14ac:dyDescent="0.25">
      <c r="C7632" s="1"/>
      <c r="D7632" s="1"/>
    </row>
    <row r="7633" spans="3:4" x14ac:dyDescent="0.25">
      <c r="C7633" s="1"/>
      <c r="D7633" s="1"/>
    </row>
    <row r="7634" spans="3:4" x14ac:dyDescent="0.25">
      <c r="C7634" s="1"/>
      <c r="D7634" s="1"/>
    </row>
    <row r="7635" spans="3:4" x14ac:dyDescent="0.25">
      <c r="C7635" s="1"/>
      <c r="D7635" s="1"/>
    </row>
    <row r="7636" spans="3:4" x14ac:dyDescent="0.25">
      <c r="C7636" s="1"/>
      <c r="D7636" s="1"/>
    </row>
    <row r="7637" spans="3:4" x14ac:dyDescent="0.25">
      <c r="C7637" s="1"/>
      <c r="D7637" s="1"/>
    </row>
    <row r="7638" spans="3:4" x14ac:dyDescent="0.25">
      <c r="C7638" s="1"/>
      <c r="D7638" s="1"/>
    </row>
    <row r="7639" spans="3:4" x14ac:dyDescent="0.25">
      <c r="C7639" s="1"/>
      <c r="D7639" s="1"/>
    </row>
    <row r="7640" spans="3:4" x14ac:dyDescent="0.25">
      <c r="C7640" s="1"/>
      <c r="D7640" s="1"/>
    </row>
    <row r="7641" spans="3:4" x14ac:dyDescent="0.25">
      <c r="C7641" s="1"/>
      <c r="D7641" s="1"/>
    </row>
    <row r="7642" spans="3:4" x14ac:dyDescent="0.25">
      <c r="C7642" s="1"/>
      <c r="D7642" s="1"/>
    </row>
    <row r="7643" spans="3:4" x14ac:dyDescent="0.25">
      <c r="C7643" s="1"/>
      <c r="D7643" s="1"/>
    </row>
    <row r="7644" spans="3:4" x14ac:dyDescent="0.25">
      <c r="C7644" s="1"/>
      <c r="D7644" s="1"/>
    </row>
    <row r="7645" spans="3:4" x14ac:dyDescent="0.25">
      <c r="C7645" s="1"/>
      <c r="D7645" s="1"/>
    </row>
    <row r="7646" spans="3:4" x14ac:dyDescent="0.25">
      <c r="C7646" s="1"/>
      <c r="D7646" s="1"/>
    </row>
    <row r="7647" spans="3:4" x14ac:dyDescent="0.25">
      <c r="C7647" s="1"/>
      <c r="D7647" s="1"/>
    </row>
    <row r="7648" spans="3:4" x14ac:dyDescent="0.25">
      <c r="C7648" s="1"/>
      <c r="D7648" s="1"/>
    </row>
    <row r="7649" spans="3:4" x14ac:dyDescent="0.25">
      <c r="C7649" s="1"/>
      <c r="D7649" s="1"/>
    </row>
    <row r="7650" spans="3:4" x14ac:dyDescent="0.25">
      <c r="C7650" s="1"/>
      <c r="D7650" s="1"/>
    </row>
    <row r="7651" spans="3:4" x14ac:dyDescent="0.25">
      <c r="C7651" s="1"/>
      <c r="D7651" s="1"/>
    </row>
    <row r="7652" spans="3:4" x14ac:dyDescent="0.25">
      <c r="C7652" s="1"/>
      <c r="D7652" s="1"/>
    </row>
    <row r="7653" spans="3:4" x14ac:dyDescent="0.25">
      <c r="C7653" s="1"/>
      <c r="D7653" s="1"/>
    </row>
    <row r="7654" spans="3:4" x14ac:dyDescent="0.25">
      <c r="C7654" s="1"/>
      <c r="D7654" s="1"/>
    </row>
    <row r="7655" spans="3:4" x14ac:dyDescent="0.25">
      <c r="C7655" s="1"/>
      <c r="D7655" s="1"/>
    </row>
    <row r="7656" spans="3:4" x14ac:dyDescent="0.25">
      <c r="C7656" s="1"/>
      <c r="D7656" s="1"/>
    </row>
    <row r="7657" spans="3:4" x14ac:dyDescent="0.25">
      <c r="C7657" s="1"/>
      <c r="D7657" s="1"/>
    </row>
    <row r="7658" spans="3:4" x14ac:dyDescent="0.25">
      <c r="C7658" s="1"/>
      <c r="D7658" s="1"/>
    </row>
    <row r="7659" spans="3:4" x14ac:dyDescent="0.25">
      <c r="C7659" s="1"/>
      <c r="D7659" s="1"/>
    </row>
    <row r="7660" spans="3:4" x14ac:dyDescent="0.25">
      <c r="C7660" s="1"/>
      <c r="D7660" s="1"/>
    </row>
    <row r="7661" spans="3:4" x14ac:dyDescent="0.25">
      <c r="C7661" s="1"/>
      <c r="D7661" s="1"/>
    </row>
    <row r="7662" spans="3:4" x14ac:dyDescent="0.25">
      <c r="C7662" s="1"/>
      <c r="D7662" s="1"/>
    </row>
    <row r="7663" spans="3:4" x14ac:dyDescent="0.25">
      <c r="C7663" s="1"/>
      <c r="D7663" s="1"/>
    </row>
    <row r="7664" spans="3:4" x14ac:dyDescent="0.25">
      <c r="C7664" s="1"/>
      <c r="D7664" s="1"/>
    </row>
    <row r="7665" spans="3:4" x14ac:dyDescent="0.25">
      <c r="C7665" s="1"/>
      <c r="D7665" s="1"/>
    </row>
    <row r="7666" spans="3:4" x14ac:dyDescent="0.25">
      <c r="C7666" s="1"/>
      <c r="D7666" s="1"/>
    </row>
    <row r="7667" spans="3:4" x14ac:dyDescent="0.25">
      <c r="C7667" s="1"/>
      <c r="D7667" s="1"/>
    </row>
    <row r="7668" spans="3:4" x14ac:dyDescent="0.25">
      <c r="C7668" s="1"/>
      <c r="D7668" s="1"/>
    </row>
    <row r="7669" spans="3:4" x14ac:dyDescent="0.25">
      <c r="C7669" s="1"/>
      <c r="D7669" s="1"/>
    </row>
    <row r="7670" spans="3:4" x14ac:dyDescent="0.25">
      <c r="C7670" s="1"/>
      <c r="D7670" s="1"/>
    </row>
    <row r="7671" spans="3:4" x14ac:dyDescent="0.25">
      <c r="C7671" s="1"/>
      <c r="D7671" s="1"/>
    </row>
    <row r="7672" spans="3:4" x14ac:dyDescent="0.25">
      <c r="C7672" s="1"/>
      <c r="D7672" s="1"/>
    </row>
    <row r="7673" spans="3:4" x14ac:dyDescent="0.25">
      <c r="C7673" s="1"/>
      <c r="D7673" s="1"/>
    </row>
    <row r="7674" spans="3:4" x14ac:dyDescent="0.25">
      <c r="C7674" s="1"/>
      <c r="D7674" s="1"/>
    </row>
    <row r="7675" spans="3:4" x14ac:dyDescent="0.25">
      <c r="C7675" s="1"/>
      <c r="D7675" s="1"/>
    </row>
    <row r="7676" spans="3:4" x14ac:dyDescent="0.25">
      <c r="C7676" s="1"/>
      <c r="D7676" s="1"/>
    </row>
    <row r="7677" spans="3:4" x14ac:dyDescent="0.25">
      <c r="C7677" s="1"/>
      <c r="D7677" s="1"/>
    </row>
    <row r="7678" spans="3:4" x14ac:dyDescent="0.25">
      <c r="C7678" s="1"/>
      <c r="D7678" s="1"/>
    </row>
    <row r="7679" spans="3:4" x14ac:dyDescent="0.25">
      <c r="C7679" s="1"/>
      <c r="D7679" s="1"/>
    </row>
    <row r="7680" spans="3:4" x14ac:dyDescent="0.25">
      <c r="C7680" s="1"/>
      <c r="D7680" s="1"/>
    </row>
    <row r="7681" spans="3:4" x14ac:dyDescent="0.25">
      <c r="C7681" s="1"/>
      <c r="D7681" s="1"/>
    </row>
    <row r="7682" spans="3:4" x14ac:dyDescent="0.25">
      <c r="C7682" s="1"/>
      <c r="D7682" s="1"/>
    </row>
    <row r="7683" spans="3:4" x14ac:dyDescent="0.25">
      <c r="C7683" s="1"/>
      <c r="D7683" s="1"/>
    </row>
    <row r="7684" spans="3:4" x14ac:dyDescent="0.25">
      <c r="C7684" s="1"/>
      <c r="D7684" s="1"/>
    </row>
    <row r="7685" spans="3:4" x14ac:dyDescent="0.25">
      <c r="C7685" s="1"/>
      <c r="D7685" s="1"/>
    </row>
    <row r="7686" spans="3:4" x14ac:dyDescent="0.25">
      <c r="C7686" s="1"/>
      <c r="D7686" s="1"/>
    </row>
    <row r="7687" spans="3:4" x14ac:dyDescent="0.25">
      <c r="C7687" s="1"/>
      <c r="D7687" s="1"/>
    </row>
    <row r="7688" spans="3:4" x14ac:dyDescent="0.25">
      <c r="C7688" s="1"/>
      <c r="D7688" s="1"/>
    </row>
    <row r="7689" spans="3:4" x14ac:dyDescent="0.25">
      <c r="C7689" s="1"/>
      <c r="D7689" s="1"/>
    </row>
    <row r="7690" spans="3:4" x14ac:dyDescent="0.25">
      <c r="C7690" s="1"/>
      <c r="D7690" s="1"/>
    </row>
    <row r="7691" spans="3:4" x14ac:dyDescent="0.25">
      <c r="C7691" s="1"/>
      <c r="D7691" s="1"/>
    </row>
    <row r="7692" spans="3:4" x14ac:dyDescent="0.25">
      <c r="C7692" s="1"/>
      <c r="D7692" s="1"/>
    </row>
    <row r="7693" spans="3:4" x14ac:dyDescent="0.25">
      <c r="C7693" s="1"/>
      <c r="D7693" s="1"/>
    </row>
    <row r="7694" spans="3:4" x14ac:dyDescent="0.25">
      <c r="C7694" s="1"/>
      <c r="D7694" s="1"/>
    </row>
    <row r="7695" spans="3:4" x14ac:dyDescent="0.25">
      <c r="C7695" s="1"/>
      <c r="D7695" s="1"/>
    </row>
    <row r="7696" spans="3:4" x14ac:dyDescent="0.25">
      <c r="C7696" s="1"/>
      <c r="D7696" s="1"/>
    </row>
    <row r="7697" spans="3:4" x14ac:dyDescent="0.25">
      <c r="C7697" s="1"/>
      <c r="D7697" s="1"/>
    </row>
    <row r="7698" spans="3:4" x14ac:dyDescent="0.25">
      <c r="C7698" s="1"/>
      <c r="D7698" s="1"/>
    </row>
    <row r="7699" spans="3:4" x14ac:dyDescent="0.25">
      <c r="C7699" s="1"/>
      <c r="D7699" s="1"/>
    </row>
    <row r="7700" spans="3:4" x14ac:dyDescent="0.25">
      <c r="C7700" s="1"/>
      <c r="D7700" s="1"/>
    </row>
    <row r="7701" spans="3:4" x14ac:dyDescent="0.25">
      <c r="C7701" s="1"/>
      <c r="D7701" s="1"/>
    </row>
    <row r="7702" spans="3:4" x14ac:dyDescent="0.25">
      <c r="C7702" s="1"/>
      <c r="D7702" s="1"/>
    </row>
    <row r="7703" spans="3:4" x14ac:dyDescent="0.25">
      <c r="C7703" s="1"/>
      <c r="D7703" s="1"/>
    </row>
    <row r="7704" spans="3:4" x14ac:dyDescent="0.25">
      <c r="C7704" s="1"/>
      <c r="D7704" s="1"/>
    </row>
    <row r="7705" spans="3:4" x14ac:dyDescent="0.25">
      <c r="C7705" s="1"/>
      <c r="D7705" s="1"/>
    </row>
    <row r="7706" spans="3:4" x14ac:dyDescent="0.25">
      <c r="C7706" s="1"/>
      <c r="D7706" s="1"/>
    </row>
    <row r="7707" spans="3:4" x14ac:dyDescent="0.25">
      <c r="C7707" s="1"/>
      <c r="D7707" s="1"/>
    </row>
    <row r="7708" spans="3:4" x14ac:dyDescent="0.25">
      <c r="C7708" s="1"/>
      <c r="D7708" s="1"/>
    </row>
    <row r="7709" spans="3:4" x14ac:dyDescent="0.25">
      <c r="C7709" s="1"/>
      <c r="D7709" s="1"/>
    </row>
    <row r="7710" spans="3:4" x14ac:dyDescent="0.25">
      <c r="C7710" s="1"/>
      <c r="D7710" s="1"/>
    </row>
    <row r="7711" spans="3:4" x14ac:dyDescent="0.25">
      <c r="C7711" s="1"/>
      <c r="D7711" s="1"/>
    </row>
    <row r="7712" spans="3:4" x14ac:dyDescent="0.25">
      <c r="C7712" s="1"/>
      <c r="D7712" s="1"/>
    </row>
    <row r="7713" spans="3:4" x14ac:dyDescent="0.25">
      <c r="C7713" s="1"/>
      <c r="D7713" s="1"/>
    </row>
    <row r="7714" spans="3:4" x14ac:dyDescent="0.25">
      <c r="C7714" s="1"/>
      <c r="D7714" s="1"/>
    </row>
    <row r="7715" spans="3:4" x14ac:dyDescent="0.25">
      <c r="C7715" s="1"/>
      <c r="D7715" s="1"/>
    </row>
    <row r="7716" spans="3:4" x14ac:dyDescent="0.25">
      <c r="C7716" s="1"/>
      <c r="D7716" s="1"/>
    </row>
    <row r="7717" spans="3:4" x14ac:dyDescent="0.25">
      <c r="C7717" s="1"/>
      <c r="D7717" s="1"/>
    </row>
    <row r="7718" spans="3:4" x14ac:dyDescent="0.25">
      <c r="C7718" s="1"/>
      <c r="D7718" s="1"/>
    </row>
    <row r="7719" spans="3:4" x14ac:dyDescent="0.25">
      <c r="C7719" s="1"/>
      <c r="D7719" s="1"/>
    </row>
    <row r="7720" spans="3:4" x14ac:dyDescent="0.25">
      <c r="C7720" s="1"/>
      <c r="D7720" s="1"/>
    </row>
    <row r="7721" spans="3:4" x14ac:dyDescent="0.25">
      <c r="C7721" s="1"/>
      <c r="D7721" s="1"/>
    </row>
    <row r="7722" spans="3:4" x14ac:dyDescent="0.25">
      <c r="C7722" s="1"/>
      <c r="D7722" s="1"/>
    </row>
    <row r="7723" spans="3:4" x14ac:dyDescent="0.25">
      <c r="C7723" s="1"/>
      <c r="D7723" s="1"/>
    </row>
    <row r="7724" spans="3:4" x14ac:dyDescent="0.25">
      <c r="C7724" s="1"/>
      <c r="D7724" s="1"/>
    </row>
    <row r="7725" spans="3:4" x14ac:dyDescent="0.25">
      <c r="C7725" s="1"/>
      <c r="D7725" s="1"/>
    </row>
    <row r="7726" spans="3:4" x14ac:dyDescent="0.25">
      <c r="C7726" s="1"/>
      <c r="D7726" s="1"/>
    </row>
    <row r="7727" spans="3:4" x14ac:dyDescent="0.25">
      <c r="C7727" s="1"/>
      <c r="D7727" s="1"/>
    </row>
    <row r="7728" spans="3:4" x14ac:dyDescent="0.25">
      <c r="C7728" s="1"/>
      <c r="D7728" s="1"/>
    </row>
    <row r="7729" spans="3:4" x14ac:dyDescent="0.25">
      <c r="C7729" s="1"/>
      <c r="D7729" s="1"/>
    </row>
    <row r="7730" spans="3:4" x14ac:dyDescent="0.25">
      <c r="C7730" s="1"/>
      <c r="D7730" s="1"/>
    </row>
    <row r="7731" spans="3:4" x14ac:dyDescent="0.25">
      <c r="C7731" s="1"/>
      <c r="D7731" s="1"/>
    </row>
    <row r="7732" spans="3:4" x14ac:dyDescent="0.25">
      <c r="C7732" s="1"/>
      <c r="D7732" s="1"/>
    </row>
    <row r="7733" spans="3:4" x14ac:dyDescent="0.25">
      <c r="C7733" s="1"/>
      <c r="D7733" s="1"/>
    </row>
    <row r="7734" spans="3:4" x14ac:dyDescent="0.25">
      <c r="C7734" s="1"/>
      <c r="D7734" s="1"/>
    </row>
    <row r="7735" spans="3:4" x14ac:dyDescent="0.25">
      <c r="C7735" s="1"/>
      <c r="D7735" s="1"/>
    </row>
    <row r="7736" spans="3:4" x14ac:dyDescent="0.25">
      <c r="C7736" s="1"/>
      <c r="D7736" s="1"/>
    </row>
    <row r="7737" spans="3:4" x14ac:dyDescent="0.25">
      <c r="C7737" s="1"/>
      <c r="D7737" s="1"/>
    </row>
    <row r="7738" spans="3:4" x14ac:dyDescent="0.25">
      <c r="C7738" s="1"/>
      <c r="D7738" s="1"/>
    </row>
    <row r="7739" spans="3:4" x14ac:dyDescent="0.25">
      <c r="C7739" s="1"/>
      <c r="D7739" s="1"/>
    </row>
    <row r="7740" spans="3:4" x14ac:dyDescent="0.25">
      <c r="C7740" s="1"/>
      <c r="D7740" s="1"/>
    </row>
    <row r="7741" spans="3:4" x14ac:dyDescent="0.25">
      <c r="C7741" s="1"/>
      <c r="D7741" s="1"/>
    </row>
    <row r="7742" spans="3:4" x14ac:dyDescent="0.25">
      <c r="C7742" s="1"/>
      <c r="D7742" s="1"/>
    </row>
    <row r="7743" spans="3:4" x14ac:dyDescent="0.25">
      <c r="C7743" s="1"/>
      <c r="D7743" s="1"/>
    </row>
    <row r="7744" spans="3:4" x14ac:dyDescent="0.25">
      <c r="C7744" s="1"/>
      <c r="D7744" s="1"/>
    </row>
    <row r="7745" spans="3:4" x14ac:dyDescent="0.25">
      <c r="C7745" s="1"/>
      <c r="D7745" s="1"/>
    </row>
    <row r="7746" spans="3:4" x14ac:dyDescent="0.25">
      <c r="C7746" s="1"/>
      <c r="D7746" s="1"/>
    </row>
    <row r="7747" spans="3:4" x14ac:dyDescent="0.25">
      <c r="C7747" s="1"/>
      <c r="D7747" s="1"/>
    </row>
    <row r="7748" spans="3:4" x14ac:dyDescent="0.25">
      <c r="C7748" s="1"/>
      <c r="D7748" s="1"/>
    </row>
    <row r="7749" spans="3:4" x14ac:dyDescent="0.25">
      <c r="C7749" s="1"/>
      <c r="D7749" s="1"/>
    </row>
    <row r="7750" spans="3:4" x14ac:dyDescent="0.25">
      <c r="C7750" s="1"/>
      <c r="D7750" s="1"/>
    </row>
    <row r="7751" spans="3:4" x14ac:dyDescent="0.25">
      <c r="C7751" s="1"/>
      <c r="D7751" s="1"/>
    </row>
    <row r="7752" spans="3:4" x14ac:dyDescent="0.25">
      <c r="C7752" s="1"/>
      <c r="D7752" s="1"/>
    </row>
    <row r="7753" spans="3:4" x14ac:dyDescent="0.25">
      <c r="C7753" s="1"/>
      <c r="D7753" s="1"/>
    </row>
    <row r="7754" spans="3:4" x14ac:dyDescent="0.25">
      <c r="C7754" s="1"/>
      <c r="D7754" s="1"/>
    </row>
    <row r="7755" spans="3:4" x14ac:dyDescent="0.25">
      <c r="C7755" s="1"/>
      <c r="D7755" s="1"/>
    </row>
    <row r="7756" spans="3:4" x14ac:dyDescent="0.25">
      <c r="C7756" s="1"/>
      <c r="D7756" s="1"/>
    </row>
    <row r="7757" spans="3:4" x14ac:dyDescent="0.25">
      <c r="C7757" s="1"/>
      <c r="D7757" s="1"/>
    </row>
    <row r="7758" spans="3:4" x14ac:dyDescent="0.25">
      <c r="C7758" s="1"/>
      <c r="D7758" s="1"/>
    </row>
    <row r="7759" spans="3:4" x14ac:dyDescent="0.25">
      <c r="C7759" s="1"/>
      <c r="D7759" s="1"/>
    </row>
    <row r="7760" spans="3:4" x14ac:dyDescent="0.25">
      <c r="C7760" s="1"/>
      <c r="D7760" s="1"/>
    </row>
    <row r="7761" spans="3:4" x14ac:dyDescent="0.25">
      <c r="C7761" s="1"/>
      <c r="D7761" s="1"/>
    </row>
    <row r="7762" spans="3:4" x14ac:dyDescent="0.25">
      <c r="C7762" s="1"/>
      <c r="D7762" s="1"/>
    </row>
    <row r="7763" spans="3:4" x14ac:dyDescent="0.25">
      <c r="C7763" s="1"/>
      <c r="D7763" s="1"/>
    </row>
    <row r="7764" spans="3:4" x14ac:dyDescent="0.25">
      <c r="C7764" s="1"/>
      <c r="D7764" s="1"/>
    </row>
    <row r="7765" spans="3:4" x14ac:dyDescent="0.25">
      <c r="C7765" s="1"/>
      <c r="D7765" s="1"/>
    </row>
    <row r="7766" spans="3:4" x14ac:dyDescent="0.25">
      <c r="C7766" s="1"/>
      <c r="D7766" s="1"/>
    </row>
    <row r="7767" spans="3:4" x14ac:dyDescent="0.25">
      <c r="C7767" s="1"/>
      <c r="D7767" s="1"/>
    </row>
    <row r="7768" spans="3:4" x14ac:dyDescent="0.25">
      <c r="C7768" s="1"/>
      <c r="D7768" s="1"/>
    </row>
    <row r="7769" spans="3:4" x14ac:dyDescent="0.25">
      <c r="C7769" s="1"/>
      <c r="D7769" s="1"/>
    </row>
    <row r="7770" spans="3:4" x14ac:dyDescent="0.25">
      <c r="C7770" s="1"/>
      <c r="D7770" s="1"/>
    </row>
    <row r="7771" spans="3:4" x14ac:dyDescent="0.25">
      <c r="C7771" s="1"/>
      <c r="D7771" s="1"/>
    </row>
    <row r="7772" spans="3:4" x14ac:dyDescent="0.25">
      <c r="C7772" s="1"/>
      <c r="D7772" s="1"/>
    </row>
    <row r="7773" spans="3:4" x14ac:dyDescent="0.25">
      <c r="C7773" s="1"/>
      <c r="D7773" s="1"/>
    </row>
    <row r="7774" spans="3:4" x14ac:dyDescent="0.25">
      <c r="C7774" s="1"/>
      <c r="D7774" s="1"/>
    </row>
    <row r="7775" spans="3:4" x14ac:dyDescent="0.25">
      <c r="C7775" s="1"/>
      <c r="D7775" s="1"/>
    </row>
    <row r="7776" spans="3:4" x14ac:dyDescent="0.25">
      <c r="C7776" s="1"/>
      <c r="D7776" s="1"/>
    </row>
    <row r="7777" spans="3:4" x14ac:dyDescent="0.25">
      <c r="C7777" s="1"/>
      <c r="D7777" s="1"/>
    </row>
    <row r="7778" spans="3:4" x14ac:dyDescent="0.25">
      <c r="C7778" s="1"/>
      <c r="D7778" s="1"/>
    </row>
    <row r="7779" spans="3:4" x14ac:dyDescent="0.25">
      <c r="C7779" s="1"/>
      <c r="D7779" s="1"/>
    </row>
    <row r="7780" spans="3:4" x14ac:dyDescent="0.25">
      <c r="C7780" s="1"/>
      <c r="D7780" s="1"/>
    </row>
    <row r="7781" spans="3:4" x14ac:dyDescent="0.25">
      <c r="C7781" s="1"/>
      <c r="D7781" s="1"/>
    </row>
    <row r="7782" spans="3:4" x14ac:dyDescent="0.25">
      <c r="C7782" s="1"/>
      <c r="D7782" s="1"/>
    </row>
    <row r="7783" spans="3:4" x14ac:dyDescent="0.25">
      <c r="C7783" s="1"/>
      <c r="D7783" s="1"/>
    </row>
    <row r="7784" spans="3:4" x14ac:dyDescent="0.25">
      <c r="C7784" s="1"/>
      <c r="D7784" s="1"/>
    </row>
    <row r="7785" spans="3:4" x14ac:dyDescent="0.25">
      <c r="C7785" s="1"/>
      <c r="D7785" s="1"/>
    </row>
    <row r="7786" spans="3:4" x14ac:dyDescent="0.25">
      <c r="C7786" s="1"/>
      <c r="D7786" s="1"/>
    </row>
    <row r="7787" spans="3:4" x14ac:dyDescent="0.25">
      <c r="C7787" s="1"/>
      <c r="D7787" s="1"/>
    </row>
    <row r="7788" spans="3:4" x14ac:dyDescent="0.25">
      <c r="C7788" s="1"/>
      <c r="D7788" s="1"/>
    </row>
    <row r="7789" spans="3:4" x14ac:dyDescent="0.25">
      <c r="C7789" s="1"/>
      <c r="D7789" s="1"/>
    </row>
    <row r="7790" spans="3:4" x14ac:dyDescent="0.25">
      <c r="C7790" s="1"/>
      <c r="D7790" s="1"/>
    </row>
    <row r="7791" spans="3:4" x14ac:dyDescent="0.25">
      <c r="C7791" s="1"/>
      <c r="D7791" s="1"/>
    </row>
    <row r="7792" spans="3:4" x14ac:dyDescent="0.25">
      <c r="C7792" s="1"/>
      <c r="D7792" s="1"/>
    </row>
    <row r="7793" spans="3:4" x14ac:dyDescent="0.25">
      <c r="C7793" s="1"/>
      <c r="D7793" s="1"/>
    </row>
    <row r="7794" spans="3:4" x14ac:dyDescent="0.25">
      <c r="C7794" s="1"/>
      <c r="D7794" s="1"/>
    </row>
    <row r="7795" spans="3:4" x14ac:dyDescent="0.25">
      <c r="C7795" s="1"/>
      <c r="D7795" s="1"/>
    </row>
    <row r="7796" spans="3:4" x14ac:dyDescent="0.25">
      <c r="C7796" s="1"/>
      <c r="D7796" s="1"/>
    </row>
    <row r="7797" spans="3:4" x14ac:dyDescent="0.25">
      <c r="C7797" s="1"/>
      <c r="D7797" s="1"/>
    </row>
    <row r="7798" spans="3:4" x14ac:dyDescent="0.25">
      <c r="C7798" s="1"/>
      <c r="D7798" s="1"/>
    </row>
    <row r="7799" spans="3:4" x14ac:dyDescent="0.25">
      <c r="C7799" s="1"/>
      <c r="D7799" s="1"/>
    </row>
    <row r="7800" spans="3:4" x14ac:dyDescent="0.25">
      <c r="C7800" s="1"/>
      <c r="D7800" s="1"/>
    </row>
    <row r="7801" spans="3:4" x14ac:dyDescent="0.25">
      <c r="C7801" s="1"/>
      <c r="D7801" s="1"/>
    </row>
    <row r="7802" spans="3:4" x14ac:dyDescent="0.25">
      <c r="C7802" s="1"/>
      <c r="D7802" s="1"/>
    </row>
    <row r="7803" spans="3:4" x14ac:dyDescent="0.25">
      <c r="C7803" s="1"/>
      <c r="D7803" s="1"/>
    </row>
    <row r="7804" spans="3:4" x14ac:dyDescent="0.25">
      <c r="C7804" s="1"/>
      <c r="D7804" s="1"/>
    </row>
    <row r="7805" spans="3:4" x14ac:dyDescent="0.25">
      <c r="C7805" s="1"/>
      <c r="D7805" s="1"/>
    </row>
    <row r="7806" spans="3:4" x14ac:dyDescent="0.25">
      <c r="C7806" s="1"/>
      <c r="D7806" s="1"/>
    </row>
    <row r="7807" spans="3:4" x14ac:dyDescent="0.25">
      <c r="C7807" s="1"/>
      <c r="D7807" s="1"/>
    </row>
    <row r="7808" spans="3:4" x14ac:dyDescent="0.25">
      <c r="C7808" s="1"/>
      <c r="D7808" s="1"/>
    </row>
    <row r="7809" spans="3:4" x14ac:dyDescent="0.25">
      <c r="C7809" s="1"/>
      <c r="D7809" s="1"/>
    </row>
    <row r="7810" spans="3:4" x14ac:dyDescent="0.25">
      <c r="C7810" s="1"/>
      <c r="D7810" s="1"/>
    </row>
    <row r="7811" spans="3:4" x14ac:dyDescent="0.25">
      <c r="C7811" s="1"/>
      <c r="D7811" s="1"/>
    </row>
    <row r="7812" spans="3:4" x14ac:dyDescent="0.25">
      <c r="C7812" s="1"/>
      <c r="D7812" s="1"/>
    </row>
    <row r="7813" spans="3:4" x14ac:dyDescent="0.25">
      <c r="C7813" s="1"/>
      <c r="D7813" s="1"/>
    </row>
    <row r="7814" spans="3:4" x14ac:dyDescent="0.25">
      <c r="C7814" s="1"/>
      <c r="D7814" s="1"/>
    </row>
    <row r="7815" spans="3:4" x14ac:dyDescent="0.25">
      <c r="C7815" s="1"/>
      <c r="D7815" s="1"/>
    </row>
    <row r="7816" spans="3:4" x14ac:dyDescent="0.25">
      <c r="C7816" s="1"/>
      <c r="D7816" s="1"/>
    </row>
    <row r="7817" spans="3:4" x14ac:dyDescent="0.25">
      <c r="C7817" s="1"/>
      <c r="D7817" s="1"/>
    </row>
    <row r="7818" spans="3:4" x14ac:dyDescent="0.25">
      <c r="C7818" s="1"/>
      <c r="D7818" s="1"/>
    </row>
    <row r="7819" spans="3:4" x14ac:dyDescent="0.25">
      <c r="C7819" s="1"/>
      <c r="D7819" s="1"/>
    </row>
    <row r="7820" spans="3:4" x14ac:dyDescent="0.25">
      <c r="C7820" s="1"/>
      <c r="D7820" s="1"/>
    </row>
    <row r="7821" spans="3:4" x14ac:dyDescent="0.25">
      <c r="C7821" s="1"/>
      <c r="D7821" s="1"/>
    </row>
    <row r="7822" spans="3:4" x14ac:dyDescent="0.25">
      <c r="C7822" s="1"/>
      <c r="D7822" s="1"/>
    </row>
    <row r="7823" spans="3:4" x14ac:dyDescent="0.25">
      <c r="C7823" s="1"/>
      <c r="D7823" s="1"/>
    </row>
    <row r="7824" spans="3:4" x14ac:dyDescent="0.25">
      <c r="C7824" s="1"/>
      <c r="D7824" s="1"/>
    </row>
    <row r="7825" spans="3:4" x14ac:dyDescent="0.25">
      <c r="C7825" s="1"/>
      <c r="D7825" s="1"/>
    </row>
    <row r="7826" spans="3:4" x14ac:dyDescent="0.25">
      <c r="C7826" s="1"/>
      <c r="D7826" s="1"/>
    </row>
    <row r="7827" spans="3:4" x14ac:dyDescent="0.25">
      <c r="C7827" s="1"/>
      <c r="D7827" s="1"/>
    </row>
    <row r="7828" spans="3:4" x14ac:dyDescent="0.25">
      <c r="C7828" s="1"/>
      <c r="D7828" s="1"/>
    </row>
    <row r="7829" spans="3:4" x14ac:dyDescent="0.25">
      <c r="C7829" s="1"/>
      <c r="D7829" s="1"/>
    </row>
    <row r="7830" spans="3:4" x14ac:dyDescent="0.25">
      <c r="C7830" s="1"/>
      <c r="D7830" s="1"/>
    </row>
    <row r="7831" spans="3:4" x14ac:dyDescent="0.25">
      <c r="C7831" s="1"/>
      <c r="D7831" s="1"/>
    </row>
    <row r="7832" spans="3:4" x14ac:dyDescent="0.25">
      <c r="C7832" s="1"/>
      <c r="D7832" s="1"/>
    </row>
    <row r="7833" spans="3:4" x14ac:dyDescent="0.25">
      <c r="C7833" s="1"/>
      <c r="D7833" s="1"/>
    </row>
    <row r="7834" spans="3:4" x14ac:dyDescent="0.25">
      <c r="C7834" s="1"/>
      <c r="D7834" s="1"/>
    </row>
    <row r="7835" spans="3:4" x14ac:dyDescent="0.25">
      <c r="C7835" s="1"/>
      <c r="D7835" s="1"/>
    </row>
    <row r="7836" spans="3:4" x14ac:dyDescent="0.25">
      <c r="C7836" s="1"/>
      <c r="D7836" s="1"/>
    </row>
    <row r="7837" spans="3:4" x14ac:dyDescent="0.25">
      <c r="C7837" s="1"/>
      <c r="D7837" s="1"/>
    </row>
    <row r="7838" spans="3:4" x14ac:dyDescent="0.25">
      <c r="C7838" s="1"/>
      <c r="D7838" s="1"/>
    </row>
    <row r="7839" spans="3:4" x14ac:dyDescent="0.25">
      <c r="C7839" s="1"/>
      <c r="D7839" s="1"/>
    </row>
    <row r="7840" spans="3:4" x14ac:dyDescent="0.25">
      <c r="C7840" s="1"/>
      <c r="D7840" s="1"/>
    </row>
    <row r="7841" spans="3:4" x14ac:dyDescent="0.25">
      <c r="C7841" s="1"/>
      <c r="D7841" s="1"/>
    </row>
    <row r="7842" spans="3:4" x14ac:dyDescent="0.25">
      <c r="C7842" s="1"/>
      <c r="D7842" s="1"/>
    </row>
    <row r="7843" spans="3:4" x14ac:dyDescent="0.25">
      <c r="C7843" s="1"/>
      <c r="D7843" s="1"/>
    </row>
    <row r="7844" spans="3:4" x14ac:dyDescent="0.25">
      <c r="C7844" s="1"/>
      <c r="D7844" s="1"/>
    </row>
    <row r="7845" spans="3:4" x14ac:dyDescent="0.25">
      <c r="C7845" s="1"/>
      <c r="D7845" s="1"/>
    </row>
    <row r="7846" spans="3:4" x14ac:dyDescent="0.25">
      <c r="C7846" s="1"/>
      <c r="D7846" s="1"/>
    </row>
    <row r="7847" spans="3:4" x14ac:dyDescent="0.25">
      <c r="C7847" s="1"/>
      <c r="D7847" s="1"/>
    </row>
    <row r="7848" spans="3:4" x14ac:dyDescent="0.25">
      <c r="C7848" s="1"/>
      <c r="D7848" s="1"/>
    </row>
    <row r="7849" spans="3:4" x14ac:dyDescent="0.25">
      <c r="C7849" s="1"/>
      <c r="D7849" s="1"/>
    </row>
    <row r="7850" spans="3:4" x14ac:dyDescent="0.25">
      <c r="C7850" s="1"/>
      <c r="D7850" s="1"/>
    </row>
    <row r="7851" spans="3:4" x14ac:dyDescent="0.25">
      <c r="C7851" s="1"/>
      <c r="D7851" s="1"/>
    </row>
    <row r="7852" spans="3:4" x14ac:dyDescent="0.25">
      <c r="C7852" s="1"/>
      <c r="D7852" s="1"/>
    </row>
    <row r="7853" spans="3:4" x14ac:dyDescent="0.25">
      <c r="C7853" s="1"/>
      <c r="D7853" s="1"/>
    </row>
    <row r="7854" spans="3:4" x14ac:dyDescent="0.25">
      <c r="C7854" s="1"/>
      <c r="D7854" s="1"/>
    </row>
    <row r="7855" spans="3:4" x14ac:dyDescent="0.25">
      <c r="C7855" s="1"/>
      <c r="D7855" s="1"/>
    </row>
    <row r="7856" spans="3:4" x14ac:dyDescent="0.25">
      <c r="C7856" s="1"/>
      <c r="D7856" s="1"/>
    </row>
    <row r="7857" spans="3:4" x14ac:dyDescent="0.25">
      <c r="C7857" s="1"/>
      <c r="D7857" s="1"/>
    </row>
    <row r="7858" spans="3:4" x14ac:dyDescent="0.25">
      <c r="C7858" s="1"/>
      <c r="D7858" s="1"/>
    </row>
    <row r="7859" spans="3:4" x14ac:dyDescent="0.25">
      <c r="C7859" s="1"/>
      <c r="D7859" s="1"/>
    </row>
    <row r="7860" spans="3:4" x14ac:dyDescent="0.25">
      <c r="C7860" s="1"/>
      <c r="D7860" s="1"/>
    </row>
    <row r="7861" spans="3:4" x14ac:dyDescent="0.25">
      <c r="C7861" s="1"/>
      <c r="D7861" s="1"/>
    </row>
    <row r="7862" spans="3:4" x14ac:dyDescent="0.25">
      <c r="C7862" s="1"/>
      <c r="D7862" s="1"/>
    </row>
    <row r="7863" spans="3:4" x14ac:dyDescent="0.25">
      <c r="C7863" s="1"/>
      <c r="D7863" s="1"/>
    </row>
    <row r="7864" spans="3:4" x14ac:dyDescent="0.25">
      <c r="C7864" s="1"/>
      <c r="D7864" s="1"/>
    </row>
    <row r="7865" spans="3:4" x14ac:dyDescent="0.25">
      <c r="C7865" s="1"/>
      <c r="D7865" s="1"/>
    </row>
    <row r="7866" spans="3:4" x14ac:dyDescent="0.25">
      <c r="C7866" s="1"/>
      <c r="D7866" s="1"/>
    </row>
    <row r="7867" spans="3:4" x14ac:dyDescent="0.25">
      <c r="C7867" s="1"/>
      <c r="D7867" s="1"/>
    </row>
    <row r="7868" spans="3:4" x14ac:dyDescent="0.25">
      <c r="C7868" s="1"/>
      <c r="D7868" s="1"/>
    </row>
    <row r="7869" spans="3:4" x14ac:dyDescent="0.25">
      <c r="C7869" s="1"/>
      <c r="D7869" s="1"/>
    </row>
    <row r="7870" spans="3:4" x14ac:dyDescent="0.25">
      <c r="C7870" s="1"/>
      <c r="D7870" s="1"/>
    </row>
    <row r="7871" spans="3:4" x14ac:dyDescent="0.25">
      <c r="C7871" s="1"/>
      <c r="D7871" s="1"/>
    </row>
    <row r="7872" spans="3:4" x14ac:dyDescent="0.25">
      <c r="C7872" s="1"/>
      <c r="D7872" s="1"/>
    </row>
    <row r="7873" spans="3:4" x14ac:dyDescent="0.25">
      <c r="C7873" s="1"/>
      <c r="D7873" s="1"/>
    </row>
    <row r="7874" spans="3:4" x14ac:dyDescent="0.25">
      <c r="C7874" s="1"/>
      <c r="D7874" s="1"/>
    </row>
    <row r="7875" spans="3:4" x14ac:dyDescent="0.25">
      <c r="C7875" s="1"/>
      <c r="D7875" s="1"/>
    </row>
    <row r="7876" spans="3:4" x14ac:dyDescent="0.25">
      <c r="C7876" s="1"/>
      <c r="D7876" s="1"/>
    </row>
    <row r="7877" spans="3:4" x14ac:dyDescent="0.25">
      <c r="C7877" s="1"/>
      <c r="D7877" s="1"/>
    </row>
    <row r="7878" spans="3:4" x14ac:dyDescent="0.25">
      <c r="C7878" s="1"/>
      <c r="D7878" s="1"/>
    </row>
    <row r="7879" spans="3:4" x14ac:dyDescent="0.25">
      <c r="C7879" s="1"/>
      <c r="D7879" s="1"/>
    </row>
    <row r="7880" spans="3:4" x14ac:dyDescent="0.25">
      <c r="C7880" s="1"/>
      <c r="D7880" s="1"/>
    </row>
    <row r="7881" spans="3:4" x14ac:dyDescent="0.25">
      <c r="C7881" s="1"/>
      <c r="D7881" s="1"/>
    </row>
    <row r="7882" spans="3:4" x14ac:dyDescent="0.25">
      <c r="C7882" s="1"/>
      <c r="D7882" s="1"/>
    </row>
    <row r="7883" spans="3:4" x14ac:dyDescent="0.25">
      <c r="C7883" s="1"/>
      <c r="D7883" s="1"/>
    </row>
    <row r="7884" spans="3:4" x14ac:dyDescent="0.25">
      <c r="C7884" s="1"/>
      <c r="D7884" s="1"/>
    </row>
    <row r="7885" spans="3:4" x14ac:dyDescent="0.25">
      <c r="C7885" s="1"/>
      <c r="D7885" s="1"/>
    </row>
    <row r="7886" spans="3:4" x14ac:dyDescent="0.25">
      <c r="C7886" s="1"/>
      <c r="D7886" s="1"/>
    </row>
    <row r="7887" spans="3:4" x14ac:dyDescent="0.25">
      <c r="C7887" s="1"/>
      <c r="D7887" s="1"/>
    </row>
    <row r="7888" spans="3:4" x14ac:dyDescent="0.25">
      <c r="C7888" s="1"/>
      <c r="D7888" s="1"/>
    </row>
    <row r="7889" spans="3:4" x14ac:dyDescent="0.25">
      <c r="C7889" s="1"/>
      <c r="D7889" s="1"/>
    </row>
    <row r="7890" spans="3:4" x14ac:dyDescent="0.25">
      <c r="C7890" s="1"/>
      <c r="D7890" s="1"/>
    </row>
    <row r="7891" spans="3:4" x14ac:dyDescent="0.25">
      <c r="C7891" s="1"/>
      <c r="D7891" s="1"/>
    </row>
    <row r="7892" spans="3:4" x14ac:dyDescent="0.25">
      <c r="C7892" s="1"/>
      <c r="D7892" s="1"/>
    </row>
    <row r="7893" spans="3:4" x14ac:dyDescent="0.25">
      <c r="C7893" s="1"/>
      <c r="D7893" s="1"/>
    </row>
    <row r="7894" spans="3:4" x14ac:dyDescent="0.25">
      <c r="C7894" s="1"/>
      <c r="D7894" s="1"/>
    </row>
    <row r="7895" spans="3:4" x14ac:dyDescent="0.25">
      <c r="C7895" s="1"/>
      <c r="D7895" s="1"/>
    </row>
    <row r="7896" spans="3:4" x14ac:dyDescent="0.25">
      <c r="C7896" s="1"/>
      <c r="D7896" s="1"/>
    </row>
    <row r="7897" spans="3:4" x14ac:dyDescent="0.25">
      <c r="C7897" s="1"/>
      <c r="D7897" s="1"/>
    </row>
    <row r="7898" spans="3:4" x14ac:dyDescent="0.25">
      <c r="C7898" s="1"/>
      <c r="D7898" s="1"/>
    </row>
    <row r="7899" spans="3:4" x14ac:dyDescent="0.25">
      <c r="C7899" s="1"/>
      <c r="D7899" s="1"/>
    </row>
    <row r="7900" spans="3:4" x14ac:dyDescent="0.25">
      <c r="C7900" s="1"/>
      <c r="D7900" s="1"/>
    </row>
    <row r="7901" spans="3:4" x14ac:dyDescent="0.25">
      <c r="C7901" s="1"/>
      <c r="D7901" s="1"/>
    </row>
    <row r="7902" spans="3:4" x14ac:dyDescent="0.25">
      <c r="C7902" s="1"/>
      <c r="D7902" s="1"/>
    </row>
    <row r="7903" spans="3:4" x14ac:dyDescent="0.25">
      <c r="C7903" s="1"/>
      <c r="D7903" s="1"/>
    </row>
    <row r="7904" spans="3:4" x14ac:dyDescent="0.25">
      <c r="C7904" s="1"/>
      <c r="D7904" s="1"/>
    </row>
    <row r="7905" spans="3:4" x14ac:dyDescent="0.25">
      <c r="C7905" s="1"/>
      <c r="D7905" s="1"/>
    </row>
    <row r="7906" spans="3:4" x14ac:dyDescent="0.25">
      <c r="C7906" s="1"/>
      <c r="D7906" s="1"/>
    </row>
    <row r="7907" spans="3:4" x14ac:dyDescent="0.25">
      <c r="C7907" s="1"/>
      <c r="D7907" s="1"/>
    </row>
    <row r="7908" spans="3:4" x14ac:dyDescent="0.25">
      <c r="C7908" s="1"/>
      <c r="D7908" s="1"/>
    </row>
    <row r="7909" spans="3:4" x14ac:dyDescent="0.25">
      <c r="C7909" s="1"/>
      <c r="D7909" s="1"/>
    </row>
    <row r="7910" spans="3:4" x14ac:dyDescent="0.25">
      <c r="C7910" s="1"/>
      <c r="D7910" s="1"/>
    </row>
    <row r="7911" spans="3:4" x14ac:dyDescent="0.25">
      <c r="C7911" s="1"/>
      <c r="D7911" s="1"/>
    </row>
    <row r="7912" spans="3:4" x14ac:dyDescent="0.25">
      <c r="C7912" s="1"/>
      <c r="D7912" s="1"/>
    </row>
    <row r="7913" spans="3:4" x14ac:dyDescent="0.25">
      <c r="C7913" s="1"/>
      <c r="D7913" s="1"/>
    </row>
    <row r="7914" spans="3:4" x14ac:dyDescent="0.25">
      <c r="C7914" s="1"/>
      <c r="D7914" s="1"/>
    </row>
    <row r="7915" spans="3:4" x14ac:dyDescent="0.25">
      <c r="C7915" s="1"/>
      <c r="D7915" s="1"/>
    </row>
    <row r="7916" spans="3:4" x14ac:dyDescent="0.25">
      <c r="C7916" s="1"/>
      <c r="D7916" s="1"/>
    </row>
    <row r="7917" spans="3:4" x14ac:dyDescent="0.25">
      <c r="C7917" s="1"/>
      <c r="D7917" s="1"/>
    </row>
    <row r="7918" spans="3:4" x14ac:dyDescent="0.25">
      <c r="C7918" s="1"/>
      <c r="D7918" s="1"/>
    </row>
    <row r="7919" spans="3:4" x14ac:dyDescent="0.25">
      <c r="C7919" s="1"/>
      <c r="D7919" s="1"/>
    </row>
    <row r="7920" spans="3:4" x14ac:dyDescent="0.25">
      <c r="C7920" s="1"/>
      <c r="D7920" s="1"/>
    </row>
    <row r="7921" spans="3:4" x14ac:dyDescent="0.25">
      <c r="C7921" s="1"/>
      <c r="D7921" s="1"/>
    </row>
    <row r="7922" spans="3:4" x14ac:dyDescent="0.25">
      <c r="C7922" s="1"/>
      <c r="D7922" s="1"/>
    </row>
    <row r="7923" spans="3:4" x14ac:dyDescent="0.25">
      <c r="C7923" s="1"/>
      <c r="D7923" s="1"/>
    </row>
    <row r="7924" spans="3:4" x14ac:dyDescent="0.25">
      <c r="C7924" s="1"/>
      <c r="D7924" s="1"/>
    </row>
    <row r="7925" spans="3:4" x14ac:dyDescent="0.25">
      <c r="C7925" s="1"/>
      <c r="D7925" s="1"/>
    </row>
    <row r="7926" spans="3:4" x14ac:dyDescent="0.25">
      <c r="C7926" s="1"/>
      <c r="D7926" s="1"/>
    </row>
    <row r="7927" spans="3:4" x14ac:dyDescent="0.25">
      <c r="C7927" s="1"/>
      <c r="D7927" s="1"/>
    </row>
    <row r="7928" spans="3:4" x14ac:dyDescent="0.25">
      <c r="C7928" s="1"/>
      <c r="D7928" s="1"/>
    </row>
    <row r="7929" spans="3:4" x14ac:dyDescent="0.25">
      <c r="C7929" s="1"/>
      <c r="D7929" s="1"/>
    </row>
    <row r="7930" spans="3:4" x14ac:dyDescent="0.25">
      <c r="C7930" s="1"/>
      <c r="D7930" s="1"/>
    </row>
    <row r="7931" spans="3:4" x14ac:dyDescent="0.25">
      <c r="C7931" s="1"/>
      <c r="D7931" s="1"/>
    </row>
    <row r="7932" spans="3:4" x14ac:dyDescent="0.25">
      <c r="C7932" s="1"/>
      <c r="D7932" s="1"/>
    </row>
    <row r="7933" spans="3:4" x14ac:dyDescent="0.25">
      <c r="C7933" s="1"/>
      <c r="D7933" s="1"/>
    </row>
    <row r="7934" spans="3:4" x14ac:dyDescent="0.25">
      <c r="C7934" s="1"/>
      <c r="D7934" s="1"/>
    </row>
    <row r="7935" spans="3:4" x14ac:dyDescent="0.25">
      <c r="C7935" s="1"/>
      <c r="D7935" s="1"/>
    </row>
    <row r="7936" spans="3:4" x14ac:dyDescent="0.25">
      <c r="C7936" s="1"/>
      <c r="D7936" s="1"/>
    </row>
    <row r="7937" spans="3:4" x14ac:dyDescent="0.25">
      <c r="C7937" s="1"/>
      <c r="D7937" s="1"/>
    </row>
    <row r="7938" spans="3:4" x14ac:dyDescent="0.25">
      <c r="C7938" s="1"/>
      <c r="D7938" s="1"/>
    </row>
    <row r="7939" spans="3:4" x14ac:dyDescent="0.25">
      <c r="C7939" s="1"/>
      <c r="D7939" s="1"/>
    </row>
    <row r="7940" spans="3:4" x14ac:dyDescent="0.25">
      <c r="C7940" s="1"/>
      <c r="D7940" s="1"/>
    </row>
    <row r="7941" spans="3:4" x14ac:dyDescent="0.25">
      <c r="C7941" s="1"/>
      <c r="D7941" s="1"/>
    </row>
    <row r="7942" spans="3:4" x14ac:dyDescent="0.25">
      <c r="C7942" s="1"/>
      <c r="D7942" s="1"/>
    </row>
    <row r="7943" spans="3:4" x14ac:dyDescent="0.25">
      <c r="C7943" s="1"/>
      <c r="D7943" s="1"/>
    </row>
    <row r="7944" spans="3:4" x14ac:dyDescent="0.25">
      <c r="C7944" s="1"/>
      <c r="D7944" s="1"/>
    </row>
    <row r="7945" spans="3:4" x14ac:dyDescent="0.25">
      <c r="C7945" s="1"/>
      <c r="D7945" s="1"/>
    </row>
    <row r="7946" spans="3:4" x14ac:dyDescent="0.25">
      <c r="C7946" s="1"/>
      <c r="D7946" s="1"/>
    </row>
    <row r="7947" spans="3:4" x14ac:dyDescent="0.25">
      <c r="C7947" s="1"/>
      <c r="D7947" s="1"/>
    </row>
    <row r="7948" spans="3:4" x14ac:dyDescent="0.25">
      <c r="C7948" s="1"/>
      <c r="D7948" s="1"/>
    </row>
    <row r="7949" spans="3:4" x14ac:dyDescent="0.25">
      <c r="C7949" s="1"/>
      <c r="D7949" s="1"/>
    </row>
    <row r="7950" spans="3:4" x14ac:dyDescent="0.25">
      <c r="C7950" s="1"/>
      <c r="D7950" s="1"/>
    </row>
    <row r="7951" spans="3:4" x14ac:dyDescent="0.25">
      <c r="C7951" s="1"/>
      <c r="D7951" s="1"/>
    </row>
    <row r="7952" spans="3:4" x14ac:dyDescent="0.25">
      <c r="C7952" s="1"/>
      <c r="D7952" s="1"/>
    </row>
    <row r="7953" spans="3:4" x14ac:dyDescent="0.25">
      <c r="C7953" s="1"/>
      <c r="D7953" s="1"/>
    </row>
    <row r="7954" spans="3:4" x14ac:dyDescent="0.25">
      <c r="C7954" s="1"/>
      <c r="D7954" s="1"/>
    </row>
    <row r="7955" spans="3:4" x14ac:dyDescent="0.25">
      <c r="C7955" s="1"/>
      <c r="D7955" s="1"/>
    </row>
    <row r="7956" spans="3:4" x14ac:dyDescent="0.25">
      <c r="C7956" s="1"/>
      <c r="D7956" s="1"/>
    </row>
    <row r="7957" spans="3:4" x14ac:dyDescent="0.25">
      <c r="C7957" s="1"/>
      <c r="D7957" s="1"/>
    </row>
    <row r="7958" spans="3:4" x14ac:dyDescent="0.25">
      <c r="C7958" s="1"/>
      <c r="D7958" s="1"/>
    </row>
    <row r="7959" spans="3:4" x14ac:dyDescent="0.25">
      <c r="C7959" s="1"/>
      <c r="D7959" s="1"/>
    </row>
    <row r="7960" spans="3:4" x14ac:dyDescent="0.25">
      <c r="C7960" s="1"/>
      <c r="D7960" s="1"/>
    </row>
    <row r="7961" spans="3:4" x14ac:dyDescent="0.25">
      <c r="C7961" s="1"/>
      <c r="D7961" s="1"/>
    </row>
    <row r="7962" spans="3:4" x14ac:dyDescent="0.25">
      <c r="C7962" s="1"/>
      <c r="D7962" s="1"/>
    </row>
    <row r="7963" spans="3:4" x14ac:dyDescent="0.25">
      <c r="C7963" s="1"/>
      <c r="D7963" s="1"/>
    </row>
    <row r="7964" spans="3:4" x14ac:dyDescent="0.25">
      <c r="C7964" s="1"/>
      <c r="D7964" s="1"/>
    </row>
    <row r="7965" spans="3:4" x14ac:dyDescent="0.25">
      <c r="C7965" s="1"/>
      <c r="D7965" s="1"/>
    </row>
    <row r="7966" spans="3:4" x14ac:dyDescent="0.25">
      <c r="C7966" s="1"/>
      <c r="D7966" s="1"/>
    </row>
    <row r="7967" spans="3:4" x14ac:dyDescent="0.25">
      <c r="C7967" s="1"/>
      <c r="D7967" s="1"/>
    </row>
    <row r="7968" spans="3:4" x14ac:dyDescent="0.25">
      <c r="C7968" s="1"/>
      <c r="D7968" s="1"/>
    </row>
    <row r="7969" spans="3:4" x14ac:dyDescent="0.25">
      <c r="C7969" s="1"/>
      <c r="D7969" s="1"/>
    </row>
    <row r="7970" spans="3:4" x14ac:dyDescent="0.25">
      <c r="C7970" s="1"/>
      <c r="D7970" s="1"/>
    </row>
    <row r="7971" spans="3:4" x14ac:dyDescent="0.25">
      <c r="C7971" s="1"/>
      <c r="D7971" s="1"/>
    </row>
    <row r="7972" spans="3:4" x14ac:dyDescent="0.25">
      <c r="C7972" s="1"/>
      <c r="D7972" s="1"/>
    </row>
    <row r="7973" spans="3:4" x14ac:dyDescent="0.25">
      <c r="C7973" s="1"/>
      <c r="D7973" s="1"/>
    </row>
    <row r="7974" spans="3:4" x14ac:dyDescent="0.25">
      <c r="C7974" s="1"/>
      <c r="D7974" s="1"/>
    </row>
    <row r="7975" spans="3:4" x14ac:dyDescent="0.25">
      <c r="C7975" s="1"/>
      <c r="D7975" s="1"/>
    </row>
    <row r="7976" spans="3:4" x14ac:dyDescent="0.25">
      <c r="C7976" s="1"/>
      <c r="D7976" s="1"/>
    </row>
    <row r="7977" spans="3:4" x14ac:dyDescent="0.25">
      <c r="C7977" s="1"/>
      <c r="D7977" s="1"/>
    </row>
    <row r="7978" spans="3:4" x14ac:dyDescent="0.25">
      <c r="C7978" s="1"/>
      <c r="D7978" s="1"/>
    </row>
    <row r="7979" spans="3:4" x14ac:dyDescent="0.25">
      <c r="C7979" s="1"/>
      <c r="D7979" s="1"/>
    </row>
    <row r="7980" spans="3:4" x14ac:dyDescent="0.25">
      <c r="C7980" s="1"/>
      <c r="D7980" s="1"/>
    </row>
    <row r="7981" spans="3:4" x14ac:dyDescent="0.25">
      <c r="C7981" s="1"/>
      <c r="D7981" s="1"/>
    </row>
    <row r="7982" spans="3:4" x14ac:dyDescent="0.25">
      <c r="C7982" s="1"/>
      <c r="D7982" s="1"/>
    </row>
    <row r="7983" spans="3:4" x14ac:dyDescent="0.25">
      <c r="C7983" s="1"/>
      <c r="D7983" s="1"/>
    </row>
    <row r="7984" spans="3:4" x14ac:dyDescent="0.25">
      <c r="C7984" s="1"/>
      <c r="D7984" s="1"/>
    </row>
    <row r="7985" spans="3:4" x14ac:dyDescent="0.25">
      <c r="C7985" s="1"/>
      <c r="D7985" s="1"/>
    </row>
    <row r="7986" spans="3:4" x14ac:dyDescent="0.25">
      <c r="C7986" s="1"/>
      <c r="D7986" s="1"/>
    </row>
    <row r="7987" spans="3:4" x14ac:dyDescent="0.25">
      <c r="C7987" s="1"/>
      <c r="D7987" s="1"/>
    </row>
    <row r="7988" spans="3:4" x14ac:dyDescent="0.25">
      <c r="C7988" s="1"/>
      <c r="D7988" s="1"/>
    </row>
    <row r="7989" spans="3:4" x14ac:dyDescent="0.25">
      <c r="C7989" s="1"/>
      <c r="D7989" s="1"/>
    </row>
    <row r="7990" spans="3:4" x14ac:dyDescent="0.25">
      <c r="C7990" s="1"/>
      <c r="D7990" s="1"/>
    </row>
    <row r="7991" spans="3:4" x14ac:dyDescent="0.25">
      <c r="C7991" s="1"/>
      <c r="D7991" s="1"/>
    </row>
    <row r="7992" spans="3:4" x14ac:dyDescent="0.25">
      <c r="C7992" s="1"/>
      <c r="D7992" s="1"/>
    </row>
    <row r="7993" spans="3:4" x14ac:dyDescent="0.25">
      <c r="C7993" s="1"/>
      <c r="D7993" s="1"/>
    </row>
    <row r="7994" spans="3:4" x14ac:dyDescent="0.25">
      <c r="C7994" s="1"/>
      <c r="D7994" s="1"/>
    </row>
    <row r="7995" spans="3:4" x14ac:dyDescent="0.25">
      <c r="C7995" s="1"/>
      <c r="D7995" s="1"/>
    </row>
    <row r="7996" spans="3:4" x14ac:dyDescent="0.25">
      <c r="C7996" s="1"/>
      <c r="D7996" s="1"/>
    </row>
    <row r="7997" spans="3:4" x14ac:dyDescent="0.25">
      <c r="C7997" s="1"/>
      <c r="D7997" s="1"/>
    </row>
    <row r="7998" spans="3:4" x14ac:dyDescent="0.25">
      <c r="C7998" s="1"/>
      <c r="D7998" s="1"/>
    </row>
    <row r="7999" spans="3:4" x14ac:dyDescent="0.25">
      <c r="C7999" s="1"/>
      <c r="D7999" s="1"/>
    </row>
    <row r="8000" spans="3:4" x14ac:dyDescent="0.25">
      <c r="C8000" s="1"/>
      <c r="D8000" s="1"/>
    </row>
    <row r="8001" spans="3:4" x14ac:dyDescent="0.25">
      <c r="C8001" s="1"/>
      <c r="D8001" s="1"/>
    </row>
    <row r="8002" spans="3:4" x14ac:dyDescent="0.25">
      <c r="C8002" s="1"/>
      <c r="D8002" s="1"/>
    </row>
    <row r="8003" spans="3:4" x14ac:dyDescent="0.25">
      <c r="C8003" s="1"/>
      <c r="D8003" s="1"/>
    </row>
    <row r="8004" spans="3:4" x14ac:dyDescent="0.25">
      <c r="C8004" s="1"/>
      <c r="D8004" s="1"/>
    </row>
    <row r="8005" spans="3:4" x14ac:dyDescent="0.25">
      <c r="C8005" s="1"/>
      <c r="D8005" s="1"/>
    </row>
    <row r="8006" spans="3:4" x14ac:dyDescent="0.25">
      <c r="C8006" s="1"/>
      <c r="D8006" s="1"/>
    </row>
    <row r="8007" spans="3:4" x14ac:dyDescent="0.25">
      <c r="C8007" s="1"/>
      <c r="D8007" s="1"/>
    </row>
    <row r="8008" spans="3:4" x14ac:dyDescent="0.25">
      <c r="C8008" s="1"/>
      <c r="D8008" s="1"/>
    </row>
    <row r="8009" spans="3:4" x14ac:dyDescent="0.25">
      <c r="C8009" s="1"/>
      <c r="D8009" s="1"/>
    </row>
    <row r="8010" spans="3:4" x14ac:dyDescent="0.25">
      <c r="C8010" s="1"/>
      <c r="D8010" s="1"/>
    </row>
    <row r="8011" spans="3:4" x14ac:dyDescent="0.25">
      <c r="C8011" s="1"/>
      <c r="D8011" s="1"/>
    </row>
    <row r="8012" spans="3:4" x14ac:dyDescent="0.25">
      <c r="C8012" s="1"/>
      <c r="D8012" s="1"/>
    </row>
    <row r="8013" spans="3:4" x14ac:dyDescent="0.25">
      <c r="C8013" s="1"/>
      <c r="D8013" s="1"/>
    </row>
    <row r="8014" spans="3:4" x14ac:dyDescent="0.25">
      <c r="C8014" s="1"/>
      <c r="D8014" s="1"/>
    </row>
    <row r="8015" spans="3:4" x14ac:dyDescent="0.25">
      <c r="C8015" s="1"/>
      <c r="D8015" s="1"/>
    </row>
    <row r="8016" spans="3:4" x14ac:dyDescent="0.25">
      <c r="C8016" s="1"/>
      <c r="D8016" s="1"/>
    </row>
    <row r="8017" spans="3:4" x14ac:dyDescent="0.25">
      <c r="C8017" s="1"/>
      <c r="D8017" s="1"/>
    </row>
    <row r="8018" spans="3:4" x14ac:dyDescent="0.25">
      <c r="C8018" s="1"/>
      <c r="D8018" s="1"/>
    </row>
    <row r="8019" spans="3:4" x14ac:dyDescent="0.25">
      <c r="C8019" s="1"/>
      <c r="D8019" s="1"/>
    </row>
    <row r="8020" spans="3:4" x14ac:dyDescent="0.25">
      <c r="C8020" s="1"/>
      <c r="D8020" s="1"/>
    </row>
    <row r="8021" spans="3:4" x14ac:dyDescent="0.25">
      <c r="C8021" s="1"/>
      <c r="D8021" s="1"/>
    </row>
    <row r="8022" spans="3:4" x14ac:dyDescent="0.25">
      <c r="C8022" s="1"/>
      <c r="D8022" s="1"/>
    </row>
    <row r="8023" spans="3:4" x14ac:dyDescent="0.25">
      <c r="C8023" s="1"/>
      <c r="D8023" s="1"/>
    </row>
    <row r="8024" spans="3:4" x14ac:dyDescent="0.25">
      <c r="C8024" s="1"/>
      <c r="D8024" s="1"/>
    </row>
    <row r="8025" spans="3:4" x14ac:dyDescent="0.25">
      <c r="C8025" s="1"/>
      <c r="D8025" s="1"/>
    </row>
    <row r="8026" spans="3:4" x14ac:dyDescent="0.25">
      <c r="C8026" s="1"/>
      <c r="D8026" s="1"/>
    </row>
    <row r="8027" spans="3:4" x14ac:dyDescent="0.25">
      <c r="C8027" s="1"/>
      <c r="D8027" s="1"/>
    </row>
    <row r="8028" spans="3:4" x14ac:dyDescent="0.25">
      <c r="C8028" s="1"/>
      <c r="D8028" s="1"/>
    </row>
    <row r="8029" spans="3:4" x14ac:dyDescent="0.25">
      <c r="C8029" s="1"/>
      <c r="D8029" s="1"/>
    </row>
    <row r="8030" spans="3:4" x14ac:dyDescent="0.25">
      <c r="C8030" s="1"/>
      <c r="D8030" s="1"/>
    </row>
    <row r="8031" spans="3:4" x14ac:dyDescent="0.25">
      <c r="C8031" s="1"/>
      <c r="D8031" s="1"/>
    </row>
    <row r="8032" spans="3:4" x14ac:dyDescent="0.25">
      <c r="C8032" s="1"/>
      <c r="D8032" s="1"/>
    </row>
    <row r="8033" spans="3:4" x14ac:dyDescent="0.25">
      <c r="C8033" s="1"/>
      <c r="D8033" s="1"/>
    </row>
    <row r="8034" spans="3:4" x14ac:dyDescent="0.25">
      <c r="C8034" s="1"/>
      <c r="D8034" s="1"/>
    </row>
    <row r="8035" spans="3:4" x14ac:dyDescent="0.25">
      <c r="C8035" s="1"/>
      <c r="D8035" s="1"/>
    </row>
    <row r="8036" spans="3:4" x14ac:dyDescent="0.25">
      <c r="C8036" s="1"/>
      <c r="D8036" s="1"/>
    </row>
    <row r="8037" spans="3:4" x14ac:dyDescent="0.25">
      <c r="C8037" s="1"/>
      <c r="D8037" s="1"/>
    </row>
    <row r="8038" spans="3:4" x14ac:dyDescent="0.25">
      <c r="C8038" s="1"/>
      <c r="D8038" s="1"/>
    </row>
    <row r="8039" spans="3:4" x14ac:dyDescent="0.25">
      <c r="C8039" s="1"/>
      <c r="D8039" s="1"/>
    </row>
    <row r="8040" spans="3:4" x14ac:dyDescent="0.25">
      <c r="C8040" s="1"/>
      <c r="D8040" s="1"/>
    </row>
    <row r="8041" spans="3:4" x14ac:dyDescent="0.25">
      <c r="C8041" s="1"/>
      <c r="D8041" s="1"/>
    </row>
    <row r="8042" spans="3:4" x14ac:dyDescent="0.25">
      <c r="C8042" s="1"/>
      <c r="D8042" s="1"/>
    </row>
    <row r="8043" spans="3:4" x14ac:dyDescent="0.25">
      <c r="C8043" s="1"/>
      <c r="D8043" s="1"/>
    </row>
    <row r="8044" spans="3:4" x14ac:dyDescent="0.25">
      <c r="C8044" s="1"/>
      <c r="D8044" s="1"/>
    </row>
    <row r="8045" spans="3:4" x14ac:dyDescent="0.25">
      <c r="C8045" s="1"/>
      <c r="D8045" s="1"/>
    </row>
    <row r="8046" spans="3:4" x14ac:dyDescent="0.25">
      <c r="C8046" s="1"/>
      <c r="D8046" s="1"/>
    </row>
    <row r="8047" spans="3:4" x14ac:dyDescent="0.25">
      <c r="C8047" s="1"/>
      <c r="D8047" s="1"/>
    </row>
    <row r="8048" spans="3:4" x14ac:dyDescent="0.25">
      <c r="C8048" s="1"/>
      <c r="D8048" s="1"/>
    </row>
    <row r="8049" spans="3:4" x14ac:dyDescent="0.25">
      <c r="C8049" s="1"/>
      <c r="D8049" s="1"/>
    </row>
    <row r="8050" spans="3:4" x14ac:dyDescent="0.25">
      <c r="C8050" s="1"/>
      <c r="D8050" s="1"/>
    </row>
    <row r="8051" spans="3:4" x14ac:dyDescent="0.25">
      <c r="C8051" s="1"/>
      <c r="D8051" s="1"/>
    </row>
    <row r="8052" spans="3:4" x14ac:dyDescent="0.25">
      <c r="C8052" s="1"/>
      <c r="D8052" s="1"/>
    </row>
    <row r="8053" spans="3:4" x14ac:dyDescent="0.25">
      <c r="C8053" s="1"/>
      <c r="D8053" s="1"/>
    </row>
    <row r="8054" spans="3:4" x14ac:dyDescent="0.25">
      <c r="C8054" s="1"/>
      <c r="D8054" s="1"/>
    </row>
    <row r="8055" spans="3:4" x14ac:dyDescent="0.25">
      <c r="C8055" s="1"/>
      <c r="D8055" s="1"/>
    </row>
    <row r="8056" spans="3:4" x14ac:dyDescent="0.25">
      <c r="C8056" s="1"/>
      <c r="D8056" s="1"/>
    </row>
    <row r="8057" spans="3:4" x14ac:dyDescent="0.25">
      <c r="C8057" s="1"/>
      <c r="D8057" s="1"/>
    </row>
    <row r="8058" spans="3:4" x14ac:dyDescent="0.25">
      <c r="C8058" s="1"/>
      <c r="D8058" s="1"/>
    </row>
    <row r="8059" spans="3:4" x14ac:dyDescent="0.25">
      <c r="C8059" s="1"/>
      <c r="D8059" s="1"/>
    </row>
    <row r="8060" spans="3:4" x14ac:dyDescent="0.25">
      <c r="C8060" s="1"/>
      <c r="D8060" s="1"/>
    </row>
    <row r="8061" spans="3:4" x14ac:dyDescent="0.25">
      <c r="C8061" s="1"/>
      <c r="D8061" s="1"/>
    </row>
    <row r="8062" spans="3:4" x14ac:dyDescent="0.25">
      <c r="C8062" s="1"/>
      <c r="D8062" s="1"/>
    </row>
    <row r="8063" spans="3:4" x14ac:dyDescent="0.25">
      <c r="C8063" s="1"/>
      <c r="D8063" s="1"/>
    </row>
    <row r="8064" spans="3:4" x14ac:dyDescent="0.25">
      <c r="C8064" s="1"/>
      <c r="D8064" s="1"/>
    </row>
    <row r="8065" spans="3:4" x14ac:dyDescent="0.25">
      <c r="C8065" s="1"/>
      <c r="D8065" s="1"/>
    </row>
    <row r="8066" spans="3:4" x14ac:dyDescent="0.25">
      <c r="C8066" s="1"/>
      <c r="D8066" s="1"/>
    </row>
    <row r="8067" spans="3:4" x14ac:dyDescent="0.25">
      <c r="C8067" s="1"/>
      <c r="D8067" s="1"/>
    </row>
    <row r="8068" spans="3:4" x14ac:dyDescent="0.25">
      <c r="C8068" s="1"/>
      <c r="D8068" s="1"/>
    </row>
    <row r="8069" spans="3:4" x14ac:dyDescent="0.25">
      <c r="C8069" s="1"/>
      <c r="D8069" s="1"/>
    </row>
    <row r="8070" spans="3:4" x14ac:dyDescent="0.25">
      <c r="C8070" s="1"/>
      <c r="D8070" s="1"/>
    </row>
    <row r="8071" spans="3:4" x14ac:dyDescent="0.25">
      <c r="C8071" s="1"/>
      <c r="D8071" s="1"/>
    </row>
    <row r="8072" spans="3:4" x14ac:dyDescent="0.25">
      <c r="C8072" s="1"/>
      <c r="D8072" s="1"/>
    </row>
    <row r="8073" spans="3:4" x14ac:dyDescent="0.25">
      <c r="C8073" s="1"/>
      <c r="D8073" s="1"/>
    </row>
    <row r="8074" spans="3:4" x14ac:dyDescent="0.25">
      <c r="C8074" s="1"/>
      <c r="D8074" s="1"/>
    </row>
    <row r="8075" spans="3:4" x14ac:dyDescent="0.25">
      <c r="C8075" s="1"/>
      <c r="D8075" s="1"/>
    </row>
    <row r="8076" spans="3:4" x14ac:dyDescent="0.25">
      <c r="C8076" s="1"/>
      <c r="D8076" s="1"/>
    </row>
    <row r="8077" spans="3:4" x14ac:dyDescent="0.25">
      <c r="C8077" s="1"/>
      <c r="D8077" s="1"/>
    </row>
    <row r="8078" spans="3:4" x14ac:dyDescent="0.25">
      <c r="C8078" s="1"/>
      <c r="D8078" s="1"/>
    </row>
    <row r="8079" spans="3:4" x14ac:dyDescent="0.25">
      <c r="C8079" s="1"/>
      <c r="D8079" s="1"/>
    </row>
    <row r="8080" spans="3:4" x14ac:dyDescent="0.25">
      <c r="C8080" s="1"/>
      <c r="D8080" s="1"/>
    </row>
    <row r="8081" spans="3:4" x14ac:dyDescent="0.25">
      <c r="C8081" s="1"/>
      <c r="D8081" s="1"/>
    </row>
    <row r="8082" spans="3:4" x14ac:dyDescent="0.25">
      <c r="C8082" s="1"/>
      <c r="D8082" s="1"/>
    </row>
    <row r="8083" spans="3:4" x14ac:dyDescent="0.25">
      <c r="C8083" s="1"/>
      <c r="D8083" s="1"/>
    </row>
    <row r="8084" spans="3:4" x14ac:dyDescent="0.25">
      <c r="C8084" s="1"/>
      <c r="D8084" s="1"/>
    </row>
    <row r="8085" spans="3:4" x14ac:dyDescent="0.25">
      <c r="C8085" s="1"/>
      <c r="D8085" s="1"/>
    </row>
    <row r="8086" spans="3:4" x14ac:dyDescent="0.25">
      <c r="C8086" s="1"/>
      <c r="D8086" s="1"/>
    </row>
    <row r="8087" spans="3:4" x14ac:dyDescent="0.25">
      <c r="C8087" s="1"/>
      <c r="D8087" s="1"/>
    </row>
    <row r="8088" spans="3:4" x14ac:dyDescent="0.25">
      <c r="C8088" s="1"/>
      <c r="D8088" s="1"/>
    </row>
    <row r="8089" spans="3:4" x14ac:dyDescent="0.25">
      <c r="C8089" s="1"/>
      <c r="D8089" s="1"/>
    </row>
    <row r="8090" spans="3:4" x14ac:dyDescent="0.25">
      <c r="C8090" s="1"/>
      <c r="D8090" s="1"/>
    </row>
    <row r="8091" spans="3:4" x14ac:dyDescent="0.25">
      <c r="C8091" s="1"/>
      <c r="D8091" s="1"/>
    </row>
    <row r="8092" spans="3:4" x14ac:dyDescent="0.25">
      <c r="C8092" s="1"/>
      <c r="D8092" s="1"/>
    </row>
    <row r="8093" spans="3:4" x14ac:dyDescent="0.25">
      <c r="C8093" s="1"/>
      <c r="D8093" s="1"/>
    </row>
    <row r="8094" spans="3:4" x14ac:dyDescent="0.25">
      <c r="C8094" s="1"/>
      <c r="D8094" s="1"/>
    </row>
    <row r="8095" spans="3:4" x14ac:dyDescent="0.25">
      <c r="C8095" s="1"/>
      <c r="D8095" s="1"/>
    </row>
    <row r="8096" spans="3:4" x14ac:dyDescent="0.25">
      <c r="C8096" s="1"/>
      <c r="D8096" s="1"/>
    </row>
    <row r="8097" spans="3:4" x14ac:dyDescent="0.25">
      <c r="C8097" s="1"/>
      <c r="D8097" s="1"/>
    </row>
    <row r="8098" spans="3:4" x14ac:dyDescent="0.25">
      <c r="C8098" s="1"/>
      <c r="D8098" s="1"/>
    </row>
    <row r="8099" spans="3:4" x14ac:dyDescent="0.25">
      <c r="C8099" s="1"/>
      <c r="D8099" s="1"/>
    </row>
    <row r="8100" spans="3:4" x14ac:dyDescent="0.25">
      <c r="C8100" s="1"/>
      <c r="D8100" s="1"/>
    </row>
    <row r="8101" spans="3:4" x14ac:dyDescent="0.25">
      <c r="C8101" s="1"/>
      <c r="D8101" s="1"/>
    </row>
    <row r="8102" spans="3:4" x14ac:dyDescent="0.25">
      <c r="C8102" s="1"/>
      <c r="D8102" s="1"/>
    </row>
    <row r="8103" spans="3:4" x14ac:dyDescent="0.25">
      <c r="C8103" s="1"/>
      <c r="D8103" s="1"/>
    </row>
    <row r="8104" spans="3:4" x14ac:dyDescent="0.25">
      <c r="C8104" s="1"/>
      <c r="D8104" s="1"/>
    </row>
    <row r="8105" spans="3:4" x14ac:dyDescent="0.25">
      <c r="C8105" s="1"/>
      <c r="D8105" s="1"/>
    </row>
    <row r="8106" spans="3:4" x14ac:dyDescent="0.25">
      <c r="C8106" s="1"/>
      <c r="D8106" s="1"/>
    </row>
    <row r="8107" spans="3:4" x14ac:dyDescent="0.25">
      <c r="C8107" s="1"/>
      <c r="D8107" s="1"/>
    </row>
    <row r="8108" spans="3:4" x14ac:dyDescent="0.25">
      <c r="C8108" s="1"/>
      <c r="D8108" s="1"/>
    </row>
    <row r="8109" spans="3:4" x14ac:dyDescent="0.25">
      <c r="C8109" s="1"/>
      <c r="D8109" s="1"/>
    </row>
    <row r="8110" spans="3:4" x14ac:dyDescent="0.25">
      <c r="C8110" s="1"/>
      <c r="D8110" s="1"/>
    </row>
    <row r="8111" spans="3:4" x14ac:dyDescent="0.25">
      <c r="C8111" s="1"/>
      <c r="D8111" s="1"/>
    </row>
    <row r="8112" spans="3:4" x14ac:dyDescent="0.25">
      <c r="C8112" s="1"/>
      <c r="D8112" s="1"/>
    </row>
    <row r="8113" spans="3:4" x14ac:dyDescent="0.25">
      <c r="C8113" s="1"/>
      <c r="D8113" s="1"/>
    </row>
    <row r="8114" spans="3:4" x14ac:dyDescent="0.25">
      <c r="C8114" s="1"/>
      <c r="D8114" s="1"/>
    </row>
    <row r="8115" spans="3:4" x14ac:dyDescent="0.25">
      <c r="C8115" s="1"/>
      <c r="D8115" s="1"/>
    </row>
    <row r="8116" spans="3:4" x14ac:dyDescent="0.25">
      <c r="C8116" s="1"/>
      <c r="D8116" s="1"/>
    </row>
    <row r="8117" spans="3:4" x14ac:dyDescent="0.25">
      <c r="C8117" s="1"/>
      <c r="D8117" s="1"/>
    </row>
    <row r="8118" spans="3:4" x14ac:dyDescent="0.25">
      <c r="C8118" s="1"/>
      <c r="D8118" s="1"/>
    </row>
    <row r="8119" spans="3:4" x14ac:dyDescent="0.25">
      <c r="C8119" s="1"/>
      <c r="D8119" s="1"/>
    </row>
    <row r="8120" spans="3:4" x14ac:dyDescent="0.25">
      <c r="C8120" s="1"/>
      <c r="D8120" s="1"/>
    </row>
    <row r="8121" spans="3:4" x14ac:dyDescent="0.25">
      <c r="C8121" s="1"/>
      <c r="D8121" s="1"/>
    </row>
    <row r="8122" spans="3:4" x14ac:dyDescent="0.25">
      <c r="C8122" s="1"/>
      <c r="D8122" s="1"/>
    </row>
    <row r="8123" spans="3:4" x14ac:dyDescent="0.25">
      <c r="C8123" s="1"/>
      <c r="D8123" s="1"/>
    </row>
    <row r="8124" spans="3:4" x14ac:dyDescent="0.25">
      <c r="C8124" s="1"/>
      <c r="D8124" s="1"/>
    </row>
    <row r="8125" spans="3:4" x14ac:dyDescent="0.25">
      <c r="C8125" s="1"/>
      <c r="D8125" s="1"/>
    </row>
    <row r="8126" spans="3:4" x14ac:dyDescent="0.25">
      <c r="C8126" s="1"/>
      <c r="D8126" s="1"/>
    </row>
    <row r="8127" spans="3:4" x14ac:dyDescent="0.25">
      <c r="C8127" s="1"/>
      <c r="D8127" s="1"/>
    </row>
    <row r="8128" spans="3:4" x14ac:dyDescent="0.25">
      <c r="C8128" s="1"/>
      <c r="D8128" s="1"/>
    </row>
    <row r="8129" spans="3:4" x14ac:dyDescent="0.25">
      <c r="C8129" s="1"/>
      <c r="D8129" s="1"/>
    </row>
    <row r="8130" spans="3:4" x14ac:dyDescent="0.25">
      <c r="C8130" s="1"/>
      <c r="D8130" s="1"/>
    </row>
    <row r="8131" spans="3:4" x14ac:dyDescent="0.25">
      <c r="C8131" s="1"/>
      <c r="D8131" s="1"/>
    </row>
    <row r="8132" spans="3:4" x14ac:dyDescent="0.25">
      <c r="C8132" s="1"/>
      <c r="D8132" s="1"/>
    </row>
    <row r="8133" spans="3:4" x14ac:dyDescent="0.25">
      <c r="C8133" s="1"/>
      <c r="D8133" s="1"/>
    </row>
    <row r="8134" spans="3:4" x14ac:dyDescent="0.25">
      <c r="C8134" s="1"/>
      <c r="D8134" s="1"/>
    </row>
    <row r="8135" spans="3:4" x14ac:dyDescent="0.25">
      <c r="C8135" s="1"/>
      <c r="D8135" s="1"/>
    </row>
    <row r="8136" spans="3:4" x14ac:dyDescent="0.25">
      <c r="C8136" s="1"/>
      <c r="D8136" s="1"/>
    </row>
    <row r="8137" spans="3:4" x14ac:dyDescent="0.25">
      <c r="C8137" s="1"/>
      <c r="D8137" s="1"/>
    </row>
    <row r="8138" spans="3:4" x14ac:dyDescent="0.25">
      <c r="C8138" s="1"/>
      <c r="D8138" s="1"/>
    </row>
    <row r="8139" spans="3:4" x14ac:dyDescent="0.25">
      <c r="C8139" s="1"/>
      <c r="D8139" s="1"/>
    </row>
    <row r="8140" spans="3:4" x14ac:dyDescent="0.25">
      <c r="C8140" s="1"/>
      <c r="D8140" s="1"/>
    </row>
    <row r="8141" spans="3:4" x14ac:dyDescent="0.25">
      <c r="C8141" s="1"/>
      <c r="D8141" s="1"/>
    </row>
    <row r="8142" spans="3:4" x14ac:dyDescent="0.25">
      <c r="C8142" s="1"/>
      <c r="D8142" s="1"/>
    </row>
    <row r="8143" spans="3:4" x14ac:dyDescent="0.25">
      <c r="C8143" s="1"/>
      <c r="D8143" s="1"/>
    </row>
    <row r="8144" spans="3:4" x14ac:dyDescent="0.25">
      <c r="C8144" s="1"/>
      <c r="D8144" s="1"/>
    </row>
    <row r="8145" spans="3:4" x14ac:dyDescent="0.25">
      <c r="C8145" s="1"/>
      <c r="D8145" s="1"/>
    </row>
    <row r="8146" spans="3:4" x14ac:dyDescent="0.25">
      <c r="C8146" s="1"/>
      <c r="D8146" s="1"/>
    </row>
    <row r="8147" spans="3:4" x14ac:dyDescent="0.25">
      <c r="C8147" s="1"/>
      <c r="D8147" s="1"/>
    </row>
    <row r="8148" spans="3:4" x14ac:dyDescent="0.25">
      <c r="C8148" s="1"/>
      <c r="D8148" s="1"/>
    </row>
    <row r="8149" spans="3:4" x14ac:dyDescent="0.25">
      <c r="C8149" s="1"/>
      <c r="D8149" s="1"/>
    </row>
    <row r="8150" spans="3:4" x14ac:dyDescent="0.25">
      <c r="C8150" s="1"/>
      <c r="D8150" s="1"/>
    </row>
    <row r="8151" spans="3:4" x14ac:dyDescent="0.25">
      <c r="C8151" s="1"/>
      <c r="D8151" s="1"/>
    </row>
    <row r="8152" spans="3:4" x14ac:dyDescent="0.25">
      <c r="C8152" s="1"/>
      <c r="D8152" s="1"/>
    </row>
    <row r="8153" spans="3:4" x14ac:dyDescent="0.25">
      <c r="C8153" s="1"/>
      <c r="D8153" s="1"/>
    </row>
    <row r="8154" spans="3:4" x14ac:dyDescent="0.25">
      <c r="C8154" s="1"/>
      <c r="D8154" s="1"/>
    </row>
    <row r="8155" spans="3:4" x14ac:dyDescent="0.25">
      <c r="C8155" s="1"/>
      <c r="D8155" s="1"/>
    </row>
    <row r="8156" spans="3:4" x14ac:dyDescent="0.25">
      <c r="C8156" s="1"/>
      <c r="D8156" s="1"/>
    </row>
    <row r="8157" spans="3:4" x14ac:dyDescent="0.25">
      <c r="C8157" s="1"/>
      <c r="D8157" s="1"/>
    </row>
    <row r="8158" spans="3:4" x14ac:dyDescent="0.25">
      <c r="C8158" s="1"/>
      <c r="D8158" s="1"/>
    </row>
    <row r="8159" spans="3:4" x14ac:dyDescent="0.25">
      <c r="C8159" s="1"/>
      <c r="D8159" s="1"/>
    </row>
    <row r="8160" spans="3:4" x14ac:dyDescent="0.25">
      <c r="C8160" s="1"/>
      <c r="D8160" s="1"/>
    </row>
    <row r="8161" spans="3:4" x14ac:dyDescent="0.25">
      <c r="C8161" s="1"/>
      <c r="D8161" s="1"/>
    </row>
    <row r="8162" spans="3:4" x14ac:dyDescent="0.25">
      <c r="C8162" s="1"/>
      <c r="D8162" s="1"/>
    </row>
    <row r="8163" spans="3:4" x14ac:dyDescent="0.25">
      <c r="C8163" s="1"/>
      <c r="D8163" s="1"/>
    </row>
    <row r="8164" spans="3:4" x14ac:dyDescent="0.25">
      <c r="C8164" s="1"/>
      <c r="D8164" s="1"/>
    </row>
    <row r="8165" spans="3:4" x14ac:dyDescent="0.25">
      <c r="C8165" s="1"/>
      <c r="D8165" s="1"/>
    </row>
    <row r="8166" spans="3:4" x14ac:dyDescent="0.25">
      <c r="C8166" s="1"/>
      <c r="D8166" s="1"/>
    </row>
    <row r="8167" spans="3:4" x14ac:dyDescent="0.25">
      <c r="C8167" s="1"/>
      <c r="D8167" s="1"/>
    </row>
    <row r="8168" spans="3:4" x14ac:dyDescent="0.25">
      <c r="C8168" s="1"/>
      <c r="D8168" s="1"/>
    </row>
    <row r="8169" spans="3:4" x14ac:dyDescent="0.25">
      <c r="C8169" s="1"/>
      <c r="D8169" s="1"/>
    </row>
    <row r="8170" spans="3:4" x14ac:dyDescent="0.25">
      <c r="C8170" s="1"/>
      <c r="D8170" s="1"/>
    </row>
    <row r="8171" spans="3:4" x14ac:dyDescent="0.25">
      <c r="C8171" s="1"/>
      <c r="D8171" s="1"/>
    </row>
    <row r="8172" spans="3:4" x14ac:dyDescent="0.25">
      <c r="C8172" s="1"/>
      <c r="D8172" s="1"/>
    </row>
    <row r="8173" spans="3:4" x14ac:dyDescent="0.25">
      <c r="C8173" s="1"/>
      <c r="D8173" s="1"/>
    </row>
    <row r="8174" spans="3:4" x14ac:dyDescent="0.25">
      <c r="C8174" s="1"/>
      <c r="D8174" s="1"/>
    </row>
    <row r="8175" spans="3:4" x14ac:dyDescent="0.25">
      <c r="C8175" s="1"/>
      <c r="D8175" s="1"/>
    </row>
    <row r="8176" spans="3:4" x14ac:dyDescent="0.25">
      <c r="C8176" s="1"/>
      <c r="D8176" s="1"/>
    </row>
    <row r="8177" spans="3:4" x14ac:dyDescent="0.25">
      <c r="C8177" s="1"/>
      <c r="D8177" s="1"/>
    </row>
    <row r="8178" spans="3:4" x14ac:dyDescent="0.25">
      <c r="C8178" s="1"/>
      <c r="D8178" s="1"/>
    </row>
    <row r="8179" spans="3:4" x14ac:dyDescent="0.25">
      <c r="C8179" s="1"/>
      <c r="D8179" s="1"/>
    </row>
    <row r="8180" spans="3:4" x14ac:dyDescent="0.25">
      <c r="C8180" s="1"/>
      <c r="D8180" s="1"/>
    </row>
    <row r="8181" spans="3:4" x14ac:dyDescent="0.25">
      <c r="C8181" s="1"/>
      <c r="D8181" s="1"/>
    </row>
    <row r="8182" spans="3:4" x14ac:dyDescent="0.25">
      <c r="C8182" s="1"/>
      <c r="D8182" s="1"/>
    </row>
    <row r="8183" spans="3:4" x14ac:dyDescent="0.25">
      <c r="C8183" s="1"/>
      <c r="D8183" s="1"/>
    </row>
    <row r="8184" spans="3:4" x14ac:dyDescent="0.25">
      <c r="C8184" s="1"/>
      <c r="D8184" s="1"/>
    </row>
    <row r="8185" spans="3:4" x14ac:dyDescent="0.25">
      <c r="C8185" s="1"/>
      <c r="D8185" s="1"/>
    </row>
    <row r="8186" spans="3:4" x14ac:dyDescent="0.25">
      <c r="C8186" s="1"/>
      <c r="D8186" s="1"/>
    </row>
    <row r="8187" spans="3:4" x14ac:dyDescent="0.25">
      <c r="C8187" s="1"/>
      <c r="D8187" s="1"/>
    </row>
    <row r="8188" spans="3:4" x14ac:dyDescent="0.25">
      <c r="C8188" s="1"/>
      <c r="D8188" s="1"/>
    </row>
    <row r="8189" spans="3:4" x14ac:dyDescent="0.25">
      <c r="C8189" s="1"/>
      <c r="D8189" s="1"/>
    </row>
    <row r="8190" spans="3:4" x14ac:dyDescent="0.25">
      <c r="C8190" s="1"/>
      <c r="D8190" s="1"/>
    </row>
    <row r="8191" spans="3:4" x14ac:dyDescent="0.25">
      <c r="C8191" s="1"/>
      <c r="D8191" s="1"/>
    </row>
    <row r="8192" spans="3:4" x14ac:dyDescent="0.25">
      <c r="C8192" s="1"/>
      <c r="D8192" s="1"/>
    </row>
    <row r="8193" spans="3:4" x14ac:dyDescent="0.25">
      <c r="C8193" s="1"/>
      <c r="D8193" s="1"/>
    </row>
    <row r="8194" spans="3:4" x14ac:dyDescent="0.25">
      <c r="C8194" s="1"/>
      <c r="D8194" s="1"/>
    </row>
    <row r="8195" spans="3:4" x14ac:dyDescent="0.25">
      <c r="C8195" s="1"/>
      <c r="D8195" s="1"/>
    </row>
    <row r="8196" spans="3:4" x14ac:dyDescent="0.25">
      <c r="C8196" s="1"/>
      <c r="D8196" s="1"/>
    </row>
    <row r="8197" spans="3:4" x14ac:dyDescent="0.25">
      <c r="C8197" s="1"/>
      <c r="D8197" s="1"/>
    </row>
    <row r="8198" spans="3:4" x14ac:dyDescent="0.25">
      <c r="C8198" s="1"/>
      <c r="D8198" s="1"/>
    </row>
    <row r="8199" spans="3:4" x14ac:dyDescent="0.25">
      <c r="C8199" s="1"/>
      <c r="D8199" s="1"/>
    </row>
    <row r="8200" spans="3:4" x14ac:dyDescent="0.25">
      <c r="C8200" s="1"/>
      <c r="D8200" s="1"/>
    </row>
    <row r="8201" spans="3:4" x14ac:dyDescent="0.25">
      <c r="C8201" s="1"/>
      <c r="D8201" s="1"/>
    </row>
    <row r="8202" spans="3:4" x14ac:dyDescent="0.25">
      <c r="C8202" s="1"/>
      <c r="D8202" s="1"/>
    </row>
    <row r="8203" spans="3:4" x14ac:dyDescent="0.25">
      <c r="C8203" s="1"/>
      <c r="D8203" s="1"/>
    </row>
    <row r="8204" spans="3:4" x14ac:dyDescent="0.25">
      <c r="C8204" s="1"/>
      <c r="D8204" s="1"/>
    </row>
    <row r="8205" spans="3:4" x14ac:dyDescent="0.25">
      <c r="C8205" s="1"/>
      <c r="D8205" s="1"/>
    </row>
    <row r="8206" spans="3:4" x14ac:dyDescent="0.25">
      <c r="C8206" s="1"/>
      <c r="D8206" s="1"/>
    </row>
    <row r="8207" spans="3:4" x14ac:dyDescent="0.25">
      <c r="C8207" s="1"/>
      <c r="D8207" s="1"/>
    </row>
    <row r="8208" spans="3:4" x14ac:dyDescent="0.25">
      <c r="C8208" s="1"/>
      <c r="D8208" s="1"/>
    </row>
    <row r="8209" spans="3:4" x14ac:dyDescent="0.25">
      <c r="C8209" s="1"/>
      <c r="D8209" s="1"/>
    </row>
    <row r="8210" spans="3:4" x14ac:dyDescent="0.25">
      <c r="C8210" s="1"/>
      <c r="D8210" s="1"/>
    </row>
    <row r="8211" spans="3:4" x14ac:dyDescent="0.25">
      <c r="C8211" s="1"/>
      <c r="D8211" s="1"/>
    </row>
    <row r="8212" spans="3:4" x14ac:dyDescent="0.25">
      <c r="C8212" s="1"/>
      <c r="D8212" s="1"/>
    </row>
    <row r="8213" spans="3:4" x14ac:dyDescent="0.25">
      <c r="C8213" s="1"/>
      <c r="D8213" s="1"/>
    </row>
    <row r="8214" spans="3:4" x14ac:dyDescent="0.25">
      <c r="C8214" s="1"/>
      <c r="D8214" s="1"/>
    </row>
    <row r="8215" spans="3:4" x14ac:dyDescent="0.25">
      <c r="C8215" s="1"/>
      <c r="D8215" s="1"/>
    </row>
    <row r="8216" spans="3:4" x14ac:dyDescent="0.25">
      <c r="C8216" s="1"/>
      <c r="D8216" s="1"/>
    </row>
    <row r="8217" spans="3:4" x14ac:dyDescent="0.25">
      <c r="C8217" s="1"/>
      <c r="D8217" s="1"/>
    </row>
    <row r="8218" spans="3:4" x14ac:dyDescent="0.25">
      <c r="C8218" s="1"/>
      <c r="D8218" s="1"/>
    </row>
    <row r="8219" spans="3:4" x14ac:dyDescent="0.25">
      <c r="C8219" s="1"/>
      <c r="D8219" s="1"/>
    </row>
    <row r="8220" spans="3:4" x14ac:dyDescent="0.25">
      <c r="C8220" s="1"/>
      <c r="D8220" s="1"/>
    </row>
    <row r="8221" spans="3:4" x14ac:dyDescent="0.25">
      <c r="C8221" s="1"/>
      <c r="D8221" s="1"/>
    </row>
    <row r="8222" spans="3:4" x14ac:dyDescent="0.25">
      <c r="C8222" s="1"/>
      <c r="D8222" s="1"/>
    </row>
    <row r="8223" spans="3:4" x14ac:dyDescent="0.25">
      <c r="C8223" s="1"/>
      <c r="D8223" s="1"/>
    </row>
    <row r="8224" spans="3:4" x14ac:dyDescent="0.25">
      <c r="C8224" s="1"/>
      <c r="D8224" s="1"/>
    </row>
    <row r="8225" spans="3:4" x14ac:dyDescent="0.25">
      <c r="C8225" s="1"/>
      <c r="D8225" s="1"/>
    </row>
    <row r="8226" spans="3:4" x14ac:dyDescent="0.25">
      <c r="C8226" s="1"/>
      <c r="D8226" s="1"/>
    </row>
    <row r="8227" spans="3:4" x14ac:dyDescent="0.25">
      <c r="C8227" s="1"/>
      <c r="D8227" s="1"/>
    </row>
    <row r="8228" spans="3:4" x14ac:dyDescent="0.25">
      <c r="C8228" s="1"/>
      <c r="D8228" s="1"/>
    </row>
    <row r="8229" spans="3:4" x14ac:dyDescent="0.25">
      <c r="C8229" s="1"/>
      <c r="D8229" s="1"/>
    </row>
    <row r="8230" spans="3:4" x14ac:dyDescent="0.25">
      <c r="C8230" s="1"/>
      <c r="D8230" s="1"/>
    </row>
    <row r="8231" spans="3:4" x14ac:dyDescent="0.25">
      <c r="C8231" s="1"/>
      <c r="D8231" s="1"/>
    </row>
    <row r="8232" spans="3:4" x14ac:dyDescent="0.25">
      <c r="C8232" s="1"/>
      <c r="D8232" s="1"/>
    </row>
    <row r="8233" spans="3:4" x14ac:dyDescent="0.25">
      <c r="C8233" s="1"/>
      <c r="D8233" s="1"/>
    </row>
    <row r="8234" spans="3:4" x14ac:dyDescent="0.25">
      <c r="C8234" s="1"/>
      <c r="D8234" s="1"/>
    </row>
    <row r="8235" spans="3:4" x14ac:dyDescent="0.25">
      <c r="C8235" s="1"/>
      <c r="D8235" s="1"/>
    </row>
    <row r="8236" spans="3:4" x14ac:dyDescent="0.25">
      <c r="C8236" s="1"/>
      <c r="D8236" s="1"/>
    </row>
    <row r="8237" spans="3:4" x14ac:dyDescent="0.25">
      <c r="C8237" s="1"/>
      <c r="D8237" s="1"/>
    </row>
    <row r="8238" spans="3:4" x14ac:dyDescent="0.25">
      <c r="C8238" s="1"/>
      <c r="D8238" s="1"/>
    </row>
    <row r="8239" spans="3:4" x14ac:dyDescent="0.25">
      <c r="C8239" s="1"/>
      <c r="D8239" s="1"/>
    </row>
    <row r="8240" spans="3:4" x14ac:dyDescent="0.25">
      <c r="C8240" s="1"/>
      <c r="D8240" s="1"/>
    </row>
    <row r="8241" spans="3:4" x14ac:dyDescent="0.25">
      <c r="C8241" s="1"/>
      <c r="D8241" s="1"/>
    </row>
    <row r="8242" spans="3:4" x14ac:dyDescent="0.25">
      <c r="C8242" s="1"/>
      <c r="D8242" s="1"/>
    </row>
    <row r="8243" spans="3:4" x14ac:dyDescent="0.25">
      <c r="C8243" s="1"/>
      <c r="D8243" s="1"/>
    </row>
    <row r="8244" spans="3:4" x14ac:dyDescent="0.25">
      <c r="C8244" s="1"/>
      <c r="D8244" s="1"/>
    </row>
    <row r="8245" spans="3:4" x14ac:dyDescent="0.25">
      <c r="C8245" s="1"/>
      <c r="D8245" s="1"/>
    </row>
    <row r="8246" spans="3:4" x14ac:dyDescent="0.25">
      <c r="C8246" s="1"/>
      <c r="D8246" s="1"/>
    </row>
    <row r="8247" spans="3:4" x14ac:dyDescent="0.25">
      <c r="C8247" s="1"/>
      <c r="D8247" s="1"/>
    </row>
    <row r="8248" spans="3:4" x14ac:dyDescent="0.25">
      <c r="C8248" s="1"/>
      <c r="D8248" s="1"/>
    </row>
    <row r="8249" spans="3:4" x14ac:dyDescent="0.25">
      <c r="C8249" s="1"/>
      <c r="D8249" s="1"/>
    </row>
    <row r="8250" spans="3:4" x14ac:dyDescent="0.25">
      <c r="C8250" s="1"/>
      <c r="D8250" s="1"/>
    </row>
    <row r="8251" spans="3:4" x14ac:dyDescent="0.25">
      <c r="C8251" s="1"/>
      <c r="D8251" s="1"/>
    </row>
    <row r="8252" spans="3:4" x14ac:dyDescent="0.25">
      <c r="C8252" s="1"/>
      <c r="D8252" s="1"/>
    </row>
    <row r="8253" spans="3:4" x14ac:dyDescent="0.25">
      <c r="C8253" s="1"/>
      <c r="D8253" s="1"/>
    </row>
    <row r="8254" spans="3:4" x14ac:dyDescent="0.25">
      <c r="C8254" s="1"/>
      <c r="D8254" s="1"/>
    </row>
    <row r="8255" spans="3:4" x14ac:dyDescent="0.25">
      <c r="C8255" s="1"/>
      <c r="D8255" s="1"/>
    </row>
    <row r="8256" spans="3:4" x14ac:dyDescent="0.25">
      <c r="C8256" s="1"/>
      <c r="D8256" s="1"/>
    </row>
    <row r="8257" spans="3:4" x14ac:dyDescent="0.25">
      <c r="C8257" s="1"/>
      <c r="D8257" s="1"/>
    </row>
    <row r="8258" spans="3:4" x14ac:dyDescent="0.25">
      <c r="C8258" s="1"/>
      <c r="D8258" s="1"/>
    </row>
    <row r="8259" spans="3:4" x14ac:dyDescent="0.25">
      <c r="C8259" s="1"/>
      <c r="D8259" s="1"/>
    </row>
    <row r="8260" spans="3:4" x14ac:dyDescent="0.25">
      <c r="C8260" s="1"/>
      <c r="D8260" s="1"/>
    </row>
    <row r="8261" spans="3:4" x14ac:dyDescent="0.25">
      <c r="C8261" s="1"/>
      <c r="D8261" s="1"/>
    </row>
    <row r="8262" spans="3:4" x14ac:dyDescent="0.25">
      <c r="C8262" s="1"/>
      <c r="D8262" s="1"/>
    </row>
    <row r="8263" spans="3:4" x14ac:dyDescent="0.25">
      <c r="C8263" s="1"/>
      <c r="D8263" s="1"/>
    </row>
    <row r="8264" spans="3:4" x14ac:dyDescent="0.25">
      <c r="C8264" s="1"/>
      <c r="D8264" s="1"/>
    </row>
    <row r="8265" spans="3:4" x14ac:dyDescent="0.25">
      <c r="C8265" s="1"/>
      <c r="D8265" s="1"/>
    </row>
    <row r="8266" spans="3:4" x14ac:dyDescent="0.25">
      <c r="C8266" s="1"/>
      <c r="D8266" s="1"/>
    </row>
    <row r="8267" spans="3:4" x14ac:dyDescent="0.25">
      <c r="C8267" s="1"/>
      <c r="D8267" s="1"/>
    </row>
    <row r="8268" spans="3:4" x14ac:dyDescent="0.25">
      <c r="C8268" s="1"/>
      <c r="D8268" s="1"/>
    </row>
    <row r="8269" spans="3:4" x14ac:dyDescent="0.25">
      <c r="C8269" s="1"/>
      <c r="D8269" s="1"/>
    </row>
    <row r="8270" spans="3:4" x14ac:dyDescent="0.25">
      <c r="C8270" s="1"/>
      <c r="D8270" s="1"/>
    </row>
    <row r="8271" spans="3:4" x14ac:dyDescent="0.25">
      <c r="C8271" s="1"/>
      <c r="D8271" s="1"/>
    </row>
    <row r="8272" spans="3:4" x14ac:dyDescent="0.25">
      <c r="C8272" s="1"/>
      <c r="D8272" s="1"/>
    </row>
    <row r="8273" spans="3:4" x14ac:dyDescent="0.25">
      <c r="C8273" s="1"/>
      <c r="D8273" s="1"/>
    </row>
    <row r="8274" spans="3:4" x14ac:dyDescent="0.25">
      <c r="C8274" s="1"/>
      <c r="D8274" s="1"/>
    </row>
    <row r="8275" spans="3:4" x14ac:dyDescent="0.25">
      <c r="C8275" s="1"/>
      <c r="D8275" s="1"/>
    </row>
    <row r="8276" spans="3:4" x14ac:dyDescent="0.25">
      <c r="C8276" s="1"/>
      <c r="D8276" s="1"/>
    </row>
    <row r="8277" spans="3:4" x14ac:dyDescent="0.25">
      <c r="C8277" s="1"/>
      <c r="D8277" s="1"/>
    </row>
    <row r="8278" spans="3:4" x14ac:dyDescent="0.25">
      <c r="C8278" s="1"/>
      <c r="D8278" s="1"/>
    </row>
    <row r="8279" spans="3:4" x14ac:dyDescent="0.25">
      <c r="C8279" s="1"/>
      <c r="D8279" s="1"/>
    </row>
    <row r="8280" spans="3:4" x14ac:dyDescent="0.25">
      <c r="C8280" s="1"/>
      <c r="D8280" s="1"/>
    </row>
    <row r="8281" spans="3:4" x14ac:dyDescent="0.25">
      <c r="C8281" s="1"/>
      <c r="D8281" s="1"/>
    </row>
    <row r="8282" spans="3:4" x14ac:dyDescent="0.25">
      <c r="C8282" s="1"/>
      <c r="D8282" s="1"/>
    </row>
    <row r="8283" spans="3:4" x14ac:dyDescent="0.25">
      <c r="C8283" s="1"/>
      <c r="D8283" s="1"/>
    </row>
    <row r="8284" spans="3:4" x14ac:dyDescent="0.25">
      <c r="C8284" s="1"/>
      <c r="D8284" s="1"/>
    </row>
    <row r="8285" spans="3:4" x14ac:dyDescent="0.25">
      <c r="C8285" s="1"/>
      <c r="D8285" s="1"/>
    </row>
    <row r="8286" spans="3:4" x14ac:dyDescent="0.25">
      <c r="C8286" s="1"/>
      <c r="D8286" s="1"/>
    </row>
    <row r="8287" spans="3:4" x14ac:dyDescent="0.25">
      <c r="C8287" s="1"/>
      <c r="D8287" s="1"/>
    </row>
    <row r="8288" spans="3:4" x14ac:dyDescent="0.25">
      <c r="C8288" s="1"/>
      <c r="D8288" s="1"/>
    </row>
    <row r="8289" spans="3:4" x14ac:dyDescent="0.25">
      <c r="C8289" s="1"/>
      <c r="D8289" s="1"/>
    </row>
    <row r="8290" spans="3:4" x14ac:dyDescent="0.25">
      <c r="C8290" s="1"/>
      <c r="D8290" s="1"/>
    </row>
    <row r="8291" spans="3:4" x14ac:dyDescent="0.25">
      <c r="C8291" s="1"/>
      <c r="D8291" s="1"/>
    </row>
    <row r="8292" spans="3:4" x14ac:dyDescent="0.25">
      <c r="C8292" s="1"/>
      <c r="D8292" s="1"/>
    </row>
    <row r="8293" spans="3:4" x14ac:dyDescent="0.25">
      <c r="C8293" s="1"/>
      <c r="D8293" s="1"/>
    </row>
    <row r="8294" spans="3:4" x14ac:dyDescent="0.25">
      <c r="C8294" s="1"/>
      <c r="D8294" s="1"/>
    </row>
    <row r="8295" spans="3:4" x14ac:dyDescent="0.25">
      <c r="C8295" s="1"/>
      <c r="D8295" s="1"/>
    </row>
    <row r="8296" spans="3:4" x14ac:dyDescent="0.25">
      <c r="C8296" s="1"/>
      <c r="D8296" s="1"/>
    </row>
    <row r="8297" spans="3:4" x14ac:dyDescent="0.25">
      <c r="C8297" s="1"/>
      <c r="D8297" s="1"/>
    </row>
    <row r="8298" spans="3:4" x14ac:dyDescent="0.25">
      <c r="C8298" s="1"/>
      <c r="D8298" s="1"/>
    </row>
    <row r="8299" spans="3:4" x14ac:dyDescent="0.25">
      <c r="C8299" s="1"/>
      <c r="D8299" s="1"/>
    </row>
    <row r="8300" spans="3:4" x14ac:dyDescent="0.25">
      <c r="C8300" s="1"/>
      <c r="D8300" s="1"/>
    </row>
    <row r="8301" spans="3:4" x14ac:dyDescent="0.25">
      <c r="C8301" s="1"/>
      <c r="D8301" s="1"/>
    </row>
    <row r="8302" spans="3:4" x14ac:dyDescent="0.25">
      <c r="C8302" s="1"/>
      <c r="D8302" s="1"/>
    </row>
    <row r="8303" spans="3:4" x14ac:dyDescent="0.25">
      <c r="C8303" s="1"/>
      <c r="D8303" s="1"/>
    </row>
    <row r="8304" spans="3:4" x14ac:dyDescent="0.25">
      <c r="C8304" s="1"/>
      <c r="D8304" s="1"/>
    </row>
    <row r="8305" spans="3:4" x14ac:dyDescent="0.25">
      <c r="C8305" s="1"/>
      <c r="D8305" s="1"/>
    </row>
    <row r="8306" spans="3:4" x14ac:dyDescent="0.25">
      <c r="C8306" s="1"/>
      <c r="D8306" s="1"/>
    </row>
    <row r="8307" spans="3:4" x14ac:dyDescent="0.25">
      <c r="C8307" s="1"/>
      <c r="D8307" s="1"/>
    </row>
    <row r="8308" spans="3:4" x14ac:dyDescent="0.25">
      <c r="C8308" s="1"/>
      <c r="D8308" s="1"/>
    </row>
    <row r="8309" spans="3:4" x14ac:dyDescent="0.25">
      <c r="C8309" s="1"/>
      <c r="D8309" s="1"/>
    </row>
    <row r="8310" spans="3:4" x14ac:dyDescent="0.25">
      <c r="C8310" s="1"/>
      <c r="D8310" s="1"/>
    </row>
    <row r="8311" spans="3:4" x14ac:dyDescent="0.25">
      <c r="C8311" s="1"/>
      <c r="D8311" s="1"/>
    </row>
    <row r="8312" spans="3:4" x14ac:dyDescent="0.25">
      <c r="C8312" s="1"/>
      <c r="D8312" s="1"/>
    </row>
    <row r="8313" spans="3:4" x14ac:dyDescent="0.25">
      <c r="C8313" s="1"/>
      <c r="D8313" s="1"/>
    </row>
    <row r="8314" spans="3:4" x14ac:dyDescent="0.25">
      <c r="C8314" s="1"/>
      <c r="D8314" s="1"/>
    </row>
    <row r="8315" spans="3:4" x14ac:dyDescent="0.25">
      <c r="C8315" s="1"/>
      <c r="D8315" s="1"/>
    </row>
    <row r="8316" spans="3:4" x14ac:dyDescent="0.25">
      <c r="C8316" s="1"/>
      <c r="D8316" s="1"/>
    </row>
    <row r="8317" spans="3:4" x14ac:dyDescent="0.25">
      <c r="C8317" s="1"/>
      <c r="D8317" s="1"/>
    </row>
    <row r="8318" spans="3:4" x14ac:dyDescent="0.25">
      <c r="C8318" s="1"/>
      <c r="D8318" s="1"/>
    </row>
    <row r="8319" spans="3:4" x14ac:dyDescent="0.25">
      <c r="C8319" s="1"/>
      <c r="D8319" s="1"/>
    </row>
    <row r="8320" spans="3:4" x14ac:dyDescent="0.25">
      <c r="C8320" s="1"/>
      <c r="D8320" s="1"/>
    </row>
    <row r="8321" spans="3:4" x14ac:dyDescent="0.25">
      <c r="C8321" s="1"/>
      <c r="D8321" s="1"/>
    </row>
    <row r="8322" spans="3:4" x14ac:dyDescent="0.25">
      <c r="C8322" s="1"/>
      <c r="D8322" s="1"/>
    </row>
    <row r="8323" spans="3:4" x14ac:dyDescent="0.25">
      <c r="C8323" s="1"/>
      <c r="D8323" s="1"/>
    </row>
    <row r="8324" spans="3:4" x14ac:dyDescent="0.25">
      <c r="C8324" s="1"/>
      <c r="D8324" s="1"/>
    </row>
    <row r="8325" spans="3:4" x14ac:dyDescent="0.25">
      <c r="C8325" s="1"/>
      <c r="D8325" s="1"/>
    </row>
    <row r="8326" spans="3:4" x14ac:dyDescent="0.25">
      <c r="C8326" s="1"/>
      <c r="D8326" s="1"/>
    </row>
    <row r="8327" spans="3:4" x14ac:dyDescent="0.25">
      <c r="C8327" s="1"/>
      <c r="D8327" s="1"/>
    </row>
    <row r="8328" spans="3:4" x14ac:dyDescent="0.25">
      <c r="C8328" s="1"/>
      <c r="D8328" s="1"/>
    </row>
    <row r="8329" spans="3:4" x14ac:dyDescent="0.25">
      <c r="C8329" s="1"/>
      <c r="D8329" s="1"/>
    </row>
    <row r="8330" spans="3:4" x14ac:dyDescent="0.25">
      <c r="C8330" s="1"/>
      <c r="D8330" s="1"/>
    </row>
    <row r="8331" spans="3:4" x14ac:dyDescent="0.25">
      <c r="C8331" s="1"/>
      <c r="D8331" s="1"/>
    </row>
    <row r="8332" spans="3:4" x14ac:dyDescent="0.25">
      <c r="C8332" s="1"/>
      <c r="D8332" s="1"/>
    </row>
    <row r="8333" spans="3:4" x14ac:dyDescent="0.25">
      <c r="C8333" s="1"/>
      <c r="D8333" s="1"/>
    </row>
    <row r="8334" spans="3:4" x14ac:dyDescent="0.25">
      <c r="C8334" s="1"/>
      <c r="D8334" s="1"/>
    </row>
    <row r="8335" spans="3:4" x14ac:dyDescent="0.25">
      <c r="C8335" s="1"/>
      <c r="D8335" s="1"/>
    </row>
    <row r="8336" spans="3:4" x14ac:dyDescent="0.25">
      <c r="C8336" s="1"/>
      <c r="D8336" s="1"/>
    </row>
    <row r="8337" spans="3:4" x14ac:dyDescent="0.25">
      <c r="C8337" s="1"/>
      <c r="D8337" s="1"/>
    </row>
    <row r="8338" spans="3:4" x14ac:dyDescent="0.25">
      <c r="C8338" s="1"/>
      <c r="D8338" s="1"/>
    </row>
    <row r="8339" spans="3:4" x14ac:dyDescent="0.25">
      <c r="C8339" s="1"/>
      <c r="D8339" s="1"/>
    </row>
    <row r="8340" spans="3:4" x14ac:dyDescent="0.25">
      <c r="C8340" s="1"/>
      <c r="D8340" s="1"/>
    </row>
    <row r="8341" spans="3:4" x14ac:dyDescent="0.25">
      <c r="C8341" s="1"/>
      <c r="D8341" s="1"/>
    </row>
    <row r="8342" spans="3:4" x14ac:dyDescent="0.25">
      <c r="C8342" s="1"/>
      <c r="D8342" s="1"/>
    </row>
    <row r="8343" spans="3:4" x14ac:dyDescent="0.25">
      <c r="C8343" s="1"/>
      <c r="D8343" s="1"/>
    </row>
    <row r="8344" spans="3:4" x14ac:dyDescent="0.25">
      <c r="C8344" s="1"/>
      <c r="D8344" s="1"/>
    </row>
    <row r="8345" spans="3:4" x14ac:dyDescent="0.25">
      <c r="C8345" s="1"/>
      <c r="D8345" s="1"/>
    </row>
    <row r="8346" spans="3:4" x14ac:dyDescent="0.25">
      <c r="C8346" s="1"/>
      <c r="D8346" s="1"/>
    </row>
    <row r="8347" spans="3:4" x14ac:dyDescent="0.25">
      <c r="C8347" s="1"/>
      <c r="D8347" s="1"/>
    </row>
    <row r="8348" spans="3:4" x14ac:dyDescent="0.25">
      <c r="C8348" s="1"/>
      <c r="D8348" s="1"/>
    </row>
    <row r="8349" spans="3:4" x14ac:dyDescent="0.25">
      <c r="C8349" s="1"/>
      <c r="D8349" s="1"/>
    </row>
    <row r="8350" spans="3:4" x14ac:dyDescent="0.25">
      <c r="C8350" s="1"/>
      <c r="D8350" s="1"/>
    </row>
    <row r="8351" spans="3:4" x14ac:dyDescent="0.25">
      <c r="C8351" s="1"/>
      <c r="D8351" s="1"/>
    </row>
    <row r="8352" spans="3:4" x14ac:dyDescent="0.25">
      <c r="C8352" s="1"/>
      <c r="D8352" s="1"/>
    </row>
    <row r="8353" spans="3:4" x14ac:dyDescent="0.25">
      <c r="C8353" s="1"/>
      <c r="D8353" s="1"/>
    </row>
    <row r="8354" spans="3:4" x14ac:dyDescent="0.25">
      <c r="C8354" s="1"/>
      <c r="D8354" s="1"/>
    </row>
    <row r="8355" spans="3:4" x14ac:dyDescent="0.25">
      <c r="C8355" s="1"/>
      <c r="D8355" s="1"/>
    </row>
    <row r="8356" spans="3:4" x14ac:dyDescent="0.25">
      <c r="C8356" s="1"/>
      <c r="D8356" s="1"/>
    </row>
    <row r="8357" spans="3:4" x14ac:dyDescent="0.25">
      <c r="C8357" s="1"/>
      <c r="D8357" s="1"/>
    </row>
    <row r="8358" spans="3:4" x14ac:dyDescent="0.25">
      <c r="C8358" s="1"/>
      <c r="D8358" s="1"/>
    </row>
    <row r="8359" spans="3:4" x14ac:dyDescent="0.25">
      <c r="C8359" s="1"/>
      <c r="D8359" s="1"/>
    </row>
    <row r="8360" spans="3:4" x14ac:dyDescent="0.25">
      <c r="C8360" s="1"/>
      <c r="D8360" s="1"/>
    </row>
    <row r="8361" spans="3:4" x14ac:dyDescent="0.25">
      <c r="C8361" s="1"/>
      <c r="D8361" s="1"/>
    </row>
    <row r="8362" spans="3:4" x14ac:dyDescent="0.25">
      <c r="C8362" s="1"/>
      <c r="D8362" s="1"/>
    </row>
    <row r="8363" spans="3:4" x14ac:dyDescent="0.25">
      <c r="C8363" s="1"/>
      <c r="D8363" s="1"/>
    </row>
    <row r="8364" spans="3:4" x14ac:dyDescent="0.25">
      <c r="C8364" s="1"/>
      <c r="D8364" s="1"/>
    </row>
    <row r="8365" spans="3:4" x14ac:dyDescent="0.25">
      <c r="C8365" s="1"/>
      <c r="D8365" s="1"/>
    </row>
    <row r="8366" spans="3:4" x14ac:dyDescent="0.25">
      <c r="C8366" s="1"/>
      <c r="D8366" s="1"/>
    </row>
    <row r="8367" spans="3:4" x14ac:dyDescent="0.25">
      <c r="C8367" s="1"/>
      <c r="D8367" s="1"/>
    </row>
    <row r="8368" spans="3:4" x14ac:dyDescent="0.25">
      <c r="C8368" s="1"/>
      <c r="D8368" s="1"/>
    </row>
    <row r="8369" spans="3:4" x14ac:dyDescent="0.25">
      <c r="C8369" s="1"/>
      <c r="D8369" s="1"/>
    </row>
    <row r="8370" spans="3:4" x14ac:dyDescent="0.25">
      <c r="C8370" s="1"/>
      <c r="D8370" s="1"/>
    </row>
    <row r="8371" spans="3:4" x14ac:dyDescent="0.25">
      <c r="C8371" s="1"/>
      <c r="D8371" s="1"/>
    </row>
    <row r="8372" spans="3:4" x14ac:dyDescent="0.25">
      <c r="C8372" s="1"/>
      <c r="D8372" s="1"/>
    </row>
    <row r="8373" spans="3:4" x14ac:dyDescent="0.25">
      <c r="C8373" s="1"/>
      <c r="D8373" s="1"/>
    </row>
    <row r="8374" spans="3:4" x14ac:dyDescent="0.25">
      <c r="C8374" s="1"/>
      <c r="D8374" s="1"/>
    </row>
    <row r="8375" spans="3:4" x14ac:dyDescent="0.25">
      <c r="C8375" s="1"/>
      <c r="D8375" s="1"/>
    </row>
    <row r="8376" spans="3:4" x14ac:dyDescent="0.25">
      <c r="C8376" s="1"/>
      <c r="D8376" s="1"/>
    </row>
    <row r="8377" spans="3:4" x14ac:dyDescent="0.25">
      <c r="C8377" s="1"/>
      <c r="D8377" s="1"/>
    </row>
    <row r="8378" spans="3:4" x14ac:dyDescent="0.25">
      <c r="C8378" s="1"/>
      <c r="D8378" s="1"/>
    </row>
    <row r="8379" spans="3:4" x14ac:dyDescent="0.25">
      <c r="C8379" s="1"/>
      <c r="D8379" s="1"/>
    </row>
    <row r="8380" spans="3:4" x14ac:dyDescent="0.25">
      <c r="C8380" s="1"/>
      <c r="D8380" s="1"/>
    </row>
    <row r="8381" spans="3:4" x14ac:dyDescent="0.25">
      <c r="C8381" s="1"/>
      <c r="D8381" s="1"/>
    </row>
    <row r="8382" spans="3:4" x14ac:dyDescent="0.25">
      <c r="C8382" s="1"/>
      <c r="D8382" s="1"/>
    </row>
    <row r="8383" spans="3:4" x14ac:dyDescent="0.25">
      <c r="C8383" s="1"/>
      <c r="D8383" s="1"/>
    </row>
    <row r="8384" spans="3:4" x14ac:dyDescent="0.25">
      <c r="C8384" s="1"/>
      <c r="D8384" s="1"/>
    </row>
    <row r="8385" spans="3:4" x14ac:dyDescent="0.25">
      <c r="C8385" s="1"/>
      <c r="D8385" s="1"/>
    </row>
    <row r="8386" spans="3:4" x14ac:dyDescent="0.25">
      <c r="C8386" s="1"/>
      <c r="D8386" s="1"/>
    </row>
    <row r="8387" spans="3:4" x14ac:dyDescent="0.25">
      <c r="C8387" s="1"/>
      <c r="D8387" s="1"/>
    </row>
    <row r="8388" spans="3:4" x14ac:dyDescent="0.25">
      <c r="C8388" s="1"/>
      <c r="D8388" s="1"/>
    </row>
    <row r="8389" spans="3:4" x14ac:dyDescent="0.25">
      <c r="C8389" s="1"/>
      <c r="D8389" s="1"/>
    </row>
    <row r="8390" spans="3:4" x14ac:dyDescent="0.25">
      <c r="C8390" s="1"/>
      <c r="D8390" s="1"/>
    </row>
    <row r="8391" spans="3:4" x14ac:dyDescent="0.25">
      <c r="C8391" s="1"/>
      <c r="D8391" s="1"/>
    </row>
    <row r="8392" spans="3:4" x14ac:dyDescent="0.25">
      <c r="C8392" s="1"/>
      <c r="D8392" s="1"/>
    </row>
    <row r="8393" spans="3:4" x14ac:dyDescent="0.25">
      <c r="C8393" s="1"/>
      <c r="D8393" s="1"/>
    </row>
    <row r="8394" spans="3:4" x14ac:dyDescent="0.25">
      <c r="C8394" s="1"/>
      <c r="D8394" s="1"/>
    </row>
    <row r="8395" spans="3:4" x14ac:dyDescent="0.25">
      <c r="C8395" s="1"/>
      <c r="D8395" s="1"/>
    </row>
    <row r="8396" spans="3:4" x14ac:dyDescent="0.25">
      <c r="C8396" s="1"/>
      <c r="D8396" s="1"/>
    </row>
    <row r="8397" spans="3:4" x14ac:dyDescent="0.25">
      <c r="C8397" s="1"/>
      <c r="D8397" s="1"/>
    </row>
    <row r="8398" spans="3:4" x14ac:dyDescent="0.25">
      <c r="C8398" s="1"/>
      <c r="D8398" s="1"/>
    </row>
    <row r="8399" spans="3:4" x14ac:dyDescent="0.25">
      <c r="C8399" s="1"/>
      <c r="D8399" s="1"/>
    </row>
    <row r="8400" spans="3:4" x14ac:dyDescent="0.25">
      <c r="C8400" s="1"/>
      <c r="D8400" s="1"/>
    </row>
    <row r="8401" spans="3:4" x14ac:dyDescent="0.25">
      <c r="C8401" s="1"/>
      <c r="D8401" s="1"/>
    </row>
    <row r="8402" spans="3:4" x14ac:dyDescent="0.25">
      <c r="C8402" s="1"/>
      <c r="D8402" s="1"/>
    </row>
    <row r="8403" spans="3:4" x14ac:dyDescent="0.25">
      <c r="C8403" s="1"/>
      <c r="D8403" s="1"/>
    </row>
    <row r="8404" spans="3:4" x14ac:dyDescent="0.25">
      <c r="C8404" s="1"/>
      <c r="D8404" s="1"/>
    </row>
    <row r="8405" spans="3:4" x14ac:dyDescent="0.25">
      <c r="C8405" s="1"/>
      <c r="D8405" s="1"/>
    </row>
    <row r="8406" spans="3:4" x14ac:dyDescent="0.25">
      <c r="C8406" s="1"/>
      <c r="D8406" s="1"/>
    </row>
    <row r="8407" spans="3:4" x14ac:dyDescent="0.25">
      <c r="C8407" s="1"/>
      <c r="D8407" s="1"/>
    </row>
    <row r="8408" spans="3:4" x14ac:dyDescent="0.25">
      <c r="C8408" s="1"/>
      <c r="D8408" s="1"/>
    </row>
    <row r="8409" spans="3:4" x14ac:dyDescent="0.25">
      <c r="C8409" s="1"/>
      <c r="D8409" s="1"/>
    </row>
    <row r="8410" spans="3:4" x14ac:dyDescent="0.25">
      <c r="C8410" s="1"/>
      <c r="D8410" s="1"/>
    </row>
    <row r="8411" spans="3:4" x14ac:dyDescent="0.25">
      <c r="C8411" s="1"/>
      <c r="D8411" s="1"/>
    </row>
    <row r="8412" spans="3:4" x14ac:dyDescent="0.25">
      <c r="C8412" s="1"/>
      <c r="D8412" s="1"/>
    </row>
    <row r="8413" spans="3:4" x14ac:dyDescent="0.25">
      <c r="C8413" s="1"/>
      <c r="D8413" s="1"/>
    </row>
    <row r="8414" spans="3:4" x14ac:dyDescent="0.25">
      <c r="C8414" s="1"/>
      <c r="D8414" s="1"/>
    </row>
    <row r="8415" spans="3:4" x14ac:dyDescent="0.25">
      <c r="C8415" s="1"/>
      <c r="D8415" s="1"/>
    </row>
    <row r="8416" spans="3:4" x14ac:dyDescent="0.25">
      <c r="C8416" s="1"/>
      <c r="D8416" s="1"/>
    </row>
    <row r="8417" spans="3:4" x14ac:dyDescent="0.25">
      <c r="C8417" s="1"/>
      <c r="D8417" s="1"/>
    </row>
    <row r="8418" spans="3:4" x14ac:dyDescent="0.25">
      <c r="C8418" s="1"/>
      <c r="D8418" s="1"/>
    </row>
    <row r="8419" spans="3:4" x14ac:dyDescent="0.25">
      <c r="C8419" s="1"/>
      <c r="D8419" s="1"/>
    </row>
    <row r="8420" spans="3:4" x14ac:dyDescent="0.25">
      <c r="C8420" s="1"/>
      <c r="D8420" s="1"/>
    </row>
    <row r="8421" spans="3:4" x14ac:dyDescent="0.25">
      <c r="C8421" s="1"/>
      <c r="D8421" s="1"/>
    </row>
    <row r="8422" spans="3:4" x14ac:dyDescent="0.25">
      <c r="C8422" s="1"/>
      <c r="D8422" s="1"/>
    </row>
    <row r="8423" spans="3:4" x14ac:dyDescent="0.25">
      <c r="C8423" s="1"/>
      <c r="D8423" s="1"/>
    </row>
    <row r="8424" spans="3:4" x14ac:dyDescent="0.25">
      <c r="C8424" s="1"/>
      <c r="D8424" s="1"/>
    </row>
    <row r="8425" spans="3:4" x14ac:dyDescent="0.25">
      <c r="C8425" s="1"/>
      <c r="D8425" s="1"/>
    </row>
    <row r="8426" spans="3:4" x14ac:dyDescent="0.25">
      <c r="C8426" s="1"/>
      <c r="D8426" s="1"/>
    </row>
    <row r="8427" spans="3:4" x14ac:dyDescent="0.25">
      <c r="C8427" s="1"/>
      <c r="D8427" s="1"/>
    </row>
    <row r="8428" spans="3:4" x14ac:dyDescent="0.25">
      <c r="C8428" s="1"/>
      <c r="D8428" s="1"/>
    </row>
    <row r="8429" spans="3:4" x14ac:dyDescent="0.25">
      <c r="C8429" s="1"/>
      <c r="D8429" s="1"/>
    </row>
    <row r="8430" spans="3:4" x14ac:dyDescent="0.25">
      <c r="C8430" s="1"/>
      <c r="D8430" s="1"/>
    </row>
    <row r="8431" spans="3:4" x14ac:dyDescent="0.25">
      <c r="C8431" s="1"/>
      <c r="D8431" s="1"/>
    </row>
    <row r="8432" spans="3:4" x14ac:dyDescent="0.25">
      <c r="C8432" s="1"/>
      <c r="D8432" s="1"/>
    </row>
    <row r="8433" spans="3:4" x14ac:dyDescent="0.25">
      <c r="C8433" s="1"/>
      <c r="D8433" s="1"/>
    </row>
    <row r="8434" spans="3:4" x14ac:dyDescent="0.25">
      <c r="C8434" s="1"/>
      <c r="D8434" s="1"/>
    </row>
    <row r="8435" spans="3:4" x14ac:dyDescent="0.25">
      <c r="C8435" s="1"/>
      <c r="D8435" s="1"/>
    </row>
    <row r="8436" spans="3:4" x14ac:dyDescent="0.25">
      <c r="C8436" s="1"/>
      <c r="D8436" s="1"/>
    </row>
    <row r="8437" spans="3:4" x14ac:dyDescent="0.25">
      <c r="C8437" s="1"/>
      <c r="D8437" s="1"/>
    </row>
    <row r="8438" spans="3:4" x14ac:dyDescent="0.25">
      <c r="C8438" s="1"/>
      <c r="D8438" s="1"/>
    </row>
    <row r="8439" spans="3:4" x14ac:dyDescent="0.25">
      <c r="C8439" s="1"/>
      <c r="D8439" s="1"/>
    </row>
    <row r="8440" spans="3:4" x14ac:dyDescent="0.25">
      <c r="C8440" s="1"/>
      <c r="D8440" s="1"/>
    </row>
    <row r="8441" spans="3:4" x14ac:dyDescent="0.25">
      <c r="C8441" s="1"/>
      <c r="D8441" s="1"/>
    </row>
    <row r="8442" spans="3:4" x14ac:dyDescent="0.25">
      <c r="C8442" s="1"/>
      <c r="D8442" s="1"/>
    </row>
    <row r="8443" spans="3:4" x14ac:dyDescent="0.25">
      <c r="C8443" s="1"/>
      <c r="D8443" s="1"/>
    </row>
    <row r="8444" spans="3:4" x14ac:dyDescent="0.25">
      <c r="C8444" s="1"/>
      <c r="D8444" s="1"/>
    </row>
    <row r="8445" spans="3:4" x14ac:dyDescent="0.25">
      <c r="C8445" s="1"/>
      <c r="D8445" s="1"/>
    </row>
    <row r="8446" spans="3:4" x14ac:dyDescent="0.25">
      <c r="C8446" s="1"/>
      <c r="D8446" s="1"/>
    </row>
    <row r="8447" spans="3:4" x14ac:dyDescent="0.25">
      <c r="C8447" s="1"/>
      <c r="D8447" s="1"/>
    </row>
    <row r="8448" spans="3:4" x14ac:dyDescent="0.25">
      <c r="C8448" s="1"/>
      <c r="D8448" s="1"/>
    </row>
    <row r="8449" spans="3:4" x14ac:dyDescent="0.25">
      <c r="C8449" s="1"/>
      <c r="D8449" s="1"/>
    </row>
    <row r="8450" spans="3:4" x14ac:dyDescent="0.25">
      <c r="C8450" s="1"/>
      <c r="D8450" s="1"/>
    </row>
    <row r="8451" spans="3:4" x14ac:dyDescent="0.25">
      <c r="C8451" s="1"/>
      <c r="D8451" s="1"/>
    </row>
    <row r="8452" spans="3:4" x14ac:dyDescent="0.25">
      <c r="C8452" s="1"/>
      <c r="D8452" s="1"/>
    </row>
    <row r="8453" spans="3:4" x14ac:dyDescent="0.25">
      <c r="C8453" s="1"/>
      <c r="D8453" s="1"/>
    </row>
    <row r="8454" spans="3:4" x14ac:dyDescent="0.25">
      <c r="C8454" s="1"/>
      <c r="D8454" s="1"/>
    </row>
    <row r="8455" spans="3:4" x14ac:dyDescent="0.25">
      <c r="C8455" s="1"/>
      <c r="D8455" s="1"/>
    </row>
    <row r="8456" spans="3:4" x14ac:dyDescent="0.25">
      <c r="C8456" s="1"/>
      <c r="D8456" s="1"/>
    </row>
    <row r="8457" spans="3:4" x14ac:dyDescent="0.25">
      <c r="C8457" s="1"/>
      <c r="D8457" s="1"/>
    </row>
    <row r="8458" spans="3:4" x14ac:dyDescent="0.25">
      <c r="C8458" s="1"/>
      <c r="D8458" s="1"/>
    </row>
    <row r="8459" spans="3:4" x14ac:dyDescent="0.25">
      <c r="C8459" s="1"/>
      <c r="D8459" s="1"/>
    </row>
    <row r="8460" spans="3:4" x14ac:dyDescent="0.25">
      <c r="C8460" s="1"/>
      <c r="D8460" s="1"/>
    </row>
    <row r="8461" spans="3:4" x14ac:dyDescent="0.25">
      <c r="C8461" s="1"/>
      <c r="D8461" s="1"/>
    </row>
    <row r="8462" spans="3:4" x14ac:dyDescent="0.25">
      <c r="C8462" s="1"/>
      <c r="D8462" s="1"/>
    </row>
    <row r="8463" spans="3:4" x14ac:dyDescent="0.25">
      <c r="C8463" s="1"/>
      <c r="D8463" s="1"/>
    </row>
    <row r="8464" spans="3:4" x14ac:dyDescent="0.25">
      <c r="C8464" s="1"/>
      <c r="D8464" s="1"/>
    </row>
    <row r="8465" spans="3:4" x14ac:dyDescent="0.25">
      <c r="C8465" s="1"/>
      <c r="D8465" s="1"/>
    </row>
    <row r="8466" spans="3:4" x14ac:dyDescent="0.25">
      <c r="C8466" s="1"/>
      <c r="D8466" s="1"/>
    </row>
    <row r="8467" spans="3:4" x14ac:dyDescent="0.25">
      <c r="C8467" s="1"/>
      <c r="D8467" s="1"/>
    </row>
    <row r="8468" spans="3:4" x14ac:dyDescent="0.25">
      <c r="C8468" s="1"/>
      <c r="D8468" s="1"/>
    </row>
    <row r="8469" spans="3:4" x14ac:dyDescent="0.25">
      <c r="C8469" s="1"/>
      <c r="D8469" s="1"/>
    </row>
    <row r="8470" spans="3:4" x14ac:dyDescent="0.25">
      <c r="C8470" s="1"/>
      <c r="D8470" s="1"/>
    </row>
    <row r="8471" spans="3:4" x14ac:dyDescent="0.25">
      <c r="C8471" s="1"/>
      <c r="D8471" s="1"/>
    </row>
    <row r="8472" spans="3:4" x14ac:dyDescent="0.25">
      <c r="C8472" s="1"/>
      <c r="D8472" s="1"/>
    </row>
    <row r="8473" spans="3:4" x14ac:dyDescent="0.25">
      <c r="C8473" s="1"/>
      <c r="D8473" s="1"/>
    </row>
    <row r="8474" spans="3:4" x14ac:dyDescent="0.25">
      <c r="C8474" s="1"/>
      <c r="D8474" s="1"/>
    </row>
    <row r="8475" spans="3:4" x14ac:dyDescent="0.25">
      <c r="C8475" s="1"/>
      <c r="D8475" s="1"/>
    </row>
    <row r="8476" spans="3:4" x14ac:dyDescent="0.25">
      <c r="C8476" s="1"/>
      <c r="D8476" s="1"/>
    </row>
    <row r="8477" spans="3:4" x14ac:dyDescent="0.25">
      <c r="C8477" s="1"/>
      <c r="D8477" s="1"/>
    </row>
    <row r="8478" spans="3:4" x14ac:dyDescent="0.25">
      <c r="C8478" s="1"/>
      <c r="D8478" s="1"/>
    </row>
    <row r="8479" spans="3:4" x14ac:dyDescent="0.25">
      <c r="C8479" s="1"/>
      <c r="D8479" s="1"/>
    </row>
    <row r="8480" spans="3:4" x14ac:dyDescent="0.25">
      <c r="C8480" s="1"/>
      <c r="D8480" s="1"/>
    </row>
    <row r="8481" spans="3:4" x14ac:dyDescent="0.25">
      <c r="C8481" s="1"/>
      <c r="D8481" s="1"/>
    </row>
    <row r="8482" spans="3:4" x14ac:dyDescent="0.25">
      <c r="C8482" s="1"/>
      <c r="D8482" s="1"/>
    </row>
    <row r="8483" spans="3:4" x14ac:dyDescent="0.25">
      <c r="C8483" s="1"/>
      <c r="D8483" s="1"/>
    </row>
    <row r="8484" spans="3:4" x14ac:dyDescent="0.25">
      <c r="C8484" s="1"/>
      <c r="D8484" s="1"/>
    </row>
    <row r="8485" spans="3:4" x14ac:dyDescent="0.25">
      <c r="C8485" s="1"/>
      <c r="D8485" s="1"/>
    </row>
    <row r="8486" spans="3:4" x14ac:dyDescent="0.25">
      <c r="C8486" s="1"/>
      <c r="D8486" s="1"/>
    </row>
    <row r="8487" spans="3:4" x14ac:dyDescent="0.25">
      <c r="C8487" s="1"/>
      <c r="D8487" s="1"/>
    </row>
    <row r="8488" spans="3:4" x14ac:dyDescent="0.25">
      <c r="C8488" s="1"/>
      <c r="D8488" s="1"/>
    </row>
    <row r="8489" spans="3:4" x14ac:dyDescent="0.25">
      <c r="C8489" s="1"/>
      <c r="D8489" s="1"/>
    </row>
    <row r="8490" spans="3:4" x14ac:dyDescent="0.25">
      <c r="C8490" s="1"/>
      <c r="D8490" s="1"/>
    </row>
    <row r="8491" spans="3:4" x14ac:dyDescent="0.25">
      <c r="C8491" s="1"/>
      <c r="D8491" s="1"/>
    </row>
    <row r="8492" spans="3:4" x14ac:dyDescent="0.25">
      <c r="C8492" s="1"/>
      <c r="D8492" s="1"/>
    </row>
    <row r="8493" spans="3:4" x14ac:dyDescent="0.25">
      <c r="C8493" s="1"/>
      <c r="D8493" s="1"/>
    </row>
    <row r="8494" spans="3:4" x14ac:dyDescent="0.25">
      <c r="C8494" s="1"/>
      <c r="D8494" s="1"/>
    </row>
    <row r="8495" spans="3:4" x14ac:dyDescent="0.25">
      <c r="C8495" s="1"/>
      <c r="D8495" s="1"/>
    </row>
    <row r="8496" spans="3:4" x14ac:dyDescent="0.25">
      <c r="C8496" s="1"/>
      <c r="D8496" s="1"/>
    </row>
    <row r="8497" spans="3:4" x14ac:dyDescent="0.25">
      <c r="C8497" s="1"/>
      <c r="D8497" s="1"/>
    </row>
    <row r="8498" spans="3:4" x14ac:dyDescent="0.25">
      <c r="C8498" s="1"/>
      <c r="D8498" s="1"/>
    </row>
    <row r="8499" spans="3:4" x14ac:dyDescent="0.25">
      <c r="C8499" s="1"/>
      <c r="D8499" s="1"/>
    </row>
    <row r="8500" spans="3:4" x14ac:dyDescent="0.25">
      <c r="C8500" s="1"/>
      <c r="D8500" s="1"/>
    </row>
    <row r="8501" spans="3:4" x14ac:dyDescent="0.25">
      <c r="C8501" s="1"/>
      <c r="D8501" s="1"/>
    </row>
    <row r="8502" spans="3:4" x14ac:dyDescent="0.25">
      <c r="C8502" s="1"/>
      <c r="D8502" s="1"/>
    </row>
    <row r="8503" spans="3:4" x14ac:dyDescent="0.25">
      <c r="C8503" s="1"/>
      <c r="D8503" s="1"/>
    </row>
    <row r="8504" spans="3:4" x14ac:dyDescent="0.25">
      <c r="C8504" s="1"/>
      <c r="D8504" s="1"/>
    </row>
    <row r="8505" spans="3:4" x14ac:dyDescent="0.25">
      <c r="C8505" s="1"/>
      <c r="D8505" s="1"/>
    </row>
    <row r="8506" spans="3:4" x14ac:dyDescent="0.25">
      <c r="C8506" s="1"/>
      <c r="D8506" s="1"/>
    </row>
    <row r="8507" spans="3:4" x14ac:dyDescent="0.25">
      <c r="C8507" s="1"/>
      <c r="D8507" s="1"/>
    </row>
    <row r="8508" spans="3:4" x14ac:dyDescent="0.25">
      <c r="C8508" s="1"/>
      <c r="D8508" s="1"/>
    </row>
    <row r="8509" spans="3:4" x14ac:dyDescent="0.25">
      <c r="C8509" s="1"/>
      <c r="D8509" s="1"/>
    </row>
    <row r="8510" spans="3:4" x14ac:dyDescent="0.25">
      <c r="C8510" s="1"/>
      <c r="D8510" s="1"/>
    </row>
    <row r="8511" spans="3:4" x14ac:dyDescent="0.25">
      <c r="C8511" s="1"/>
      <c r="D8511" s="1"/>
    </row>
    <row r="8512" spans="3:4" x14ac:dyDescent="0.25">
      <c r="C8512" s="1"/>
      <c r="D8512" s="1"/>
    </row>
    <row r="8513" spans="3:4" x14ac:dyDescent="0.25">
      <c r="C8513" s="1"/>
      <c r="D8513" s="1"/>
    </row>
    <row r="8514" spans="3:4" x14ac:dyDescent="0.25">
      <c r="C8514" s="1"/>
      <c r="D8514" s="1"/>
    </row>
    <row r="8515" spans="3:4" x14ac:dyDescent="0.25">
      <c r="C8515" s="1"/>
      <c r="D8515" s="1"/>
    </row>
    <row r="8516" spans="3:4" x14ac:dyDescent="0.25">
      <c r="C8516" s="1"/>
      <c r="D8516" s="1"/>
    </row>
    <row r="8517" spans="3:4" x14ac:dyDescent="0.25">
      <c r="C8517" s="1"/>
      <c r="D8517" s="1"/>
    </row>
    <row r="8518" spans="3:4" x14ac:dyDescent="0.25">
      <c r="C8518" s="1"/>
      <c r="D8518" s="1"/>
    </row>
    <row r="8519" spans="3:4" x14ac:dyDescent="0.25">
      <c r="C8519" s="1"/>
      <c r="D8519" s="1"/>
    </row>
    <row r="8520" spans="3:4" x14ac:dyDescent="0.25">
      <c r="C8520" s="1"/>
      <c r="D8520" s="1"/>
    </row>
    <row r="8521" spans="3:4" x14ac:dyDescent="0.25">
      <c r="C8521" s="1"/>
      <c r="D8521" s="1"/>
    </row>
    <row r="8522" spans="3:4" x14ac:dyDescent="0.25">
      <c r="C8522" s="1"/>
      <c r="D8522" s="1"/>
    </row>
    <row r="8523" spans="3:4" x14ac:dyDescent="0.25">
      <c r="C8523" s="1"/>
      <c r="D8523" s="1"/>
    </row>
    <row r="8524" spans="3:4" x14ac:dyDescent="0.25">
      <c r="C8524" s="1"/>
      <c r="D8524" s="1"/>
    </row>
    <row r="8525" spans="3:4" x14ac:dyDescent="0.25">
      <c r="C8525" s="1"/>
      <c r="D8525" s="1"/>
    </row>
    <row r="8526" spans="3:4" x14ac:dyDescent="0.25">
      <c r="C8526" s="1"/>
      <c r="D8526" s="1"/>
    </row>
    <row r="8527" spans="3:4" x14ac:dyDescent="0.25">
      <c r="C8527" s="1"/>
      <c r="D8527" s="1"/>
    </row>
    <row r="8528" spans="3:4" x14ac:dyDescent="0.25">
      <c r="C8528" s="1"/>
      <c r="D8528" s="1"/>
    </row>
    <row r="8529" spans="3:4" x14ac:dyDescent="0.25">
      <c r="C8529" s="1"/>
      <c r="D8529" s="1"/>
    </row>
    <row r="8530" spans="3:4" x14ac:dyDescent="0.25">
      <c r="C8530" s="1"/>
      <c r="D8530" s="1"/>
    </row>
    <row r="8531" spans="3:4" x14ac:dyDescent="0.25">
      <c r="C8531" s="1"/>
      <c r="D8531" s="1"/>
    </row>
    <row r="8532" spans="3:4" x14ac:dyDescent="0.25">
      <c r="C8532" s="1"/>
      <c r="D8532" s="1"/>
    </row>
    <row r="8533" spans="3:4" x14ac:dyDescent="0.25">
      <c r="C8533" s="1"/>
      <c r="D8533" s="1"/>
    </row>
    <row r="8534" spans="3:4" x14ac:dyDescent="0.25">
      <c r="C8534" s="1"/>
      <c r="D8534" s="1"/>
    </row>
    <row r="8535" spans="3:4" x14ac:dyDescent="0.25">
      <c r="C8535" s="1"/>
      <c r="D8535" s="1"/>
    </row>
    <row r="8536" spans="3:4" x14ac:dyDescent="0.25">
      <c r="C8536" s="1"/>
      <c r="D8536" s="1"/>
    </row>
    <row r="8537" spans="3:4" x14ac:dyDescent="0.25">
      <c r="C8537" s="1"/>
      <c r="D8537" s="1"/>
    </row>
    <row r="8538" spans="3:4" x14ac:dyDescent="0.25">
      <c r="C8538" s="1"/>
      <c r="D8538" s="1"/>
    </row>
    <row r="8539" spans="3:4" x14ac:dyDescent="0.25">
      <c r="C8539" s="1"/>
      <c r="D8539" s="1"/>
    </row>
    <row r="8540" spans="3:4" x14ac:dyDescent="0.25">
      <c r="C8540" s="1"/>
      <c r="D8540" s="1"/>
    </row>
    <row r="8541" spans="3:4" x14ac:dyDescent="0.25">
      <c r="C8541" s="1"/>
      <c r="D8541" s="1"/>
    </row>
    <row r="8542" spans="3:4" x14ac:dyDescent="0.25">
      <c r="C8542" s="1"/>
      <c r="D8542" s="1"/>
    </row>
    <row r="8543" spans="3:4" x14ac:dyDescent="0.25">
      <c r="C8543" s="1"/>
      <c r="D8543" s="1"/>
    </row>
    <row r="8544" spans="3:4" x14ac:dyDescent="0.25">
      <c r="C8544" s="1"/>
      <c r="D8544" s="1"/>
    </row>
    <row r="8545" spans="3:4" x14ac:dyDescent="0.25">
      <c r="C8545" s="1"/>
      <c r="D8545" s="1"/>
    </row>
    <row r="8546" spans="3:4" x14ac:dyDescent="0.25">
      <c r="C8546" s="1"/>
      <c r="D8546" s="1"/>
    </row>
    <row r="8547" spans="3:4" x14ac:dyDescent="0.25">
      <c r="C8547" s="1"/>
      <c r="D8547" s="1"/>
    </row>
    <row r="8548" spans="3:4" x14ac:dyDescent="0.25">
      <c r="C8548" s="1"/>
      <c r="D8548" s="1"/>
    </row>
    <row r="8549" spans="3:4" x14ac:dyDescent="0.25">
      <c r="C8549" s="1"/>
      <c r="D8549" s="1"/>
    </row>
    <row r="8550" spans="3:4" x14ac:dyDescent="0.25">
      <c r="C8550" s="1"/>
      <c r="D8550" s="1"/>
    </row>
    <row r="8551" spans="3:4" x14ac:dyDescent="0.25">
      <c r="C8551" s="1"/>
      <c r="D8551" s="1"/>
    </row>
    <row r="8552" spans="3:4" x14ac:dyDescent="0.25">
      <c r="C8552" s="1"/>
      <c r="D8552" s="1"/>
    </row>
    <row r="8553" spans="3:4" x14ac:dyDescent="0.25">
      <c r="C8553" s="1"/>
      <c r="D8553" s="1"/>
    </row>
    <row r="8554" spans="3:4" x14ac:dyDescent="0.25">
      <c r="C8554" s="1"/>
      <c r="D8554" s="1"/>
    </row>
    <row r="8555" spans="3:4" x14ac:dyDescent="0.25">
      <c r="C8555" s="1"/>
      <c r="D8555" s="1"/>
    </row>
    <row r="8556" spans="3:4" x14ac:dyDescent="0.25">
      <c r="C8556" s="1"/>
      <c r="D8556" s="1"/>
    </row>
    <row r="8557" spans="3:4" x14ac:dyDescent="0.25">
      <c r="C8557" s="1"/>
      <c r="D8557" s="1"/>
    </row>
    <row r="8558" spans="3:4" x14ac:dyDescent="0.25">
      <c r="C8558" s="1"/>
      <c r="D8558" s="1"/>
    </row>
    <row r="8559" spans="3:4" x14ac:dyDescent="0.25">
      <c r="C8559" s="1"/>
      <c r="D8559" s="1"/>
    </row>
    <row r="8560" spans="3:4" x14ac:dyDescent="0.25">
      <c r="C8560" s="1"/>
      <c r="D8560" s="1"/>
    </row>
    <row r="8561" spans="3:4" x14ac:dyDescent="0.25">
      <c r="C8561" s="1"/>
      <c r="D8561" s="1"/>
    </row>
    <row r="8562" spans="3:4" x14ac:dyDescent="0.25">
      <c r="C8562" s="1"/>
      <c r="D8562" s="1"/>
    </row>
    <row r="8563" spans="3:4" x14ac:dyDescent="0.25">
      <c r="C8563" s="1"/>
      <c r="D8563" s="1"/>
    </row>
    <row r="8564" spans="3:4" x14ac:dyDescent="0.25">
      <c r="C8564" s="1"/>
      <c r="D8564" s="1"/>
    </row>
    <row r="8565" spans="3:4" x14ac:dyDescent="0.25">
      <c r="C8565" s="1"/>
      <c r="D8565" s="1"/>
    </row>
    <row r="8566" spans="3:4" x14ac:dyDescent="0.25">
      <c r="C8566" s="1"/>
      <c r="D8566" s="1"/>
    </row>
    <row r="8567" spans="3:4" x14ac:dyDescent="0.25">
      <c r="C8567" s="1"/>
      <c r="D8567" s="1"/>
    </row>
    <row r="8568" spans="3:4" x14ac:dyDescent="0.25">
      <c r="C8568" s="1"/>
      <c r="D8568" s="1"/>
    </row>
    <row r="8569" spans="3:4" x14ac:dyDescent="0.25">
      <c r="C8569" s="1"/>
      <c r="D8569" s="1"/>
    </row>
    <row r="8570" spans="3:4" x14ac:dyDescent="0.25">
      <c r="C8570" s="1"/>
      <c r="D8570" s="1"/>
    </row>
    <row r="8571" spans="3:4" x14ac:dyDescent="0.25">
      <c r="C8571" s="1"/>
      <c r="D8571" s="1"/>
    </row>
    <row r="8572" spans="3:4" x14ac:dyDescent="0.25">
      <c r="C8572" s="1"/>
      <c r="D8572" s="1"/>
    </row>
    <row r="8573" spans="3:4" x14ac:dyDescent="0.25">
      <c r="C8573" s="1"/>
      <c r="D8573" s="1"/>
    </row>
    <row r="8574" spans="3:4" x14ac:dyDescent="0.25">
      <c r="C8574" s="1"/>
      <c r="D8574" s="1"/>
    </row>
    <row r="8575" spans="3:4" x14ac:dyDescent="0.25">
      <c r="C8575" s="1"/>
      <c r="D8575" s="1"/>
    </row>
    <row r="8576" spans="3:4" x14ac:dyDescent="0.25">
      <c r="C8576" s="1"/>
      <c r="D8576" s="1"/>
    </row>
    <row r="8577" spans="3:4" x14ac:dyDescent="0.25">
      <c r="C8577" s="1"/>
      <c r="D8577" s="1"/>
    </row>
    <row r="8578" spans="3:4" x14ac:dyDescent="0.25">
      <c r="C8578" s="1"/>
      <c r="D8578" s="1"/>
    </row>
    <row r="8579" spans="3:4" x14ac:dyDescent="0.25">
      <c r="C8579" s="1"/>
      <c r="D8579" s="1"/>
    </row>
    <row r="8580" spans="3:4" x14ac:dyDescent="0.25">
      <c r="C8580" s="1"/>
      <c r="D8580" s="1"/>
    </row>
    <row r="8581" spans="3:4" x14ac:dyDescent="0.25">
      <c r="C8581" s="1"/>
      <c r="D8581" s="1"/>
    </row>
    <row r="8582" spans="3:4" x14ac:dyDescent="0.25">
      <c r="C8582" s="1"/>
      <c r="D8582" s="1"/>
    </row>
    <row r="8583" spans="3:4" x14ac:dyDescent="0.25">
      <c r="C8583" s="1"/>
      <c r="D8583" s="1"/>
    </row>
    <row r="8584" spans="3:4" x14ac:dyDescent="0.25">
      <c r="C8584" s="1"/>
      <c r="D8584" s="1"/>
    </row>
    <row r="8585" spans="3:4" x14ac:dyDescent="0.25">
      <c r="C8585" s="1"/>
      <c r="D8585" s="1"/>
    </row>
    <row r="8586" spans="3:4" x14ac:dyDescent="0.25">
      <c r="C8586" s="1"/>
      <c r="D8586" s="1"/>
    </row>
    <row r="8587" spans="3:4" x14ac:dyDescent="0.25">
      <c r="C8587" s="1"/>
      <c r="D8587" s="1"/>
    </row>
    <row r="8588" spans="3:4" x14ac:dyDescent="0.25">
      <c r="C8588" s="1"/>
      <c r="D8588" s="1"/>
    </row>
    <row r="8589" spans="3:4" x14ac:dyDescent="0.25">
      <c r="C8589" s="1"/>
      <c r="D8589" s="1"/>
    </row>
    <row r="8590" spans="3:4" x14ac:dyDescent="0.25">
      <c r="C8590" s="1"/>
      <c r="D8590" s="1"/>
    </row>
    <row r="8591" spans="3:4" x14ac:dyDescent="0.25">
      <c r="C8591" s="1"/>
      <c r="D8591" s="1"/>
    </row>
    <row r="8592" spans="3:4" x14ac:dyDescent="0.25">
      <c r="C8592" s="1"/>
      <c r="D8592" s="1"/>
    </row>
    <row r="8593" spans="3:4" x14ac:dyDescent="0.25">
      <c r="C8593" s="1"/>
      <c r="D8593" s="1"/>
    </row>
    <row r="8594" spans="3:4" x14ac:dyDescent="0.25">
      <c r="C8594" s="1"/>
      <c r="D8594" s="1"/>
    </row>
    <row r="8595" spans="3:4" x14ac:dyDescent="0.25">
      <c r="C8595" s="1"/>
      <c r="D8595" s="1"/>
    </row>
    <row r="8596" spans="3:4" x14ac:dyDescent="0.25">
      <c r="C8596" s="1"/>
      <c r="D8596" s="1"/>
    </row>
    <row r="8597" spans="3:4" x14ac:dyDescent="0.25">
      <c r="C8597" s="1"/>
      <c r="D8597" s="1"/>
    </row>
    <row r="8598" spans="3:4" x14ac:dyDescent="0.25">
      <c r="C8598" s="1"/>
      <c r="D8598" s="1"/>
    </row>
    <row r="8599" spans="3:4" x14ac:dyDescent="0.25">
      <c r="C8599" s="1"/>
      <c r="D8599" s="1"/>
    </row>
    <row r="8600" spans="3:4" x14ac:dyDescent="0.25">
      <c r="C8600" s="1"/>
      <c r="D8600" s="1"/>
    </row>
    <row r="8601" spans="3:4" x14ac:dyDescent="0.25">
      <c r="C8601" s="1"/>
      <c r="D8601" s="1"/>
    </row>
    <row r="8602" spans="3:4" x14ac:dyDescent="0.25">
      <c r="C8602" s="1"/>
      <c r="D8602" s="1"/>
    </row>
    <row r="8603" spans="3:4" x14ac:dyDescent="0.25">
      <c r="C8603" s="1"/>
      <c r="D8603" s="1"/>
    </row>
    <row r="8604" spans="3:4" x14ac:dyDescent="0.25">
      <c r="C8604" s="1"/>
      <c r="D8604" s="1"/>
    </row>
    <row r="8605" spans="3:4" x14ac:dyDescent="0.25">
      <c r="C8605" s="1"/>
      <c r="D8605" s="1"/>
    </row>
    <row r="8606" spans="3:4" x14ac:dyDescent="0.25">
      <c r="C8606" s="1"/>
      <c r="D8606" s="1"/>
    </row>
    <row r="8607" spans="3:4" x14ac:dyDescent="0.25">
      <c r="C8607" s="1"/>
      <c r="D8607" s="1"/>
    </row>
    <row r="8608" spans="3:4" x14ac:dyDescent="0.25">
      <c r="C8608" s="1"/>
      <c r="D8608" s="1"/>
    </row>
    <row r="8609" spans="3:4" x14ac:dyDescent="0.25">
      <c r="C8609" s="1"/>
      <c r="D8609" s="1"/>
    </row>
    <row r="8610" spans="3:4" x14ac:dyDescent="0.25">
      <c r="C8610" s="1"/>
      <c r="D8610" s="1"/>
    </row>
    <row r="8611" spans="3:4" x14ac:dyDescent="0.25">
      <c r="C8611" s="1"/>
      <c r="D8611" s="1"/>
    </row>
    <row r="8612" spans="3:4" x14ac:dyDescent="0.25">
      <c r="C8612" s="1"/>
      <c r="D8612" s="1"/>
    </row>
    <row r="8613" spans="3:4" x14ac:dyDescent="0.25">
      <c r="C8613" s="1"/>
      <c r="D8613" s="1"/>
    </row>
    <row r="8614" spans="3:4" x14ac:dyDescent="0.25">
      <c r="C8614" s="1"/>
      <c r="D8614" s="1"/>
    </row>
    <row r="8615" spans="3:4" x14ac:dyDescent="0.25">
      <c r="C8615" s="1"/>
      <c r="D8615" s="1"/>
    </row>
    <row r="8616" spans="3:4" x14ac:dyDescent="0.25">
      <c r="C8616" s="1"/>
      <c r="D8616" s="1"/>
    </row>
    <row r="8617" spans="3:4" x14ac:dyDescent="0.25">
      <c r="C8617" s="1"/>
      <c r="D8617" s="1"/>
    </row>
    <row r="8618" spans="3:4" x14ac:dyDescent="0.25">
      <c r="C8618" s="1"/>
      <c r="D8618" s="1"/>
    </row>
    <row r="8619" spans="3:4" x14ac:dyDescent="0.25">
      <c r="C8619" s="1"/>
      <c r="D8619" s="1"/>
    </row>
    <row r="8620" spans="3:4" x14ac:dyDescent="0.25">
      <c r="C8620" s="1"/>
      <c r="D8620" s="1"/>
    </row>
    <row r="8621" spans="3:4" x14ac:dyDescent="0.25">
      <c r="C8621" s="1"/>
      <c r="D8621" s="1"/>
    </row>
    <row r="8622" spans="3:4" x14ac:dyDescent="0.25">
      <c r="C8622" s="1"/>
      <c r="D8622" s="1"/>
    </row>
    <row r="8623" spans="3:4" x14ac:dyDescent="0.25">
      <c r="C8623" s="1"/>
      <c r="D8623" s="1"/>
    </row>
    <row r="8624" spans="3:4" x14ac:dyDescent="0.25">
      <c r="C8624" s="1"/>
      <c r="D8624" s="1"/>
    </row>
    <row r="8625" spans="3:4" x14ac:dyDescent="0.25">
      <c r="C8625" s="1"/>
      <c r="D8625" s="1"/>
    </row>
    <row r="8626" spans="3:4" x14ac:dyDescent="0.25">
      <c r="C8626" s="1"/>
      <c r="D8626" s="1"/>
    </row>
    <row r="8627" spans="3:4" x14ac:dyDescent="0.25">
      <c r="C8627" s="1"/>
      <c r="D8627" s="1"/>
    </row>
    <row r="8628" spans="3:4" x14ac:dyDescent="0.25">
      <c r="C8628" s="1"/>
      <c r="D8628" s="1"/>
    </row>
    <row r="8629" spans="3:4" x14ac:dyDescent="0.25">
      <c r="C8629" s="1"/>
      <c r="D8629" s="1"/>
    </row>
    <row r="8630" spans="3:4" x14ac:dyDescent="0.25">
      <c r="C8630" s="1"/>
      <c r="D8630" s="1"/>
    </row>
    <row r="8631" spans="3:4" x14ac:dyDescent="0.25">
      <c r="C8631" s="1"/>
      <c r="D8631" s="1"/>
    </row>
    <row r="8632" spans="3:4" x14ac:dyDescent="0.25">
      <c r="C8632" s="1"/>
      <c r="D8632" s="1"/>
    </row>
    <row r="8633" spans="3:4" x14ac:dyDescent="0.25">
      <c r="C8633" s="1"/>
      <c r="D8633" s="1"/>
    </row>
    <row r="8634" spans="3:4" x14ac:dyDescent="0.25">
      <c r="C8634" s="1"/>
      <c r="D8634" s="1"/>
    </row>
    <row r="8635" spans="3:4" x14ac:dyDescent="0.25">
      <c r="C8635" s="1"/>
      <c r="D8635" s="1"/>
    </row>
    <row r="8636" spans="3:4" x14ac:dyDescent="0.25">
      <c r="C8636" s="1"/>
      <c r="D8636" s="1"/>
    </row>
    <row r="8637" spans="3:4" x14ac:dyDescent="0.25">
      <c r="C8637" s="1"/>
      <c r="D8637" s="1"/>
    </row>
    <row r="8638" spans="3:4" x14ac:dyDescent="0.25">
      <c r="C8638" s="1"/>
      <c r="D8638" s="1"/>
    </row>
    <row r="8639" spans="3:4" x14ac:dyDescent="0.25">
      <c r="C8639" s="1"/>
      <c r="D8639" s="1"/>
    </row>
    <row r="8640" spans="3:4" x14ac:dyDescent="0.25">
      <c r="C8640" s="1"/>
      <c r="D8640" s="1"/>
    </row>
    <row r="8641" spans="3:4" x14ac:dyDescent="0.25">
      <c r="C8641" s="1"/>
      <c r="D8641" s="1"/>
    </row>
    <row r="8642" spans="3:4" x14ac:dyDescent="0.25">
      <c r="C8642" s="1"/>
      <c r="D8642" s="1"/>
    </row>
    <row r="8643" spans="3:4" x14ac:dyDescent="0.25">
      <c r="C8643" s="1"/>
      <c r="D8643" s="1"/>
    </row>
    <row r="8644" spans="3:4" x14ac:dyDescent="0.25">
      <c r="C8644" s="1"/>
      <c r="D8644" s="1"/>
    </row>
    <row r="8645" spans="3:4" x14ac:dyDescent="0.25">
      <c r="C8645" s="1"/>
      <c r="D8645" s="1"/>
    </row>
    <row r="8646" spans="3:4" x14ac:dyDescent="0.25">
      <c r="C8646" s="1"/>
      <c r="D8646" s="1"/>
    </row>
    <row r="8647" spans="3:4" x14ac:dyDescent="0.25">
      <c r="C8647" s="1"/>
      <c r="D8647" s="1"/>
    </row>
    <row r="8648" spans="3:4" x14ac:dyDescent="0.25">
      <c r="C8648" s="1"/>
      <c r="D8648" s="1"/>
    </row>
    <row r="8649" spans="3:4" x14ac:dyDescent="0.25">
      <c r="C8649" s="1"/>
      <c r="D8649" s="1"/>
    </row>
    <row r="8650" spans="3:4" x14ac:dyDescent="0.25">
      <c r="C8650" s="1"/>
      <c r="D8650" s="1"/>
    </row>
    <row r="8651" spans="3:4" x14ac:dyDescent="0.25">
      <c r="C8651" s="1"/>
      <c r="D8651" s="1"/>
    </row>
    <row r="8652" spans="3:4" x14ac:dyDescent="0.25">
      <c r="C8652" s="1"/>
      <c r="D8652" s="1"/>
    </row>
    <row r="8653" spans="3:4" x14ac:dyDescent="0.25">
      <c r="C8653" s="1"/>
      <c r="D8653" s="1"/>
    </row>
    <row r="8654" spans="3:4" x14ac:dyDescent="0.25">
      <c r="C8654" s="1"/>
      <c r="D8654" s="1"/>
    </row>
    <row r="8655" spans="3:4" x14ac:dyDescent="0.25">
      <c r="C8655" s="1"/>
      <c r="D8655" s="1"/>
    </row>
    <row r="8656" spans="3:4" x14ac:dyDescent="0.25">
      <c r="C8656" s="1"/>
      <c r="D8656" s="1"/>
    </row>
    <row r="8657" spans="3:4" x14ac:dyDescent="0.25">
      <c r="C8657" s="1"/>
      <c r="D8657" s="1"/>
    </row>
    <row r="8658" spans="3:4" x14ac:dyDescent="0.25">
      <c r="C8658" s="1"/>
      <c r="D8658" s="1"/>
    </row>
    <row r="8659" spans="3:4" x14ac:dyDescent="0.25">
      <c r="C8659" s="1"/>
      <c r="D8659" s="1"/>
    </row>
    <row r="8660" spans="3:4" x14ac:dyDescent="0.25">
      <c r="C8660" s="1"/>
      <c r="D8660" s="1"/>
    </row>
    <row r="8661" spans="3:4" x14ac:dyDescent="0.25">
      <c r="C8661" s="1"/>
      <c r="D8661" s="1"/>
    </row>
    <row r="8662" spans="3:4" x14ac:dyDescent="0.25">
      <c r="C8662" s="1"/>
      <c r="D8662" s="1"/>
    </row>
    <row r="8663" spans="3:4" x14ac:dyDescent="0.25">
      <c r="C8663" s="1"/>
      <c r="D8663" s="1"/>
    </row>
    <row r="8664" spans="3:4" x14ac:dyDescent="0.25">
      <c r="C8664" s="1"/>
      <c r="D8664" s="1"/>
    </row>
    <row r="8665" spans="3:4" x14ac:dyDescent="0.25">
      <c r="C8665" s="1"/>
      <c r="D8665" s="1"/>
    </row>
    <row r="8666" spans="3:4" x14ac:dyDescent="0.25">
      <c r="C8666" s="1"/>
      <c r="D8666" s="1"/>
    </row>
    <row r="8667" spans="3:4" x14ac:dyDescent="0.25">
      <c r="C8667" s="1"/>
      <c r="D8667" s="1"/>
    </row>
    <row r="8668" spans="3:4" x14ac:dyDescent="0.25">
      <c r="C8668" s="1"/>
      <c r="D8668" s="1"/>
    </row>
    <row r="8669" spans="3:4" x14ac:dyDescent="0.25">
      <c r="C8669" s="1"/>
      <c r="D8669" s="1"/>
    </row>
    <row r="8670" spans="3:4" x14ac:dyDescent="0.25">
      <c r="C8670" s="1"/>
      <c r="D8670" s="1"/>
    </row>
    <row r="8671" spans="3:4" x14ac:dyDescent="0.25">
      <c r="C8671" s="1"/>
      <c r="D8671" s="1"/>
    </row>
    <row r="8672" spans="3:4" x14ac:dyDescent="0.25">
      <c r="C8672" s="1"/>
      <c r="D8672" s="1"/>
    </row>
    <row r="8673" spans="3:4" x14ac:dyDescent="0.25">
      <c r="C8673" s="1"/>
      <c r="D8673" s="1"/>
    </row>
    <row r="8674" spans="3:4" x14ac:dyDescent="0.25">
      <c r="C8674" s="1"/>
      <c r="D8674" s="1"/>
    </row>
    <row r="8675" spans="3:4" x14ac:dyDescent="0.25">
      <c r="C8675" s="1"/>
      <c r="D8675" s="1"/>
    </row>
    <row r="8676" spans="3:4" x14ac:dyDescent="0.25">
      <c r="C8676" s="1"/>
      <c r="D8676" s="1"/>
    </row>
    <row r="8677" spans="3:4" x14ac:dyDescent="0.25">
      <c r="C8677" s="1"/>
      <c r="D8677" s="1"/>
    </row>
    <row r="8678" spans="3:4" x14ac:dyDescent="0.25">
      <c r="C8678" s="1"/>
      <c r="D8678" s="1"/>
    </row>
    <row r="8679" spans="3:4" x14ac:dyDescent="0.25">
      <c r="C8679" s="1"/>
      <c r="D8679" s="1"/>
    </row>
    <row r="8680" spans="3:4" x14ac:dyDescent="0.25">
      <c r="C8680" s="1"/>
      <c r="D8680" s="1"/>
    </row>
    <row r="8681" spans="3:4" x14ac:dyDescent="0.25">
      <c r="C8681" s="1"/>
      <c r="D8681" s="1"/>
    </row>
    <row r="8682" spans="3:4" x14ac:dyDescent="0.25">
      <c r="C8682" s="1"/>
      <c r="D8682" s="1"/>
    </row>
    <row r="8683" spans="3:4" x14ac:dyDescent="0.25">
      <c r="C8683" s="1"/>
      <c r="D8683" s="1"/>
    </row>
    <row r="8684" spans="3:4" x14ac:dyDescent="0.25">
      <c r="C8684" s="1"/>
      <c r="D8684" s="1"/>
    </row>
    <row r="8685" spans="3:4" x14ac:dyDescent="0.25">
      <c r="C8685" s="1"/>
      <c r="D8685" s="1"/>
    </row>
    <row r="8686" spans="3:4" x14ac:dyDescent="0.25">
      <c r="C8686" s="1"/>
      <c r="D8686" s="1"/>
    </row>
    <row r="8687" spans="3:4" x14ac:dyDescent="0.25">
      <c r="C8687" s="1"/>
      <c r="D8687" s="1"/>
    </row>
    <row r="8688" spans="3:4" x14ac:dyDescent="0.25">
      <c r="C8688" s="1"/>
      <c r="D8688" s="1"/>
    </row>
    <row r="8689" spans="3:4" x14ac:dyDescent="0.25">
      <c r="C8689" s="1"/>
      <c r="D8689" s="1"/>
    </row>
    <row r="8690" spans="3:4" x14ac:dyDescent="0.25">
      <c r="C8690" s="1"/>
      <c r="D8690" s="1"/>
    </row>
    <row r="8691" spans="3:4" x14ac:dyDescent="0.25">
      <c r="C8691" s="1"/>
      <c r="D8691" s="1"/>
    </row>
    <row r="8692" spans="3:4" x14ac:dyDescent="0.25">
      <c r="C8692" s="1"/>
      <c r="D8692" s="1"/>
    </row>
    <row r="8693" spans="3:4" x14ac:dyDescent="0.25">
      <c r="C8693" s="1"/>
      <c r="D8693" s="1"/>
    </row>
    <row r="8694" spans="3:4" x14ac:dyDescent="0.25">
      <c r="C8694" s="1"/>
      <c r="D8694" s="1"/>
    </row>
    <row r="8695" spans="3:4" x14ac:dyDescent="0.25">
      <c r="C8695" s="1"/>
      <c r="D8695" s="1"/>
    </row>
    <row r="8696" spans="3:4" x14ac:dyDescent="0.25">
      <c r="C8696" s="1"/>
      <c r="D8696" s="1"/>
    </row>
    <row r="8697" spans="3:4" x14ac:dyDescent="0.25">
      <c r="C8697" s="1"/>
      <c r="D8697" s="1"/>
    </row>
    <row r="8698" spans="3:4" x14ac:dyDescent="0.25">
      <c r="C8698" s="1"/>
      <c r="D8698" s="1"/>
    </row>
    <row r="8699" spans="3:4" x14ac:dyDescent="0.25">
      <c r="C8699" s="1"/>
      <c r="D8699" s="1"/>
    </row>
    <row r="8700" spans="3:4" x14ac:dyDescent="0.25">
      <c r="C8700" s="1"/>
      <c r="D8700" s="1"/>
    </row>
    <row r="8701" spans="3:4" x14ac:dyDescent="0.25">
      <c r="C8701" s="1"/>
      <c r="D8701" s="1"/>
    </row>
    <row r="8702" spans="3:4" x14ac:dyDescent="0.25">
      <c r="C8702" s="1"/>
      <c r="D8702" s="1"/>
    </row>
    <row r="8703" spans="3:4" x14ac:dyDescent="0.25">
      <c r="C8703" s="1"/>
      <c r="D8703" s="1"/>
    </row>
    <row r="8704" spans="3:4" x14ac:dyDescent="0.25">
      <c r="C8704" s="1"/>
      <c r="D8704" s="1"/>
    </row>
    <row r="8705" spans="3:4" x14ac:dyDescent="0.25">
      <c r="C8705" s="1"/>
      <c r="D8705" s="1"/>
    </row>
    <row r="8706" spans="3:4" x14ac:dyDescent="0.25">
      <c r="C8706" s="1"/>
      <c r="D8706" s="1"/>
    </row>
    <row r="8707" spans="3:4" x14ac:dyDescent="0.25">
      <c r="C8707" s="1"/>
      <c r="D8707" s="1"/>
    </row>
    <row r="8708" spans="3:4" x14ac:dyDescent="0.25">
      <c r="C8708" s="1"/>
      <c r="D8708" s="1"/>
    </row>
    <row r="8709" spans="3:4" x14ac:dyDescent="0.25">
      <c r="C8709" s="1"/>
      <c r="D8709" s="1"/>
    </row>
    <row r="8710" spans="3:4" x14ac:dyDescent="0.25">
      <c r="C8710" s="1"/>
      <c r="D8710" s="1"/>
    </row>
    <row r="8711" spans="3:4" x14ac:dyDescent="0.25">
      <c r="C8711" s="1"/>
      <c r="D8711" s="1"/>
    </row>
    <row r="8712" spans="3:4" x14ac:dyDescent="0.25">
      <c r="C8712" s="1"/>
      <c r="D8712" s="1"/>
    </row>
    <row r="8713" spans="3:4" x14ac:dyDescent="0.25">
      <c r="C8713" s="1"/>
      <c r="D8713" s="1"/>
    </row>
    <row r="8714" spans="3:4" x14ac:dyDescent="0.25">
      <c r="C8714" s="1"/>
      <c r="D8714" s="1"/>
    </row>
    <row r="8715" spans="3:4" x14ac:dyDescent="0.25">
      <c r="C8715" s="1"/>
      <c r="D8715" s="1"/>
    </row>
    <row r="8716" spans="3:4" x14ac:dyDescent="0.25">
      <c r="C8716" s="1"/>
      <c r="D8716" s="1"/>
    </row>
    <row r="8717" spans="3:4" x14ac:dyDescent="0.25">
      <c r="C8717" s="1"/>
      <c r="D8717" s="1"/>
    </row>
    <row r="8718" spans="3:4" x14ac:dyDescent="0.25">
      <c r="C8718" s="1"/>
      <c r="D8718" s="1"/>
    </row>
    <row r="8719" spans="3:4" x14ac:dyDescent="0.25">
      <c r="C8719" s="1"/>
      <c r="D8719" s="1"/>
    </row>
    <row r="8720" spans="3:4" x14ac:dyDescent="0.25">
      <c r="C8720" s="1"/>
      <c r="D8720" s="1"/>
    </row>
    <row r="8721" spans="3:4" x14ac:dyDescent="0.25">
      <c r="C8721" s="1"/>
      <c r="D8721" s="1"/>
    </row>
    <row r="8722" spans="3:4" x14ac:dyDescent="0.25">
      <c r="C8722" s="1"/>
      <c r="D8722" s="1"/>
    </row>
    <row r="8723" spans="3:4" x14ac:dyDescent="0.25">
      <c r="C8723" s="1"/>
      <c r="D8723" s="1"/>
    </row>
    <row r="8724" spans="3:4" x14ac:dyDescent="0.25">
      <c r="C8724" s="1"/>
      <c r="D8724" s="1"/>
    </row>
    <row r="8725" spans="3:4" x14ac:dyDescent="0.25">
      <c r="C8725" s="1"/>
      <c r="D8725" s="1"/>
    </row>
    <row r="8726" spans="3:4" x14ac:dyDescent="0.25">
      <c r="C8726" s="1"/>
      <c r="D8726" s="1"/>
    </row>
    <row r="8727" spans="3:4" x14ac:dyDescent="0.25">
      <c r="C8727" s="1"/>
      <c r="D8727" s="1"/>
    </row>
    <row r="8728" spans="3:4" x14ac:dyDescent="0.25">
      <c r="C8728" s="1"/>
      <c r="D8728" s="1"/>
    </row>
    <row r="8729" spans="3:4" x14ac:dyDescent="0.25">
      <c r="C8729" s="1"/>
      <c r="D8729" s="1"/>
    </row>
    <row r="8730" spans="3:4" x14ac:dyDescent="0.25">
      <c r="C8730" s="1"/>
      <c r="D8730" s="1"/>
    </row>
    <row r="8731" spans="3:4" x14ac:dyDescent="0.25">
      <c r="C8731" s="1"/>
      <c r="D8731" s="1"/>
    </row>
    <row r="8732" spans="3:4" x14ac:dyDescent="0.25">
      <c r="C8732" s="1"/>
      <c r="D8732" s="1"/>
    </row>
    <row r="8733" spans="3:4" x14ac:dyDescent="0.25">
      <c r="C8733" s="1"/>
      <c r="D8733" s="1"/>
    </row>
    <row r="8734" spans="3:4" x14ac:dyDescent="0.25">
      <c r="C8734" s="1"/>
      <c r="D8734" s="1"/>
    </row>
    <row r="8735" spans="3:4" x14ac:dyDescent="0.25">
      <c r="C8735" s="1"/>
      <c r="D8735" s="1"/>
    </row>
    <row r="8736" spans="3:4" x14ac:dyDescent="0.25">
      <c r="C8736" s="1"/>
      <c r="D8736" s="1"/>
    </row>
    <row r="8737" spans="3:4" x14ac:dyDescent="0.25">
      <c r="C8737" s="1"/>
      <c r="D8737" s="1"/>
    </row>
    <row r="8738" spans="3:4" x14ac:dyDescent="0.25">
      <c r="C8738" s="1"/>
      <c r="D8738" s="1"/>
    </row>
    <row r="8739" spans="3:4" x14ac:dyDescent="0.25">
      <c r="C8739" s="1"/>
      <c r="D8739" s="1"/>
    </row>
    <row r="8740" spans="3:4" x14ac:dyDescent="0.25">
      <c r="C8740" s="1"/>
      <c r="D8740" s="1"/>
    </row>
    <row r="8741" spans="3:4" x14ac:dyDescent="0.25">
      <c r="C8741" s="1"/>
      <c r="D8741" s="1"/>
    </row>
    <row r="8742" spans="3:4" x14ac:dyDescent="0.25">
      <c r="C8742" s="1"/>
      <c r="D8742" s="1"/>
    </row>
    <row r="8743" spans="3:4" x14ac:dyDescent="0.25">
      <c r="C8743" s="1"/>
      <c r="D8743" s="1"/>
    </row>
    <row r="8744" spans="3:4" x14ac:dyDescent="0.25">
      <c r="C8744" s="1"/>
      <c r="D8744" s="1"/>
    </row>
    <row r="8745" spans="3:4" x14ac:dyDescent="0.25">
      <c r="C8745" s="1"/>
      <c r="D8745" s="1"/>
    </row>
    <row r="8746" spans="3:4" x14ac:dyDescent="0.25">
      <c r="C8746" s="1"/>
      <c r="D8746" s="1"/>
    </row>
    <row r="8747" spans="3:4" x14ac:dyDescent="0.25">
      <c r="C8747" s="1"/>
      <c r="D8747" s="1"/>
    </row>
    <row r="8748" spans="3:4" x14ac:dyDescent="0.25">
      <c r="C8748" s="1"/>
      <c r="D8748" s="1"/>
    </row>
    <row r="8749" spans="3:4" x14ac:dyDescent="0.25">
      <c r="C8749" s="1"/>
      <c r="D8749" s="1"/>
    </row>
    <row r="8750" spans="3:4" x14ac:dyDescent="0.25">
      <c r="C8750" s="1"/>
      <c r="D8750" s="1"/>
    </row>
    <row r="8751" spans="3:4" x14ac:dyDescent="0.25">
      <c r="C8751" s="1"/>
      <c r="D8751" s="1"/>
    </row>
    <row r="8752" spans="3:4" x14ac:dyDescent="0.25">
      <c r="C8752" s="1"/>
      <c r="D8752" s="1"/>
    </row>
    <row r="8753" spans="3:4" x14ac:dyDescent="0.25">
      <c r="C8753" s="1"/>
      <c r="D8753" s="1"/>
    </row>
    <row r="8754" spans="3:4" x14ac:dyDescent="0.25">
      <c r="C8754" s="1"/>
      <c r="D8754" s="1"/>
    </row>
    <row r="8755" spans="3:4" x14ac:dyDescent="0.25">
      <c r="C8755" s="1"/>
      <c r="D8755" s="1"/>
    </row>
    <row r="8756" spans="3:4" x14ac:dyDescent="0.25">
      <c r="C8756" s="1"/>
      <c r="D8756" s="1"/>
    </row>
    <row r="8757" spans="3:4" x14ac:dyDescent="0.25">
      <c r="C8757" s="1"/>
      <c r="D8757" s="1"/>
    </row>
    <row r="8758" spans="3:4" x14ac:dyDescent="0.25">
      <c r="C8758" s="1"/>
      <c r="D8758" s="1"/>
    </row>
    <row r="8759" spans="3:4" x14ac:dyDescent="0.25">
      <c r="C8759" s="1"/>
      <c r="D8759" s="1"/>
    </row>
    <row r="8760" spans="3:4" x14ac:dyDescent="0.25">
      <c r="C8760" s="1"/>
      <c r="D8760" s="1"/>
    </row>
    <row r="8761" spans="3:4" x14ac:dyDescent="0.25">
      <c r="C8761" s="1"/>
      <c r="D8761" s="1"/>
    </row>
    <row r="8762" spans="3:4" x14ac:dyDescent="0.25">
      <c r="C8762" s="1"/>
      <c r="D8762" s="1"/>
    </row>
    <row r="8763" spans="3:4" x14ac:dyDescent="0.25">
      <c r="C8763" s="1"/>
      <c r="D8763" s="1"/>
    </row>
    <row r="8764" spans="3:4" x14ac:dyDescent="0.25">
      <c r="C8764" s="1"/>
      <c r="D8764" s="1"/>
    </row>
    <row r="8765" spans="3:4" x14ac:dyDescent="0.25">
      <c r="C8765" s="1"/>
      <c r="D8765" s="1"/>
    </row>
    <row r="8766" spans="3:4" x14ac:dyDescent="0.25">
      <c r="C8766" s="1"/>
      <c r="D8766" s="1"/>
    </row>
    <row r="8767" spans="3:4" x14ac:dyDescent="0.25">
      <c r="C8767" s="1"/>
      <c r="D8767" s="1"/>
    </row>
    <row r="8768" spans="3:4" x14ac:dyDescent="0.25">
      <c r="C8768" s="1"/>
      <c r="D8768" s="1"/>
    </row>
    <row r="8769" spans="3:4" x14ac:dyDescent="0.25">
      <c r="C8769" s="1"/>
      <c r="D8769" s="1"/>
    </row>
    <row r="8770" spans="3:4" x14ac:dyDescent="0.25">
      <c r="C8770" s="1"/>
      <c r="D8770" s="1"/>
    </row>
    <row r="8771" spans="3:4" x14ac:dyDescent="0.25">
      <c r="C8771" s="1"/>
      <c r="D8771" s="1"/>
    </row>
    <row r="8772" spans="3:4" x14ac:dyDescent="0.25">
      <c r="C8772" s="1"/>
      <c r="D8772" s="1"/>
    </row>
    <row r="8773" spans="3:4" x14ac:dyDescent="0.25">
      <c r="C8773" s="1"/>
      <c r="D8773" s="1"/>
    </row>
    <row r="8774" spans="3:4" x14ac:dyDescent="0.25">
      <c r="C8774" s="1"/>
      <c r="D8774" s="1"/>
    </row>
    <row r="8775" spans="3:4" x14ac:dyDescent="0.25">
      <c r="C8775" s="1"/>
      <c r="D8775" s="1"/>
    </row>
    <row r="8776" spans="3:4" x14ac:dyDescent="0.25">
      <c r="C8776" s="1"/>
      <c r="D8776" s="1"/>
    </row>
    <row r="8777" spans="3:4" x14ac:dyDescent="0.25">
      <c r="C8777" s="1"/>
      <c r="D8777" s="1"/>
    </row>
    <row r="8778" spans="3:4" x14ac:dyDescent="0.25">
      <c r="C8778" s="1"/>
      <c r="D8778" s="1"/>
    </row>
    <row r="8779" spans="3:4" x14ac:dyDescent="0.25">
      <c r="C8779" s="1"/>
      <c r="D8779" s="1"/>
    </row>
    <row r="8780" spans="3:4" x14ac:dyDescent="0.25">
      <c r="C8780" s="1"/>
      <c r="D8780" s="1"/>
    </row>
    <row r="8781" spans="3:4" x14ac:dyDescent="0.25">
      <c r="C8781" s="1"/>
      <c r="D8781" s="1"/>
    </row>
    <row r="8782" spans="3:4" x14ac:dyDescent="0.25">
      <c r="C8782" s="1"/>
      <c r="D8782" s="1"/>
    </row>
    <row r="8783" spans="3:4" x14ac:dyDescent="0.25">
      <c r="C8783" s="1"/>
      <c r="D8783" s="1"/>
    </row>
    <row r="8784" spans="3:4" x14ac:dyDescent="0.25">
      <c r="C8784" s="1"/>
      <c r="D8784" s="1"/>
    </row>
    <row r="8785" spans="3:4" x14ac:dyDescent="0.25">
      <c r="C8785" s="1"/>
      <c r="D8785" s="1"/>
    </row>
    <row r="8786" spans="3:4" x14ac:dyDescent="0.25">
      <c r="C8786" s="1"/>
      <c r="D8786" s="1"/>
    </row>
    <row r="8787" spans="3:4" x14ac:dyDescent="0.25">
      <c r="C8787" s="1"/>
      <c r="D8787" s="1"/>
    </row>
    <row r="8788" spans="3:4" x14ac:dyDescent="0.25">
      <c r="C8788" s="1"/>
      <c r="D8788" s="1"/>
    </row>
    <row r="8789" spans="3:4" x14ac:dyDescent="0.25">
      <c r="C8789" s="1"/>
      <c r="D8789" s="1"/>
    </row>
    <row r="8790" spans="3:4" x14ac:dyDescent="0.25">
      <c r="C8790" s="1"/>
      <c r="D8790" s="1"/>
    </row>
    <row r="8791" spans="3:4" x14ac:dyDescent="0.25">
      <c r="C8791" s="1"/>
      <c r="D8791" s="1"/>
    </row>
    <row r="8792" spans="3:4" x14ac:dyDescent="0.25">
      <c r="C8792" s="1"/>
      <c r="D8792" s="1"/>
    </row>
    <row r="8793" spans="3:4" x14ac:dyDescent="0.25">
      <c r="C8793" s="1"/>
      <c r="D8793" s="1"/>
    </row>
    <row r="8794" spans="3:4" x14ac:dyDescent="0.25">
      <c r="C8794" s="1"/>
      <c r="D8794" s="1"/>
    </row>
    <row r="8795" spans="3:4" x14ac:dyDescent="0.25">
      <c r="C8795" s="1"/>
      <c r="D8795" s="1"/>
    </row>
    <row r="8796" spans="3:4" x14ac:dyDescent="0.25">
      <c r="C8796" s="1"/>
      <c r="D8796" s="1"/>
    </row>
    <row r="8797" spans="3:4" x14ac:dyDescent="0.25">
      <c r="C8797" s="1"/>
      <c r="D8797" s="1"/>
    </row>
    <row r="8798" spans="3:4" x14ac:dyDescent="0.25">
      <c r="C8798" s="1"/>
      <c r="D8798" s="1"/>
    </row>
    <row r="8799" spans="3:4" x14ac:dyDescent="0.25">
      <c r="C8799" s="1"/>
      <c r="D8799" s="1"/>
    </row>
    <row r="8800" spans="3:4" x14ac:dyDescent="0.25">
      <c r="C8800" s="1"/>
      <c r="D8800" s="1"/>
    </row>
    <row r="8801" spans="3:4" x14ac:dyDescent="0.25">
      <c r="C8801" s="1"/>
      <c r="D8801" s="1"/>
    </row>
    <row r="8802" spans="3:4" x14ac:dyDescent="0.25">
      <c r="C8802" s="1"/>
      <c r="D8802" s="1"/>
    </row>
    <row r="8803" spans="3:4" x14ac:dyDescent="0.25">
      <c r="C8803" s="1"/>
      <c r="D8803" s="1"/>
    </row>
    <row r="8804" spans="3:4" x14ac:dyDescent="0.25">
      <c r="C8804" s="1"/>
      <c r="D8804" s="1"/>
    </row>
    <row r="8805" spans="3:4" x14ac:dyDescent="0.25">
      <c r="C8805" s="1"/>
      <c r="D8805" s="1"/>
    </row>
    <row r="8806" spans="3:4" x14ac:dyDescent="0.25">
      <c r="C8806" s="1"/>
      <c r="D8806" s="1"/>
    </row>
    <row r="8807" spans="3:4" x14ac:dyDescent="0.25">
      <c r="C8807" s="1"/>
      <c r="D8807" s="1"/>
    </row>
    <row r="8808" spans="3:4" x14ac:dyDescent="0.25">
      <c r="C8808" s="1"/>
      <c r="D8808" s="1"/>
    </row>
    <row r="8809" spans="3:4" x14ac:dyDescent="0.25">
      <c r="C8809" s="1"/>
      <c r="D8809" s="1"/>
    </row>
    <row r="8810" spans="3:4" x14ac:dyDescent="0.25">
      <c r="C8810" s="1"/>
      <c r="D8810" s="1"/>
    </row>
    <row r="8811" spans="3:4" x14ac:dyDescent="0.25">
      <c r="C8811" s="1"/>
      <c r="D8811" s="1"/>
    </row>
    <row r="8812" spans="3:4" x14ac:dyDescent="0.25">
      <c r="C8812" s="1"/>
      <c r="D8812" s="1"/>
    </row>
    <row r="8813" spans="3:4" x14ac:dyDescent="0.25">
      <c r="C8813" s="1"/>
      <c r="D8813" s="1"/>
    </row>
    <row r="8814" spans="3:4" x14ac:dyDescent="0.25">
      <c r="C8814" s="1"/>
      <c r="D8814" s="1"/>
    </row>
    <row r="8815" spans="3:4" x14ac:dyDescent="0.25">
      <c r="C8815" s="1"/>
      <c r="D8815" s="1"/>
    </row>
    <row r="8816" spans="3:4" x14ac:dyDescent="0.25">
      <c r="C8816" s="1"/>
      <c r="D8816" s="1"/>
    </row>
    <row r="8817" spans="3:4" x14ac:dyDescent="0.25">
      <c r="C8817" s="1"/>
      <c r="D8817" s="1"/>
    </row>
    <row r="8818" spans="3:4" x14ac:dyDescent="0.25">
      <c r="C8818" s="1"/>
      <c r="D8818" s="1"/>
    </row>
    <row r="8819" spans="3:4" x14ac:dyDescent="0.25">
      <c r="C8819" s="1"/>
      <c r="D8819" s="1"/>
    </row>
    <row r="8820" spans="3:4" x14ac:dyDescent="0.25">
      <c r="C8820" s="1"/>
      <c r="D8820" s="1"/>
    </row>
    <row r="8821" spans="3:4" x14ac:dyDescent="0.25">
      <c r="C8821" s="1"/>
      <c r="D8821" s="1"/>
    </row>
    <row r="8822" spans="3:4" x14ac:dyDescent="0.25">
      <c r="C8822" s="1"/>
      <c r="D8822" s="1"/>
    </row>
    <row r="8823" spans="3:4" x14ac:dyDescent="0.25">
      <c r="C8823" s="1"/>
      <c r="D8823" s="1"/>
    </row>
    <row r="8824" spans="3:4" x14ac:dyDescent="0.25">
      <c r="C8824" s="1"/>
      <c r="D8824" s="1"/>
    </row>
    <row r="8825" spans="3:4" x14ac:dyDescent="0.25">
      <c r="C8825" s="1"/>
      <c r="D8825" s="1"/>
    </row>
    <row r="8826" spans="3:4" x14ac:dyDescent="0.25">
      <c r="C8826" s="1"/>
      <c r="D8826" s="1"/>
    </row>
    <row r="8827" spans="3:4" x14ac:dyDescent="0.25">
      <c r="C8827" s="1"/>
      <c r="D8827" s="1"/>
    </row>
    <row r="8828" spans="3:4" x14ac:dyDescent="0.25">
      <c r="C8828" s="1"/>
      <c r="D8828" s="1"/>
    </row>
    <row r="8829" spans="3:4" x14ac:dyDescent="0.25">
      <c r="C8829" s="1"/>
      <c r="D8829" s="1"/>
    </row>
    <row r="8830" spans="3:4" x14ac:dyDescent="0.25">
      <c r="C8830" s="1"/>
      <c r="D8830" s="1"/>
    </row>
    <row r="8831" spans="3:4" x14ac:dyDescent="0.25">
      <c r="C8831" s="1"/>
      <c r="D8831" s="1"/>
    </row>
    <row r="8832" spans="3:4" x14ac:dyDescent="0.25">
      <c r="C8832" s="1"/>
      <c r="D8832" s="1"/>
    </row>
    <row r="8833" spans="3:4" x14ac:dyDescent="0.25">
      <c r="C8833" s="1"/>
      <c r="D8833" s="1"/>
    </row>
    <row r="8834" spans="3:4" x14ac:dyDescent="0.25">
      <c r="C8834" s="1"/>
      <c r="D8834" s="1"/>
    </row>
    <row r="8835" spans="3:4" x14ac:dyDescent="0.25">
      <c r="C8835" s="1"/>
      <c r="D8835" s="1"/>
    </row>
    <row r="8836" spans="3:4" x14ac:dyDescent="0.25">
      <c r="C8836" s="1"/>
      <c r="D8836" s="1"/>
    </row>
    <row r="8837" spans="3:4" x14ac:dyDescent="0.25">
      <c r="C8837" s="1"/>
      <c r="D8837" s="1"/>
    </row>
    <row r="8838" spans="3:4" x14ac:dyDescent="0.25">
      <c r="C8838" s="1"/>
      <c r="D8838" s="1"/>
    </row>
    <row r="8839" spans="3:4" x14ac:dyDescent="0.25">
      <c r="C8839" s="1"/>
      <c r="D8839" s="1"/>
    </row>
    <row r="8840" spans="3:4" x14ac:dyDescent="0.25">
      <c r="C8840" s="1"/>
      <c r="D8840" s="1"/>
    </row>
    <row r="8841" spans="3:4" x14ac:dyDescent="0.25">
      <c r="C8841" s="1"/>
      <c r="D8841" s="1"/>
    </row>
    <row r="8842" spans="3:4" x14ac:dyDescent="0.25">
      <c r="C8842" s="1"/>
      <c r="D8842" s="1"/>
    </row>
    <row r="8843" spans="3:4" x14ac:dyDescent="0.25">
      <c r="C8843" s="1"/>
      <c r="D8843" s="1"/>
    </row>
    <row r="8844" spans="3:4" x14ac:dyDescent="0.25">
      <c r="C8844" s="1"/>
      <c r="D8844" s="1"/>
    </row>
    <row r="8845" spans="3:4" x14ac:dyDescent="0.25">
      <c r="C8845" s="1"/>
      <c r="D8845" s="1"/>
    </row>
    <row r="8846" spans="3:4" x14ac:dyDescent="0.25">
      <c r="C8846" s="1"/>
      <c r="D8846" s="1"/>
    </row>
    <row r="8847" spans="3:4" x14ac:dyDescent="0.25">
      <c r="C8847" s="1"/>
      <c r="D8847" s="1"/>
    </row>
    <row r="8848" spans="3:4" x14ac:dyDescent="0.25">
      <c r="C8848" s="1"/>
      <c r="D8848" s="1"/>
    </row>
    <row r="8849" spans="3:4" x14ac:dyDescent="0.25">
      <c r="C8849" s="1"/>
      <c r="D8849" s="1"/>
    </row>
    <row r="8850" spans="3:4" x14ac:dyDescent="0.25">
      <c r="C8850" s="1"/>
      <c r="D8850" s="1"/>
    </row>
    <row r="8851" spans="3:4" x14ac:dyDescent="0.25">
      <c r="C8851" s="1"/>
      <c r="D8851" s="1"/>
    </row>
    <row r="8852" spans="3:4" x14ac:dyDescent="0.25">
      <c r="C8852" s="1"/>
      <c r="D8852" s="1"/>
    </row>
    <row r="8853" spans="3:4" x14ac:dyDescent="0.25">
      <c r="C8853" s="1"/>
      <c r="D8853" s="1"/>
    </row>
    <row r="8854" spans="3:4" x14ac:dyDescent="0.25">
      <c r="C8854" s="1"/>
      <c r="D8854" s="1"/>
    </row>
    <row r="8855" spans="3:4" x14ac:dyDescent="0.25">
      <c r="C8855" s="1"/>
      <c r="D8855" s="1"/>
    </row>
    <row r="8856" spans="3:4" x14ac:dyDescent="0.25">
      <c r="C8856" s="1"/>
      <c r="D8856" s="1"/>
    </row>
    <row r="8857" spans="3:4" x14ac:dyDescent="0.25">
      <c r="C8857" s="1"/>
      <c r="D8857" s="1"/>
    </row>
    <row r="8858" spans="3:4" x14ac:dyDescent="0.25">
      <c r="C8858" s="1"/>
      <c r="D8858" s="1"/>
    </row>
    <row r="8859" spans="3:4" x14ac:dyDescent="0.25">
      <c r="C8859" s="1"/>
      <c r="D8859" s="1"/>
    </row>
    <row r="8860" spans="3:4" x14ac:dyDescent="0.25">
      <c r="C8860" s="1"/>
      <c r="D8860" s="1"/>
    </row>
    <row r="8861" spans="3:4" x14ac:dyDescent="0.25">
      <c r="C8861" s="1"/>
      <c r="D8861" s="1"/>
    </row>
    <row r="8862" spans="3:4" x14ac:dyDescent="0.25">
      <c r="C8862" s="1"/>
      <c r="D8862" s="1"/>
    </row>
    <row r="8863" spans="3:4" x14ac:dyDescent="0.25">
      <c r="C8863" s="1"/>
      <c r="D8863" s="1"/>
    </row>
    <row r="8864" spans="3:4" x14ac:dyDescent="0.25">
      <c r="C8864" s="1"/>
      <c r="D8864" s="1"/>
    </row>
    <row r="8865" spans="3:4" x14ac:dyDescent="0.25">
      <c r="C8865" s="1"/>
      <c r="D8865" s="1"/>
    </row>
    <row r="8866" spans="3:4" x14ac:dyDescent="0.25">
      <c r="C8866" s="1"/>
      <c r="D8866" s="1"/>
    </row>
    <row r="8867" spans="3:4" x14ac:dyDescent="0.25">
      <c r="C8867" s="1"/>
      <c r="D8867" s="1"/>
    </row>
    <row r="8868" spans="3:4" x14ac:dyDescent="0.25">
      <c r="C8868" s="1"/>
      <c r="D8868" s="1"/>
    </row>
    <row r="8869" spans="3:4" x14ac:dyDescent="0.25">
      <c r="C8869" s="1"/>
      <c r="D8869" s="1"/>
    </row>
    <row r="8870" spans="3:4" x14ac:dyDescent="0.25">
      <c r="C8870" s="1"/>
      <c r="D8870" s="1"/>
    </row>
    <row r="8871" spans="3:4" x14ac:dyDescent="0.25">
      <c r="C8871" s="1"/>
      <c r="D8871" s="1"/>
    </row>
    <row r="8872" spans="3:4" x14ac:dyDescent="0.25">
      <c r="C8872" s="1"/>
      <c r="D8872" s="1"/>
    </row>
    <row r="8873" spans="3:4" x14ac:dyDescent="0.25">
      <c r="C8873" s="1"/>
      <c r="D8873" s="1"/>
    </row>
    <row r="8874" spans="3:4" x14ac:dyDescent="0.25">
      <c r="C8874" s="1"/>
      <c r="D8874" s="1"/>
    </row>
    <row r="8875" spans="3:4" x14ac:dyDescent="0.25">
      <c r="C8875" s="1"/>
      <c r="D8875" s="1"/>
    </row>
    <row r="8876" spans="3:4" x14ac:dyDescent="0.25">
      <c r="C8876" s="1"/>
      <c r="D8876" s="1"/>
    </row>
    <row r="8877" spans="3:4" x14ac:dyDescent="0.25">
      <c r="C8877" s="1"/>
      <c r="D8877" s="1"/>
    </row>
    <row r="8878" spans="3:4" x14ac:dyDescent="0.25">
      <c r="C8878" s="1"/>
      <c r="D8878" s="1"/>
    </row>
    <row r="8879" spans="3:4" x14ac:dyDescent="0.25">
      <c r="C8879" s="1"/>
      <c r="D8879" s="1"/>
    </row>
    <row r="8880" spans="3:4" x14ac:dyDescent="0.25">
      <c r="C8880" s="1"/>
      <c r="D8880" s="1"/>
    </row>
    <row r="8881" spans="3:4" x14ac:dyDescent="0.25">
      <c r="C8881" s="1"/>
      <c r="D8881" s="1"/>
    </row>
    <row r="8882" spans="3:4" x14ac:dyDescent="0.25">
      <c r="C8882" s="1"/>
      <c r="D8882" s="1"/>
    </row>
    <row r="8883" spans="3:4" x14ac:dyDescent="0.25">
      <c r="C8883" s="1"/>
      <c r="D8883" s="1"/>
    </row>
    <row r="8884" spans="3:4" x14ac:dyDescent="0.25">
      <c r="C8884" s="1"/>
      <c r="D8884" s="1"/>
    </row>
    <row r="8885" spans="3:4" x14ac:dyDescent="0.25">
      <c r="C8885" s="1"/>
      <c r="D8885" s="1"/>
    </row>
    <row r="8886" spans="3:4" x14ac:dyDescent="0.25">
      <c r="C8886" s="1"/>
      <c r="D8886" s="1"/>
    </row>
    <row r="8887" spans="3:4" x14ac:dyDescent="0.25">
      <c r="C8887" s="1"/>
      <c r="D8887" s="1"/>
    </row>
    <row r="8888" spans="3:4" x14ac:dyDescent="0.25">
      <c r="C8888" s="1"/>
      <c r="D8888" s="1"/>
    </row>
    <row r="8889" spans="3:4" x14ac:dyDescent="0.25">
      <c r="C8889" s="1"/>
      <c r="D8889" s="1"/>
    </row>
    <row r="8890" spans="3:4" x14ac:dyDescent="0.25">
      <c r="C8890" s="1"/>
      <c r="D8890" s="1"/>
    </row>
    <row r="8891" spans="3:4" x14ac:dyDescent="0.25">
      <c r="C8891" s="1"/>
      <c r="D8891" s="1"/>
    </row>
    <row r="8892" spans="3:4" x14ac:dyDescent="0.25">
      <c r="C8892" s="1"/>
      <c r="D8892" s="1"/>
    </row>
    <row r="8893" spans="3:4" x14ac:dyDescent="0.25">
      <c r="C8893" s="1"/>
      <c r="D8893" s="1"/>
    </row>
    <row r="8894" spans="3:4" x14ac:dyDescent="0.25">
      <c r="C8894" s="1"/>
      <c r="D8894" s="1"/>
    </row>
    <row r="8895" spans="3:4" x14ac:dyDescent="0.25">
      <c r="C8895" s="1"/>
      <c r="D8895" s="1"/>
    </row>
    <row r="8896" spans="3:4" x14ac:dyDescent="0.25">
      <c r="C8896" s="1"/>
      <c r="D8896" s="1"/>
    </row>
    <row r="8897" spans="3:4" x14ac:dyDescent="0.25">
      <c r="C8897" s="1"/>
      <c r="D8897" s="1"/>
    </row>
    <row r="8898" spans="3:4" x14ac:dyDescent="0.25">
      <c r="C8898" s="1"/>
      <c r="D8898" s="1"/>
    </row>
    <row r="8899" spans="3:4" x14ac:dyDescent="0.25">
      <c r="C8899" s="1"/>
      <c r="D8899" s="1"/>
    </row>
    <row r="8900" spans="3:4" x14ac:dyDescent="0.25">
      <c r="C8900" s="1"/>
      <c r="D8900" s="1"/>
    </row>
    <row r="8901" spans="3:4" x14ac:dyDescent="0.25">
      <c r="C8901" s="1"/>
      <c r="D8901" s="1"/>
    </row>
    <row r="8902" spans="3:4" x14ac:dyDescent="0.25">
      <c r="C8902" s="1"/>
      <c r="D8902" s="1"/>
    </row>
    <row r="8903" spans="3:4" x14ac:dyDescent="0.25">
      <c r="C8903" s="1"/>
      <c r="D8903" s="1"/>
    </row>
    <row r="8904" spans="3:4" x14ac:dyDescent="0.25">
      <c r="C8904" s="1"/>
      <c r="D8904" s="1"/>
    </row>
    <row r="8905" spans="3:4" x14ac:dyDescent="0.25">
      <c r="C8905" s="1"/>
      <c r="D8905" s="1"/>
    </row>
    <row r="8906" spans="3:4" x14ac:dyDescent="0.25">
      <c r="C8906" s="1"/>
      <c r="D8906" s="1"/>
    </row>
    <row r="8907" spans="3:4" x14ac:dyDescent="0.25">
      <c r="C8907" s="1"/>
      <c r="D8907" s="1"/>
    </row>
    <row r="8908" spans="3:4" x14ac:dyDescent="0.25">
      <c r="C8908" s="1"/>
      <c r="D8908" s="1"/>
    </row>
    <row r="8909" spans="3:4" x14ac:dyDescent="0.25">
      <c r="C8909" s="1"/>
      <c r="D8909" s="1"/>
    </row>
    <row r="8910" spans="3:4" x14ac:dyDescent="0.25">
      <c r="C8910" s="1"/>
      <c r="D8910" s="1"/>
    </row>
    <row r="8911" spans="3:4" x14ac:dyDescent="0.25">
      <c r="C8911" s="1"/>
      <c r="D8911" s="1"/>
    </row>
    <row r="8912" spans="3:4" x14ac:dyDescent="0.25">
      <c r="C8912" s="1"/>
      <c r="D8912" s="1"/>
    </row>
    <row r="8913" spans="3:4" x14ac:dyDescent="0.25">
      <c r="C8913" s="1"/>
      <c r="D8913" s="1"/>
    </row>
    <row r="8914" spans="3:4" x14ac:dyDescent="0.25">
      <c r="C8914" s="1"/>
      <c r="D8914" s="1"/>
    </row>
    <row r="8915" spans="3:4" x14ac:dyDescent="0.25">
      <c r="C8915" s="1"/>
      <c r="D8915" s="1"/>
    </row>
    <row r="8916" spans="3:4" x14ac:dyDescent="0.25">
      <c r="C8916" s="1"/>
      <c r="D8916" s="1"/>
    </row>
    <row r="8917" spans="3:4" x14ac:dyDescent="0.25">
      <c r="C8917" s="1"/>
      <c r="D8917" s="1"/>
    </row>
    <row r="8918" spans="3:4" x14ac:dyDescent="0.25">
      <c r="C8918" s="1"/>
      <c r="D8918" s="1"/>
    </row>
    <row r="8919" spans="3:4" x14ac:dyDescent="0.25">
      <c r="C8919" s="1"/>
      <c r="D8919" s="1"/>
    </row>
    <row r="8920" spans="3:4" x14ac:dyDescent="0.25">
      <c r="C8920" s="1"/>
      <c r="D8920" s="1"/>
    </row>
    <row r="8921" spans="3:4" x14ac:dyDescent="0.25">
      <c r="C8921" s="1"/>
      <c r="D8921" s="1"/>
    </row>
    <row r="8922" spans="3:4" x14ac:dyDescent="0.25">
      <c r="C8922" s="1"/>
      <c r="D8922" s="1"/>
    </row>
    <row r="8923" spans="3:4" x14ac:dyDescent="0.25">
      <c r="C8923" s="1"/>
      <c r="D8923" s="1"/>
    </row>
    <row r="8924" spans="3:4" x14ac:dyDescent="0.25">
      <c r="C8924" s="1"/>
      <c r="D8924" s="1"/>
    </row>
    <row r="8925" spans="3:4" x14ac:dyDescent="0.25">
      <c r="C8925" s="1"/>
      <c r="D8925" s="1"/>
    </row>
    <row r="8926" spans="3:4" x14ac:dyDescent="0.25">
      <c r="C8926" s="1"/>
      <c r="D8926" s="1"/>
    </row>
    <row r="8927" spans="3:4" x14ac:dyDescent="0.25">
      <c r="C8927" s="1"/>
      <c r="D8927" s="1"/>
    </row>
    <row r="8928" spans="3:4" x14ac:dyDescent="0.25">
      <c r="C8928" s="1"/>
      <c r="D8928" s="1"/>
    </row>
    <row r="8929" spans="3:4" x14ac:dyDescent="0.25">
      <c r="C8929" s="1"/>
      <c r="D8929" s="1"/>
    </row>
    <row r="8930" spans="3:4" x14ac:dyDescent="0.25">
      <c r="C8930" s="1"/>
      <c r="D8930" s="1"/>
    </row>
    <row r="8931" spans="3:4" x14ac:dyDescent="0.25">
      <c r="C8931" s="1"/>
      <c r="D8931" s="1"/>
    </row>
    <row r="8932" spans="3:4" x14ac:dyDescent="0.25">
      <c r="C8932" s="1"/>
      <c r="D8932" s="1"/>
    </row>
    <row r="8933" spans="3:4" x14ac:dyDescent="0.25">
      <c r="C8933" s="1"/>
      <c r="D8933" s="1"/>
    </row>
    <row r="8934" spans="3:4" x14ac:dyDescent="0.25">
      <c r="C8934" s="1"/>
      <c r="D8934" s="1"/>
    </row>
    <row r="8935" spans="3:4" x14ac:dyDescent="0.25">
      <c r="C8935" s="1"/>
      <c r="D8935" s="1"/>
    </row>
    <row r="8936" spans="3:4" x14ac:dyDescent="0.25">
      <c r="C8936" s="1"/>
      <c r="D8936" s="1"/>
    </row>
    <row r="8937" spans="3:4" x14ac:dyDescent="0.25">
      <c r="C8937" s="1"/>
      <c r="D8937" s="1"/>
    </row>
    <row r="8938" spans="3:4" x14ac:dyDescent="0.25">
      <c r="C8938" s="1"/>
      <c r="D8938" s="1"/>
    </row>
    <row r="8939" spans="3:4" x14ac:dyDescent="0.25">
      <c r="C8939" s="1"/>
      <c r="D8939" s="1"/>
    </row>
    <row r="8940" spans="3:4" x14ac:dyDescent="0.25">
      <c r="C8940" s="1"/>
      <c r="D8940" s="1"/>
    </row>
    <row r="8941" spans="3:4" x14ac:dyDescent="0.25">
      <c r="C8941" s="1"/>
      <c r="D8941" s="1"/>
    </row>
    <row r="8942" spans="3:4" x14ac:dyDescent="0.25">
      <c r="C8942" s="1"/>
      <c r="D8942" s="1"/>
    </row>
    <row r="8943" spans="3:4" x14ac:dyDescent="0.25">
      <c r="C8943" s="1"/>
      <c r="D8943" s="1"/>
    </row>
    <row r="8944" spans="3:4" x14ac:dyDescent="0.25">
      <c r="C8944" s="1"/>
      <c r="D8944" s="1"/>
    </row>
    <row r="8945" spans="3:4" x14ac:dyDescent="0.25">
      <c r="C8945" s="1"/>
      <c r="D8945" s="1"/>
    </row>
    <row r="8946" spans="3:4" x14ac:dyDescent="0.25">
      <c r="C8946" s="1"/>
      <c r="D8946" s="1"/>
    </row>
    <row r="8947" spans="3:4" x14ac:dyDescent="0.25">
      <c r="C8947" s="1"/>
      <c r="D8947" s="1"/>
    </row>
    <row r="8948" spans="3:4" x14ac:dyDescent="0.25">
      <c r="C8948" s="1"/>
      <c r="D8948" s="1"/>
    </row>
    <row r="8949" spans="3:4" x14ac:dyDescent="0.25">
      <c r="C8949" s="1"/>
      <c r="D8949" s="1"/>
    </row>
    <row r="8950" spans="3:4" x14ac:dyDescent="0.25">
      <c r="C8950" s="1"/>
      <c r="D8950" s="1"/>
    </row>
    <row r="8951" spans="3:4" x14ac:dyDescent="0.25">
      <c r="C8951" s="1"/>
      <c r="D8951" s="1"/>
    </row>
    <row r="8952" spans="3:4" x14ac:dyDescent="0.25">
      <c r="C8952" s="1"/>
      <c r="D8952" s="1"/>
    </row>
    <row r="8953" spans="3:4" x14ac:dyDescent="0.25">
      <c r="C8953" s="1"/>
      <c r="D8953" s="1"/>
    </row>
    <row r="8954" spans="3:4" x14ac:dyDescent="0.25">
      <c r="C8954" s="1"/>
      <c r="D8954" s="1"/>
    </row>
    <row r="8955" spans="3:4" x14ac:dyDescent="0.25">
      <c r="C8955" s="1"/>
      <c r="D8955" s="1"/>
    </row>
    <row r="8956" spans="3:4" x14ac:dyDescent="0.25">
      <c r="C8956" s="1"/>
      <c r="D8956" s="1"/>
    </row>
    <row r="8957" spans="3:4" x14ac:dyDescent="0.25">
      <c r="C8957" s="1"/>
      <c r="D8957" s="1"/>
    </row>
    <row r="8958" spans="3:4" x14ac:dyDescent="0.25">
      <c r="C8958" s="1"/>
      <c r="D8958" s="1"/>
    </row>
    <row r="8959" spans="3:4" x14ac:dyDescent="0.25">
      <c r="C8959" s="1"/>
      <c r="D8959" s="1"/>
    </row>
    <row r="8960" spans="3:4" x14ac:dyDescent="0.25">
      <c r="C8960" s="1"/>
      <c r="D8960" s="1"/>
    </row>
    <row r="8961" spans="3:4" x14ac:dyDescent="0.25">
      <c r="C8961" s="1"/>
      <c r="D8961" s="1"/>
    </row>
    <row r="8962" spans="3:4" x14ac:dyDescent="0.25">
      <c r="C8962" s="1"/>
      <c r="D8962" s="1"/>
    </row>
    <row r="8963" spans="3:4" x14ac:dyDescent="0.25">
      <c r="C8963" s="1"/>
      <c r="D8963" s="1"/>
    </row>
    <row r="8964" spans="3:4" x14ac:dyDescent="0.25">
      <c r="C8964" s="1"/>
      <c r="D8964" s="1"/>
    </row>
    <row r="8965" spans="3:4" x14ac:dyDescent="0.25">
      <c r="C8965" s="1"/>
      <c r="D8965" s="1"/>
    </row>
    <row r="8966" spans="3:4" x14ac:dyDescent="0.25">
      <c r="C8966" s="1"/>
      <c r="D8966" s="1"/>
    </row>
    <row r="8967" spans="3:4" x14ac:dyDescent="0.25">
      <c r="C8967" s="1"/>
      <c r="D8967" s="1"/>
    </row>
    <row r="8968" spans="3:4" x14ac:dyDescent="0.25">
      <c r="C8968" s="1"/>
      <c r="D8968" s="1"/>
    </row>
    <row r="8969" spans="3:4" x14ac:dyDescent="0.25">
      <c r="C8969" s="1"/>
      <c r="D8969" s="1"/>
    </row>
    <row r="8970" spans="3:4" x14ac:dyDescent="0.25">
      <c r="C8970" s="1"/>
      <c r="D8970" s="1"/>
    </row>
    <row r="8971" spans="3:4" x14ac:dyDescent="0.25">
      <c r="C8971" s="1"/>
      <c r="D8971" s="1"/>
    </row>
    <row r="8972" spans="3:4" x14ac:dyDescent="0.25">
      <c r="C8972" s="1"/>
      <c r="D8972" s="1"/>
    </row>
    <row r="8973" spans="3:4" x14ac:dyDescent="0.25">
      <c r="C8973" s="1"/>
      <c r="D8973" s="1"/>
    </row>
    <row r="8974" spans="3:4" x14ac:dyDescent="0.25">
      <c r="C8974" s="1"/>
      <c r="D8974" s="1"/>
    </row>
    <row r="8975" spans="3:4" x14ac:dyDescent="0.25">
      <c r="C8975" s="1"/>
      <c r="D8975" s="1"/>
    </row>
    <row r="8976" spans="3:4" x14ac:dyDescent="0.25">
      <c r="C8976" s="1"/>
      <c r="D8976" s="1"/>
    </row>
    <row r="8977" spans="3:4" x14ac:dyDescent="0.25">
      <c r="C8977" s="1"/>
      <c r="D8977" s="1"/>
    </row>
    <row r="8978" spans="3:4" x14ac:dyDescent="0.25">
      <c r="C8978" s="1"/>
      <c r="D8978" s="1"/>
    </row>
    <row r="8979" spans="3:4" x14ac:dyDescent="0.25">
      <c r="C8979" s="1"/>
      <c r="D8979" s="1"/>
    </row>
    <row r="8980" spans="3:4" x14ac:dyDescent="0.25">
      <c r="C8980" s="1"/>
      <c r="D8980" s="1"/>
    </row>
    <row r="8981" spans="3:4" x14ac:dyDescent="0.25">
      <c r="C8981" s="1"/>
      <c r="D8981" s="1"/>
    </row>
    <row r="8982" spans="3:4" x14ac:dyDescent="0.25">
      <c r="C8982" s="1"/>
      <c r="D8982" s="1"/>
    </row>
    <row r="8983" spans="3:4" x14ac:dyDescent="0.25">
      <c r="C8983" s="1"/>
      <c r="D8983" s="1"/>
    </row>
    <row r="8984" spans="3:4" x14ac:dyDescent="0.25">
      <c r="C8984" s="1"/>
      <c r="D8984" s="1"/>
    </row>
    <row r="8985" spans="3:4" x14ac:dyDescent="0.25">
      <c r="C8985" s="1"/>
      <c r="D8985" s="1"/>
    </row>
    <row r="8986" spans="3:4" x14ac:dyDescent="0.25">
      <c r="C8986" s="1"/>
      <c r="D8986" s="1"/>
    </row>
    <row r="8987" spans="3:4" x14ac:dyDescent="0.25">
      <c r="C8987" s="1"/>
      <c r="D8987" s="1"/>
    </row>
    <row r="8988" spans="3:4" x14ac:dyDescent="0.25">
      <c r="C8988" s="1"/>
      <c r="D8988" s="1"/>
    </row>
    <row r="8989" spans="3:4" x14ac:dyDescent="0.25">
      <c r="C8989" s="1"/>
      <c r="D8989" s="1"/>
    </row>
    <row r="8990" spans="3:4" x14ac:dyDescent="0.25">
      <c r="C8990" s="1"/>
      <c r="D8990" s="1"/>
    </row>
    <row r="8991" spans="3:4" x14ac:dyDescent="0.25">
      <c r="C8991" s="1"/>
      <c r="D8991" s="1"/>
    </row>
    <row r="8992" spans="3:4" x14ac:dyDescent="0.25">
      <c r="C8992" s="1"/>
      <c r="D8992" s="1"/>
    </row>
    <row r="8993" spans="3:4" x14ac:dyDescent="0.25">
      <c r="C8993" s="1"/>
      <c r="D8993" s="1"/>
    </row>
    <row r="8994" spans="3:4" x14ac:dyDescent="0.25">
      <c r="C8994" s="1"/>
      <c r="D8994" s="1"/>
    </row>
    <row r="8995" spans="3:4" x14ac:dyDescent="0.25">
      <c r="C8995" s="1"/>
      <c r="D8995" s="1"/>
    </row>
    <row r="8996" spans="3:4" x14ac:dyDescent="0.25">
      <c r="C8996" s="1"/>
      <c r="D8996" s="1"/>
    </row>
    <row r="8997" spans="3:4" x14ac:dyDescent="0.25">
      <c r="C8997" s="1"/>
      <c r="D8997" s="1"/>
    </row>
    <row r="8998" spans="3:4" x14ac:dyDescent="0.25">
      <c r="C8998" s="1"/>
      <c r="D8998" s="1"/>
    </row>
    <row r="8999" spans="3:4" x14ac:dyDescent="0.25">
      <c r="C8999" s="1"/>
      <c r="D8999" s="1"/>
    </row>
    <row r="9000" spans="3:4" x14ac:dyDescent="0.25">
      <c r="C9000" s="1"/>
      <c r="D9000" s="1"/>
    </row>
    <row r="9001" spans="3:4" x14ac:dyDescent="0.25">
      <c r="C9001" s="1"/>
      <c r="D9001" s="1"/>
    </row>
    <row r="9002" spans="3:4" x14ac:dyDescent="0.25">
      <c r="C9002" s="1"/>
      <c r="D9002" s="1"/>
    </row>
    <row r="9003" spans="3:4" x14ac:dyDescent="0.25">
      <c r="C9003" s="1"/>
      <c r="D9003" s="1"/>
    </row>
    <row r="9004" spans="3:4" x14ac:dyDescent="0.25">
      <c r="C9004" s="1"/>
      <c r="D9004" s="1"/>
    </row>
    <row r="9005" spans="3:4" x14ac:dyDescent="0.25">
      <c r="C9005" s="1"/>
      <c r="D9005" s="1"/>
    </row>
    <row r="9006" spans="3:4" x14ac:dyDescent="0.25">
      <c r="C9006" s="1"/>
      <c r="D9006" s="1"/>
    </row>
    <row r="9007" spans="3:4" x14ac:dyDescent="0.25">
      <c r="C9007" s="1"/>
      <c r="D9007" s="1"/>
    </row>
    <row r="9008" spans="3:4" x14ac:dyDescent="0.25">
      <c r="C9008" s="1"/>
      <c r="D9008" s="1"/>
    </row>
    <row r="9009" spans="3:4" x14ac:dyDescent="0.25">
      <c r="C9009" s="1"/>
      <c r="D9009" s="1"/>
    </row>
    <row r="9010" spans="3:4" x14ac:dyDescent="0.25">
      <c r="C9010" s="1"/>
      <c r="D9010" s="1"/>
    </row>
    <row r="9011" spans="3:4" x14ac:dyDescent="0.25">
      <c r="C9011" s="1"/>
      <c r="D9011" s="1"/>
    </row>
    <row r="9012" spans="3:4" x14ac:dyDescent="0.25">
      <c r="C9012" s="1"/>
      <c r="D9012" s="1"/>
    </row>
    <row r="9013" spans="3:4" x14ac:dyDescent="0.25">
      <c r="C9013" s="1"/>
      <c r="D9013" s="1"/>
    </row>
    <row r="9014" spans="3:4" x14ac:dyDescent="0.25">
      <c r="C9014" s="1"/>
      <c r="D9014" s="1"/>
    </row>
    <row r="9015" spans="3:4" x14ac:dyDescent="0.25">
      <c r="C9015" s="1"/>
      <c r="D9015" s="1"/>
    </row>
    <row r="9016" spans="3:4" x14ac:dyDescent="0.25">
      <c r="C9016" s="1"/>
      <c r="D9016" s="1"/>
    </row>
    <row r="9017" spans="3:4" x14ac:dyDescent="0.25">
      <c r="C9017" s="1"/>
      <c r="D9017" s="1"/>
    </row>
    <row r="9018" spans="3:4" x14ac:dyDescent="0.25">
      <c r="C9018" s="1"/>
      <c r="D9018" s="1"/>
    </row>
    <row r="9019" spans="3:4" x14ac:dyDescent="0.25">
      <c r="C9019" s="1"/>
      <c r="D9019" s="1"/>
    </row>
    <row r="9020" spans="3:4" x14ac:dyDescent="0.25">
      <c r="C9020" s="1"/>
      <c r="D9020" s="1"/>
    </row>
    <row r="9021" spans="3:4" x14ac:dyDescent="0.25">
      <c r="C9021" s="1"/>
      <c r="D9021" s="1"/>
    </row>
    <row r="9022" spans="3:4" x14ac:dyDescent="0.25">
      <c r="C9022" s="1"/>
      <c r="D9022" s="1"/>
    </row>
    <row r="9023" spans="3:4" x14ac:dyDescent="0.25">
      <c r="C9023" s="1"/>
      <c r="D9023" s="1"/>
    </row>
    <row r="9024" spans="3:4" x14ac:dyDescent="0.25">
      <c r="C9024" s="1"/>
      <c r="D9024" s="1"/>
    </row>
    <row r="9025" spans="3:4" x14ac:dyDescent="0.25">
      <c r="C9025" s="1"/>
      <c r="D9025" s="1"/>
    </row>
    <row r="9026" spans="3:4" x14ac:dyDescent="0.25">
      <c r="C9026" s="1"/>
      <c r="D9026" s="1"/>
    </row>
    <row r="9027" spans="3:4" x14ac:dyDescent="0.25">
      <c r="C9027" s="1"/>
      <c r="D9027" s="1"/>
    </row>
    <row r="9028" spans="3:4" x14ac:dyDescent="0.25">
      <c r="C9028" s="1"/>
      <c r="D9028" s="1"/>
    </row>
    <row r="9029" spans="3:4" x14ac:dyDescent="0.25">
      <c r="C9029" s="1"/>
      <c r="D9029" s="1"/>
    </row>
    <row r="9030" spans="3:4" x14ac:dyDescent="0.25">
      <c r="C9030" s="1"/>
      <c r="D9030" s="1"/>
    </row>
    <row r="9031" spans="3:4" x14ac:dyDescent="0.25">
      <c r="C9031" s="1"/>
      <c r="D9031" s="1"/>
    </row>
    <row r="9032" spans="3:4" x14ac:dyDescent="0.25">
      <c r="C9032" s="1"/>
      <c r="D9032" s="1"/>
    </row>
    <row r="9033" spans="3:4" x14ac:dyDescent="0.25">
      <c r="C9033" s="1"/>
      <c r="D9033" s="1"/>
    </row>
    <row r="9034" spans="3:4" x14ac:dyDescent="0.25">
      <c r="C9034" s="1"/>
      <c r="D9034" s="1"/>
    </row>
    <row r="9035" spans="3:4" x14ac:dyDescent="0.25">
      <c r="C9035" s="1"/>
      <c r="D9035" s="1"/>
    </row>
    <row r="9036" spans="3:4" x14ac:dyDescent="0.25">
      <c r="C9036" s="1"/>
      <c r="D9036" s="1"/>
    </row>
    <row r="9037" spans="3:4" x14ac:dyDescent="0.25">
      <c r="C9037" s="1"/>
      <c r="D9037" s="1"/>
    </row>
    <row r="9038" spans="3:4" x14ac:dyDescent="0.25">
      <c r="C9038" s="1"/>
      <c r="D9038" s="1"/>
    </row>
    <row r="9039" spans="3:4" x14ac:dyDescent="0.25">
      <c r="C9039" s="1"/>
      <c r="D9039" s="1"/>
    </row>
    <row r="9040" spans="3:4" x14ac:dyDescent="0.25">
      <c r="C9040" s="1"/>
      <c r="D9040" s="1"/>
    </row>
    <row r="9041" spans="3:4" x14ac:dyDescent="0.25">
      <c r="C9041" s="1"/>
      <c r="D9041" s="1"/>
    </row>
    <row r="9042" spans="3:4" x14ac:dyDescent="0.25">
      <c r="C9042" s="1"/>
      <c r="D9042" s="1"/>
    </row>
    <row r="9043" spans="3:4" x14ac:dyDescent="0.25">
      <c r="C9043" s="1"/>
      <c r="D9043" s="1"/>
    </row>
    <row r="9044" spans="3:4" x14ac:dyDescent="0.25">
      <c r="C9044" s="1"/>
      <c r="D9044" s="1"/>
    </row>
    <row r="9045" spans="3:4" x14ac:dyDescent="0.25">
      <c r="C9045" s="1"/>
      <c r="D9045" s="1"/>
    </row>
    <row r="9046" spans="3:4" x14ac:dyDescent="0.25">
      <c r="C9046" s="1"/>
      <c r="D9046" s="1"/>
    </row>
    <row r="9047" spans="3:4" x14ac:dyDescent="0.25">
      <c r="C9047" s="1"/>
      <c r="D9047" s="1"/>
    </row>
    <row r="9048" spans="3:4" x14ac:dyDescent="0.25">
      <c r="C9048" s="1"/>
      <c r="D9048" s="1"/>
    </row>
    <row r="9049" spans="3:4" x14ac:dyDescent="0.25">
      <c r="C9049" s="1"/>
      <c r="D9049" s="1"/>
    </row>
    <row r="9050" spans="3:4" x14ac:dyDescent="0.25">
      <c r="C9050" s="1"/>
      <c r="D9050" s="1"/>
    </row>
    <row r="9051" spans="3:4" x14ac:dyDescent="0.25">
      <c r="C9051" s="1"/>
      <c r="D9051" s="1"/>
    </row>
    <row r="9052" spans="3:4" x14ac:dyDescent="0.25">
      <c r="C9052" s="1"/>
      <c r="D9052" s="1"/>
    </row>
    <row r="9053" spans="3:4" x14ac:dyDescent="0.25">
      <c r="C9053" s="1"/>
      <c r="D9053" s="1"/>
    </row>
    <row r="9054" spans="3:4" x14ac:dyDescent="0.25">
      <c r="C9054" s="1"/>
      <c r="D9054" s="1"/>
    </row>
    <row r="9055" spans="3:4" x14ac:dyDescent="0.25">
      <c r="C9055" s="1"/>
      <c r="D9055" s="1"/>
    </row>
    <row r="9056" spans="3:4" x14ac:dyDescent="0.25">
      <c r="C9056" s="1"/>
      <c r="D9056" s="1"/>
    </row>
    <row r="9057" spans="3:4" x14ac:dyDescent="0.25">
      <c r="C9057" s="1"/>
      <c r="D9057" s="1"/>
    </row>
    <row r="9058" spans="3:4" x14ac:dyDescent="0.25">
      <c r="C9058" s="1"/>
      <c r="D9058" s="1"/>
    </row>
    <row r="9059" spans="3:4" x14ac:dyDescent="0.25">
      <c r="C9059" s="1"/>
      <c r="D9059" s="1"/>
    </row>
    <row r="9060" spans="3:4" x14ac:dyDescent="0.25">
      <c r="C9060" s="1"/>
      <c r="D9060" s="1"/>
    </row>
    <row r="9061" spans="3:4" x14ac:dyDescent="0.25">
      <c r="C9061" s="1"/>
      <c r="D9061" s="1"/>
    </row>
    <row r="9062" spans="3:4" x14ac:dyDescent="0.25">
      <c r="C9062" s="1"/>
      <c r="D9062" s="1"/>
    </row>
    <row r="9063" spans="3:4" x14ac:dyDescent="0.25">
      <c r="C9063" s="1"/>
      <c r="D9063" s="1"/>
    </row>
    <row r="9064" spans="3:4" x14ac:dyDescent="0.25">
      <c r="C9064" s="1"/>
      <c r="D9064" s="1"/>
    </row>
    <row r="9065" spans="3:4" x14ac:dyDescent="0.25">
      <c r="C9065" s="1"/>
      <c r="D9065" s="1"/>
    </row>
    <row r="9066" spans="3:4" x14ac:dyDescent="0.25">
      <c r="C9066" s="1"/>
      <c r="D9066" s="1"/>
    </row>
    <row r="9067" spans="3:4" x14ac:dyDescent="0.25">
      <c r="C9067" s="1"/>
      <c r="D9067" s="1"/>
    </row>
    <row r="9068" spans="3:4" x14ac:dyDescent="0.25">
      <c r="C9068" s="1"/>
      <c r="D9068" s="1"/>
    </row>
    <row r="9069" spans="3:4" x14ac:dyDescent="0.25">
      <c r="C9069" s="1"/>
      <c r="D9069" s="1"/>
    </row>
    <row r="9070" spans="3:4" x14ac:dyDescent="0.25">
      <c r="C9070" s="1"/>
      <c r="D9070" s="1"/>
    </row>
    <row r="9071" spans="3:4" x14ac:dyDescent="0.25">
      <c r="C9071" s="1"/>
      <c r="D9071" s="1"/>
    </row>
    <row r="9072" spans="3:4" x14ac:dyDescent="0.25">
      <c r="C9072" s="1"/>
      <c r="D9072" s="1"/>
    </row>
    <row r="9073" spans="3:4" x14ac:dyDescent="0.25">
      <c r="C9073" s="1"/>
      <c r="D9073" s="1"/>
    </row>
    <row r="9074" spans="3:4" x14ac:dyDescent="0.25">
      <c r="C9074" s="1"/>
      <c r="D9074" s="1"/>
    </row>
    <row r="9075" spans="3:4" x14ac:dyDescent="0.25">
      <c r="C9075" s="1"/>
      <c r="D9075" s="1"/>
    </row>
    <row r="9076" spans="3:4" x14ac:dyDescent="0.25">
      <c r="C9076" s="1"/>
      <c r="D9076" s="1"/>
    </row>
    <row r="9077" spans="3:4" x14ac:dyDescent="0.25">
      <c r="C9077" s="1"/>
      <c r="D9077" s="1"/>
    </row>
    <row r="9078" spans="3:4" x14ac:dyDescent="0.25">
      <c r="C9078" s="1"/>
      <c r="D9078" s="1"/>
    </row>
    <row r="9079" spans="3:4" x14ac:dyDescent="0.25">
      <c r="C9079" s="1"/>
      <c r="D9079" s="1"/>
    </row>
    <row r="9080" spans="3:4" x14ac:dyDescent="0.25">
      <c r="C9080" s="1"/>
      <c r="D9080" s="1"/>
    </row>
    <row r="9081" spans="3:4" x14ac:dyDescent="0.25">
      <c r="C9081" s="1"/>
      <c r="D9081" s="1"/>
    </row>
    <row r="9082" spans="3:4" x14ac:dyDescent="0.25">
      <c r="C9082" s="1"/>
      <c r="D9082" s="1"/>
    </row>
    <row r="9083" spans="3:4" x14ac:dyDescent="0.25">
      <c r="C9083" s="1"/>
      <c r="D9083" s="1"/>
    </row>
    <row r="9084" spans="3:4" x14ac:dyDescent="0.25">
      <c r="C9084" s="1"/>
      <c r="D9084" s="1"/>
    </row>
    <row r="9085" spans="3:4" x14ac:dyDescent="0.25">
      <c r="C9085" s="1"/>
      <c r="D9085" s="1"/>
    </row>
    <row r="9086" spans="3:4" x14ac:dyDescent="0.25">
      <c r="C9086" s="1"/>
      <c r="D9086" s="1"/>
    </row>
    <row r="9087" spans="3:4" x14ac:dyDescent="0.25">
      <c r="C9087" s="1"/>
      <c r="D9087" s="1"/>
    </row>
    <row r="9088" spans="3:4" x14ac:dyDescent="0.25">
      <c r="C9088" s="1"/>
      <c r="D9088" s="1"/>
    </row>
    <row r="9089" spans="3:4" x14ac:dyDescent="0.25">
      <c r="C9089" s="1"/>
      <c r="D9089" s="1"/>
    </row>
    <row r="9090" spans="3:4" x14ac:dyDescent="0.25">
      <c r="C9090" s="1"/>
      <c r="D9090" s="1"/>
    </row>
    <row r="9091" spans="3:4" x14ac:dyDescent="0.25">
      <c r="C9091" s="1"/>
      <c r="D9091" s="1"/>
    </row>
    <row r="9092" spans="3:4" x14ac:dyDescent="0.25">
      <c r="C9092" s="1"/>
      <c r="D9092" s="1"/>
    </row>
    <row r="9093" spans="3:4" x14ac:dyDescent="0.25">
      <c r="C9093" s="1"/>
      <c r="D9093" s="1"/>
    </row>
    <row r="9094" spans="3:4" x14ac:dyDescent="0.25">
      <c r="C9094" s="1"/>
      <c r="D9094" s="1"/>
    </row>
    <row r="9095" spans="3:4" x14ac:dyDescent="0.25">
      <c r="C9095" s="1"/>
      <c r="D9095" s="1"/>
    </row>
    <row r="9096" spans="3:4" x14ac:dyDescent="0.25">
      <c r="C9096" s="1"/>
      <c r="D9096" s="1"/>
    </row>
    <row r="9097" spans="3:4" x14ac:dyDescent="0.25">
      <c r="C9097" s="1"/>
      <c r="D9097" s="1"/>
    </row>
    <row r="9098" spans="3:4" x14ac:dyDescent="0.25">
      <c r="C9098" s="1"/>
      <c r="D9098" s="1"/>
    </row>
    <row r="9099" spans="3:4" x14ac:dyDescent="0.25">
      <c r="C9099" s="1"/>
      <c r="D9099" s="1"/>
    </row>
    <row r="9100" spans="3:4" x14ac:dyDescent="0.25">
      <c r="C9100" s="1"/>
      <c r="D9100" s="1"/>
    </row>
    <row r="9101" spans="3:4" x14ac:dyDescent="0.25">
      <c r="C9101" s="1"/>
      <c r="D9101" s="1"/>
    </row>
    <row r="9102" spans="3:4" x14ac:dyDescent="0.25">
      <c r="C9102" s="1"/>
      <c r="D9102" s="1"/>
    </row>
    <row r="9103" spans="3:4" x14ac:dyDescent="0.25">
      <c r="C9103" s="1"/>
      <c r="D9103" s="1"/>
    </row>
    <row r="9104" spans="3:4" x14ac:dyDescent="0.25">
      <c r="C9104" s="1"/>
      <c r="D9104" s="1"/>
    </row>
    <row r="9105" spans="3:4" x14ac:dyDescent="0.25">
      <c r="C9105" s="1"/>
      <c r="D9105" s="1"/>
    </row>
    <row r="9106" spans="3:4" x14ac:dyDescent="0.25">
      <c r="C9106" s="1"/>
      <c r="D9106" s="1"/>
    </row>
    <row r="9107" spans="3:4" x14ac:dyDescent="0.25">
      <c r="C9107" s="1"/>
      <c r="D9107" s="1"/>
    </row>
    <row r="9108" spans="3:4" x14ac:dyDescent="0.25">
      <c r="C9108" s="1"/>
      <c r="D9108" s="1"/>
    </row>
    <row r="9109" spans="3:4" x14ac:dyDescent="0.25">
      <c r="C9109" s="1"/>
      <c r="D9109" s="1"/>
    </row>
    <row r="9110" spans="3:4" x14ac:dyDescent="0.25">
      <c r="C9110" s="1"/>
      <c r="D9110" s="1"/>
    </row>
    <row r="9111" spans="3:4" x14ac:dyDescent="0.25">
      <c r="C9111" s="1"/>
      <c r="D9111" s="1"/>
    </row>
    <row r="9112" spans="3:4" x14ac:dyDescent="0.25">
      <c r="C9112" s="1"/>
      <c r="D9112" s="1"/>
    </row>
    <row r="9113" spans="3:4" x14ac:dyDescent="0.25">
      <c r="C9113" s="1"/>
      <c r="D9113" s="1"/>
    </row>
    <row r="9114" spans="3:4" x14ac:dyDescent="0.25">
      <c r="C9114" s="1"/>
      <c r="D9114" s="1"/>
    </row>
    <row r="9115" spans="3:4" x14ac:dyDescent="0.25">
      <c r="C9115" s="1"/>
      <c r="D9115" s="1"/>
    </row>
    <row r="9116" spans="3:4" x14ac:dyDescent="0.25">
      <c r="C9116" s="1"/>
      <c r="D9116" s="1"/>
    </row>
    <row r="9117" spans="3:4" x14ac:dyDescent="0.25">
      <c r="C9117" s="1"/>
      <c r="D9117" s="1"/>
    </row>
    <row r="9118" spans="3:4" x14ac:dyDescent="0.25">
      <c r="C9118" s="1"/>
      <c r="D9118" s="1"/>
    </row>
    <row r="9119" spans="3:4" x14ac:dyDescent="0.25">
      <c r="C9119" s="1"/>
      <c r="D9119" s="1"/>
    </row>
    <row r="9120" spans="3:4" x14ac:dyDescent="0.25">
      <c r="C9120" s="1"/>
      <c r="D9120" s="1"/>
    </row>
    <row r="9121" spans="3:4" x14ac:dyDescent="0.25">
      <c r="C9121" s="1"/>
      <c r="D9121" s="1"/>
    </row>
    <row r="9122" spans="3:4" x14ac:dyDescent="0.25">
      <c r="C9122" s="1"/>
      <c r="D9122" s="1"/>
    </row>
    <row r="9123" spans="3:4" x14ac:dyDescent="0.25">
      <c r="C9123" s="1"/>
      <c r="D9123" s="1"/>
    </row>
    <row r="9124" spans="3:4" x14ac:dyDescent="0.25">
      <c r="C9124" s="1"/>
      <c r="D9124" s="1"/>
    </row>
    <row r="9125" spans="3:4" x14ac:dyDescent="0.25">
      <c r="C9125" s="1"/>
      <c r="D9125" s="1"/>
    </row>
    <row r="9126" spans="3:4" x14ac:dyDescent="0.25">
      <c r="C9126" s="1"/>
      <c r="D9126" s="1"/>
    </row>
    <row r="9127" spans="3:4" x14ac:dyDescent="0.25">
      <c r="C9127" s="1"/>
      <c r="D9127" s="1"/>
    </row>
    <row r="9128" spans="3:4" x14ac:dyDescent="0.25">
      <c r="C9128" s="1"/>
      <c r="D9128" s="1"/>
    </row>
    <row r="9129" spans="3:4" x14ac:dyDescent="0.25">
      <c r="C9129" s="1"/>
      <c r="D9129" s="1"/>
    </row>
    <row r="9130" spans="3:4" x14ac:dyDescent="0.25">
      <c r="C9130" s="1"/>
      <c r="D9130" s="1"/>
    </row>
    <row r="9131" spans="3:4" x14ac:dyDescent="0.25">
      <c r="C9131" s="1"/>
      <c r="D9131" s="1"/>
    </row>
    <row r="9132" spans="3:4" x14ac:dyDescent="0.25">
      <c r="C9132" s="1"/>
      <c r="D9132" s="1"/>
    </row>
    <row r="9133" spans="3:4" x14ac:dyDescent="0.25">
      <c r="C9133" s="1"/>
      <c r="D9133" s="1"/>
    </row>
    <row r="9134" spans="3:4" x14ac:dyDescent="0.25">
      <c r="C9134" s="1"/>
      <c r="D9134" s="1"/>
    </row>
    <row r="9135" spans="3:4" x14ac:dyDescent="0.25">
      <c r="C9135" s="1"/>
      <c r="D9135" s="1"/>
    </row>
    <row r="9136" spans="3:4" x14ac:dyDescent="0.25">
      <c r="C9136" s="1"/>
      <c r="D9136" s="1"/>
    </row>
    <row r="9137" spans="3:4" x14ac:dyDescent="0.25">
      <c r="C9137" s="1"/>
      <c r="D9137" s="1"/>
    </row>
    <row r="9138" spans="3:4" x14ac:dyDescent="0.25">
      <c r="C9138" s="1"/>
      <c r="D9138" s="1"/>
    </row>
    <row r="9139" spans="3:4" x14ac:dyDescent="0.25">
      <c r="C9139" s="1"/>
      <c r="D9139" s="1"/>
    </row>
    <row r="9140" spans="3:4" x14ac:dyDescent="0.25">
      <c r="C9140" s="1"/>
      <c r="D9140" s="1"/>
    </row>
    <row r="9141" spans="3:4" x14ac:dyDescent="0.25">
      <c r="C9141" s="1"/>
      <c r="D9141" s="1"/>
    </row>
    <row r="9142" spans="3:4" x14ac:dyDescent="0.25">
      <c r="C9142" s="1"/>
      <c r="D9142" s="1"/>
    </row>
    <row r="9143" spans="3:4" x14ac:dyDescent="0.25">
      <c r="C9143" s="1"/>
      <c r="D9143" s="1"/>
    </row>
    <row r="9144" spans="3:4" x14ac:dyDescent="0.25">
      <c r="C9144" s="1"/>
      <c r="D9144" s="1"/>
    </row>
    <row r="9145" spans="3:4" x14ac:dyDescent="0.25">
      <c r="C9145" s="1"/>
      <c r="D9145" s="1"/>
    </row>
    <row r="9146" spans="3:4" x14ac:dyDescent="0.25">
      <c r="C9146" s="1"/>
      <c r="D9146" s="1"/>
    </row>
    <row r="9147" spans="3:4" x14ac:dyDescent="0.25">
      <c r="C9147" s="1"/>
      <c r="D9147" s="1"/>
    </row>
    <row r="9148" spans="3:4" x14ac:dyDescent="0.25">
      <c r="C9148" s="1"/>
      <c r="D9148" s="1"/>
    </row>
    <row r="9149" spans="3:4" x14ac:dyDescent="0.25">
      <c r="C9149" s="1"/>
      <c r="D9149" s="1"/>
    </row>
    <row r="9150" spans="3:4" x14ac:dyDescent="0.25">
      <c r="C9150" s="1"/>
      <c r="D9150" s="1"/>
    </row>
    <row r="9151" spans="3:4" x14ac:dyDescent="0.25">
      <c r="C9151" s="1"/>
      <c r="D9151" s="1"/>
    </row>
    <row r="9152" spans="3:4" x14ac:dyDescent="0.25">
      <c r="C9152" s="1"/>
      <c r="D9152" s="1"/>
    </row>
    <row r="9153" spans="3:4" x14ac:dyDescent="0.25">
      <c r="C9153" s="1"/>
      <c r="D9153" s="1"/>
    </row>
    <row r="9154" spans="3:4" x14ac:dyDescent="0.25">
      <c r="C9154" s="1"/>
      <c r="D9154" s="1"/>
    </row>
    <row r="9155" spans="3:4" x14ac:dyDescent="0.25">
      <c r="C9155" s="1"/>
      <c r="D9155" s="1"/>
    </row>
    <row r="9156" spans="3:4" x14ac:dyDescent="0.25">
      <c r="C9156" s="1"/>
      <c r="D9156" s="1"/>
    </row>
    <row r="9157" spans="3:4" x14ac:dyDescent="0.25">
      <c r="C9157" s="1"/>
      <c r="D9157" s="1"/>
    </row>
    <row r="9158" spans="3:4" x14ac:dyDescent="0.25">
      <c r="C9158" s="1"/>
      <c r="D9158" s="1"/>
    </row>
    <row r="9159" spans="3:4" x14ac:dyDescent="0.25">
      <c r="C9159" s="1"/>
      <c r="D9159" s="1"/>
    </row>
    <row r="9160" spans="3:4" x14ac:dyDescent="0.25">
      <c r="C9160" s="1"/>
      <c r="D9160" s="1"/>
    </row>
    <row r="9161" spans="3:4" x14ac:dyDescent="0.25">
      <c r="C9161" s="1"/>
      <c r="D9161" s="1"/>
    </row>
    <row r="9162" spans="3:4" x14ac:dyDescent="0.25">
      <c r="C9162" s="1"/>
      <c r="D9162" s="1"/>
    </row>
    <row r="9163" spans="3:4" x14ac:dyDescent="0.25">
      <c r="C9163" s="1"/>
      <c r="D9163" s="1"/>
    </row>
    <row r="9164" spans="3:4" x14ac:dyDescent="0.25">
      <c r="C9164" s="1"/>
      <c r="D9164" s="1"/>
    </row>
    <row r="9165" spans="3:4" x14ac:dyDescent="0.25">
      <c r="C9165" s="1"/>
      <c r="D9165" s="1"/>
    </row>
    <row r="9166" spans="3:4" x14ac:dyDescent="0.25">
      <c r="C9166" s="1"/>
      <c r="D9166" s="1"/>
    </row>
    <row r="9167" spans="3:4" x14ac:dyDescent="0.25">
      <c r="C9167" s="1"/>
      <c r="D9167" s="1"/>
    </row>
    <row r="9168" spans="3:4" x14ac:dyDescent="0.25">
      <c r="C9168" s="1"/>
      <c r="D9168" s="1"/>
    </row>
    <row r="9169" spans="3:4" x14ac:dyDescent="0.25">
      <c r="C9169" s="1"/>
      <c r="D9169" s="1"/>
    </row>
    <row r="9170" spans="3:4" x14ac:dyDescent="0.25">
      <c r="C9170" s="1"/>
      <c r="D9170" s="1"/>
    </row>
    <row r="9171" spans="3:4" x14ac:dyDescent="0.25">
      <c r="C9171" s="1"/>
      <c r="D9171" s="1"/>
    </row>
    <row r="9172" spans="3:4" x14ac:dyDescent="0.25">
      <c r="C9172" s="1"/>
      <c r="D9172" s="1"/>
    </row>
    <row r="9173" spans="3:4" x14ac:dyDescent="0.25">
      <c r="C9173" s="1"/>
      <c r="D9173" s="1"/>
    </row>
    <row r="9174" spans="3:4" x14ac:dyDescent="0.25">
      <c r="C9174" s="1"/>
      <c r="D9174" s="1"/>
    </row>
    <row r="9175" spans="3:4" x14ac:dyDescent="0.25">
      <c r="C9175" s="1"/>
      <c r="D9175" s="1"/>
    </row>
    <row r="9176" spans="3:4" x14ac:dyDescent="0.25">
      <c r="C9176" s="1"/>
      <c r="D9176" s="1"/>
    </row>
    <row r="9177" spans="3:4" x14ac:dyDescent="0.25">
      <c r="C9177" s="1"/>
      <c r="D9177" s="1"/>
    </row>
    <row r="9178" spans="3:4" x14ac:dyDescent="0.25">
      <c r="C9178" s="1"/>
      <c r="D9178" s="1"/>
    </row>
    <row r="9179" spans="3:4" x14ac:dyDescent="0.25">
      <c r="C9179" s="1"/>
      <c r="D9179" s="1"/>
    </row>
    <row r="9180" spans="3:4" x14ac:dyDescent="0.25">
      <c r="C9180" s="1"/>
      <c r="D9180" s="1"/>
    </row>
    <row r="9181" spans="3:4" x14ac:dyDescent="0.25">
      <c r="C9181" s="1"/>
      <c r="D9181" s="1"/>
    </row>
    <row r="9182" spans="3:4" x14ac:dyDescent="0.25">
      <c r="C9182" s="1"/>
      <c r="D9182" s="1"/>
    </row>
    <row r="9183" spans="3:4" x14ac:dyDescent="0.25">
      <c r="C9183" s="1"/>
      <c r="D9183" s="1"/>
    </row>
    <row r="9184" spans="3:4" x14ac:dyDescent="0.25">
      <c r="C9184" s="1"/>
      <c r="D9184" s="1"/>
    </row>
    <row r="9185" spans="3:4" x14ac:dyDescent="0.25">
      <c r="C9185" s="1"/>
      <c r="D9185" s="1"/>
    </row>
    <row r="9186" spans="3:4" x14ac:dyDescent="0.25">
      <c r="C9186" s="1"/>
      <c r="D9186" s="1"/>
    </row>
    <row r="9187" spans="3:4" x14ac:dyDescent="0.25">
      <c r="C9187" s="1"/>
      <c r="D9187" s="1"/>
    </row>
    <row r="9188" spans="3:4" x14ac:dyDescent="0.25">
      <c r="C9188" s="1"/>
      <c r="D9188" s="1"/>
    </row>
    <row r="9189" spans="3:4" x14ac:dyDescent="0.25">
      <c r="C9189" s="1"/>
      <c r="D9189" s="1"/>
    </row>
    <row r="9190" spans="3:4" x14ac:dyDescent="0.25">
      <c r="C9190" s="1"/>
      <c r="D9190" s="1"/>
    </row>
    <row r="9191" spans="3:4" x14ac:dyDescent="0.25">
      <c r="C9191" s="1"/>
      <c r="D9191" s="1"/>
    </row>
    <row r="9192" spans="3:4" x14ac:dyDescent="0.25">
      <c r="C9192" s="1"/>
      <c r="D9192" s="1"/>
    </row>
    <row r="9193" spans="3:4" x14ac:dyDescent="0.25">
      <c r="C9193" s="1"/>
      <c r="D9193" s="1"/>
    </row>
    <row r="9194" spans="3:4" x14ac:dyDescent="0.25">
      <c r="C9194" s="1"/>
      <c r="D9194" s="1"/>
    </row>
    <row r="9195" spans="3:4" x14ac:dyDescent="0.25">
      <c r="C9195" s="1"/>
      <c r="D9195" s="1"/>
    </row>
    <row r="9196" spans="3:4" x14ac:dyDescent="0.25">
      <c r="C9196" s="1"/>
      <c r="D9196" s="1"/>
    </row>
    <row r="9197" spans="3:4" x14ac:dyDescent="0.25">
      <c r="C9197" s="1"/>
      <c r="D9197" s="1"/>
    </row>
    <row r="9198" spans="3:4" x14ac:dyDescent="0.25">
      <c r="C9198" s="1"/>
      <c r="D9198" s="1"/>
    </row>
    <row r="9199" spans="3:4" x14ac:dyDescent="0.25">
      <c r="C9199" s="1"/>
      <c r="D9199" s="1"/>
    </row>
    <row r="9200" spans="3:4" x14ac:dyDescent="0.25">
      <c r="C9200" s="1"/>
      <c r="D9200" s="1"/>
    </row>
    <row r="9201" spans="3:4" x14ac:dyDescent="0.25">
      <c r="C9201" s="1"/>
      <c r="D9201" s="1"/>
    </row>
    <row r="9202" spans="3:4" x14ac:dyDescent="0.25">
      <c r="C9202" s="1"/>
      <c r="D9202" s="1"/>
    </row>
    <row r="9203" spans="3:4" x14ac:dyDescent="0.25">
      <c r="C9203" s="1"/>
      <c r="D9203" s="1"/>
    </row>
    <row r="9204" spans="3:4" x14ac:dyDescent="0.25">
      <c r="C9204" s="1"/>
      <c r="D9204" s="1"/>
    </row>
    <row r="9205" spans="3:4" x14ac:dyDescent="0.25">
      <c r="C9205" s="1"/>
      <c r="D9205" s="1"/>
    </row>
    <row r="9206" spans="3:4" x14ac:dyDescent="0.25">
      <c r="C9206" s="1"/>
      <c r="D9206" s="1"/>
    </row>
    <row r="9207" spans="3:4" x14ac:dyDescent="0.25">
      <c r="C9207" s="1"/>
      <c r="D9207" s="1"/>
    </row>
    <row r="9208" spans="3:4" x14ac:dyDescent="0.25">
      <c r="C9208" s="1"/>
      <c r="D9208" s="1"/>
    </row>
    <row r="9209" spans="3:4" x14ac:dyDescent="0.25">
      <c r="C9209" s="1"/>
      <c r="D9209" s="1"/>
    </row>
    <row r="9210" spans="3:4" x14ac:dyDescent="0.25">
      <c r="C9210" s="1"/>
      <c r="D9210" s="1"/>
    </row>
    <row r="9211" spans="3:4" x14ac:dyDescent="0.25">
      <c r="C9211" s="1"/>
      <c r="D9211" s="1"/>
    </row>
    <row r="9212" spans="3:4" x14ac:dyDescent="0.25">
      <c r="C9212" s="1"/>
      <c r="D9212" s="1"/>
    </row>
    <row r="9213" spans="3:4" x14ac:dyDescent="0.25">
      <c r="C9213" s="1"/>
      <c r="D9213" s="1"/>
    </row>
    <row r="9214" spans="3:4" x14ac:dyDescent="0.25">
      <c r="C9214" s="1"/>
      <c r="D9214" s="1"/>
    </row>
    <row r="9215" spans="3:4" x14ac:dyDescent="0.25">
      <c r="C9215" s="1"/>
      <c r="D9215" s="1"/>
    </row>
    <row r="9216" spans="3:4" x14ac:dyDescent="0.25">
      <c r="C9216" s="1"/>
      <c r="D9216" s="1"/>
    </row>
    <row r="9217" spans="3:4" x14ac:dyDescent="0.25">
      <c r="C9217" s="1"/>
      <c r="D9217" s="1"/>
    </row>
    <row r="9218" spans="3:4" x14ac:dyDescent="0.25">
      <c r="C9218" s="1"/>
      <c r="D9218" s="1"/>
    </row>
    <row r="9219" spans="3:4" x14ac:dyDescent="0.25">
      <c r="C9219" s="1"/>
      <c r="D9219" s="1"/>
    </row>
    <row r="9220" spans="3:4" x14ac:dyDescent="0.25">
      <c r="C9220" s="1"/>
      <c r="D9220" s="1"/>
    </row>
    <row r="9221" spans="3:4" x14ac:dyDescent="0.25">
      <c r="C9221" s="1"/>
      <c r="D9221" s="1"/>
    </row>
    <row r="9222" spans="3:4" x14ac:dyDescent="0.25">
      <c r="C9222" s="1"/>
      <c r="D9222" s="1"/>
    </row>
    <row r="9223" spans="3:4" x14ac:dyDescent="0.25">
      <c r="C9223" s="1"/>
      <c r="D9223" s="1"/>
    </row>
    <row r="9224" spans="3:4" x14ac:dyDescent="0.25">
      <c r="C9224" s="1"/>
      <c r="D9224" s="1"/>
    </row>
    <row r="9225" spans="3:4" x14ac:dyDescent="0.25">
      <c r="C9225" s="1"/>
      <c r="D9225" s="1"/>
    </row>
    <row r="9226" spans="3:4" x14ac:dyDescent="0.25">
      <c r="C9226" s="1"/>
      <c r="D9226" s="1"/>
    </row>
    <row r="9227" spans="3:4" x14ac:dyDescent="0.25">
      <c r="C9227" s="1"/>
      <c r="D9227" s="1"/>
    </row>
    <row r="9228" spans="3:4" x14ac:dyDescent="0.25">
      <c r="C9228" s="1"/>
      <c r="D9228" s="1"/>
    </row>
    <row r="9229" spans="3:4" x14ac:dyDescent="0.25">
      <c r="C9229" s="1"/>
      <c r="D9229" s="1"/>
    </row>
    <row r="9230" spans="3:4" x14ac:dyDescent="0.25">
      <c r="C9230" s="1"/>
      <c r="D9230" s="1"/>
    </row>
    <row r="9231" spans="3:4" x14ac:dyDescent="0.25">
      <c r="C9231" s="1"/>
      <c r="D9231" s="1"/>
    </row>
    <row r="9232" spans="3:4" x14ac:dyDescent="0.25">
      <c r="C9232" s="1"/>
      <c r="D9232" s="1"/>
    </row>
    <row r="9233" spans="3:4" x14ac:dyDescent="0.25">
      <c r="C9233" s="1"/>
      <c r="D9233" s="1"/>
    </row>
    <row r="9234" spans="3:4" x14ac:dyDescent="0.25">
      <c r="C9234" s="1"/>
      <c r="D9234" s="1"/>
    </row>
    <row r="9235" spans="3:4" x14ac:dyDescent="0.25">
      <c r="C9235" s="1"/>
      <c r="D9235" s="1"/>
    </row>
    <row r="9236" spans="3:4" x14ac:dyDescent="0.25">
      <c r="C9236" s="1"/>
      <c r="D9236" s="1"/>
    </row>
    <row r="9237" spans="3:4" x14ac:dyDescent="0.25">
      <c r="C9237" s="1"/>
      <c r="D9237" s="1"/>
    </row>
    <row r="9238" spans="3:4" x14ac:dyDescent="0.25">
      <c r="C9238" s="1"/>
      <c r="D9238" s="1"/>
    </row>
    <row r="9239" spans="3:4" x14ac:dyDescent="0.25">
      <c r="C9239" s="1"/>
      <c r="D9239" s="1"/>
    </row>
    <row r="9240" spans="3:4" x14ac:dyDescent="0.25">
      <c r="C9240" s="1"/>
      <c r="D9240" s="1"/>
    </row>
    <row r="9241" spans="3:4" x14ac:dyDescent="0.25">
      <c r="C9241" s="1"/>
      <c r="D9241" s="1"/>
    </row>
    <row r="9242" spans="3:4" x14ac:dyDescent="0.25">
      <c r="C9242" s="1"/>
      <c r="D9242" s="1"/>
    </row>
    <row r="9243" spans="3:4" x14ac:dyDescent="0.25">
      <c r="C9243" s="1"/>
      <c r="D9243" s="1"/>
    </row>
    <row r="9244" spans="3:4" x14ac:dyDescent="0.25">
      <c r="C9244" s="1"/>
      <c r="D9244" s="1"/>
    </row>
    <row r="9245" spans="3:4" x14ac:dyDescent="0.25">
      <c r="C9245" s="1"/>
      <c r="D9245" s="1"/>
    </row>
    <row r="9246" spans="3:4" x14ac:dyDescent="0.25">
      <c r="C9246" s="1"/>
      <c r="D9246" s="1"/>
    </row>
    <row r="9247" spans="3:4" x14ac:dyDescent="0.25">
      <c r="C9247" s="1"/>
      <c r="D9247" s="1"/>
    </row>
    <row r="9248" spans="3:4" x14ac:dyDescent="0.25">
      <c r="C9248" s="1"/>
      <c r="D9248" s="1"/>
    </row>
    <row r="9249" spans="3:4" x14ac:dyDescent="0.25">
      <c r="C9249" s="1"/>
      <c r="D9249" s="1"/>
    </row>
    <row r="9250" spans="3:4" x14ac:dyDescent="0.25">
      <c r="C9250" s="1"/>
      <c r="D9250" s="1"/>
    </row>
    <row r="9251" spans="3:4" x14ac:dyDescent="0.25">
      <c r="C9251" s="1"/>
      <c r="D9251" s="1"/>
    </row>
    <row r="9252" spans="3:4" x14ac:dyDescent="0.25">
      <c r="C9252" s="1"/>
      <c r="D9252" s="1"/>
    </row>
    <row r="9253" spans="3:4" x14ac:dyDescent="0.25">
      <c r="C9253" s="1"/>
      <c r="D9253" s="1"/>
    </row>
    <row r="9254" spans="3:4" x14ac:dyDescent="0.25">
      <c r="C9254" s="1"/>
      <c r="D9254" s="1"/>
    </row>
    <row r="9255" spans="3:4" x14ac:dyDescent="0.25">
      <c r="C9255" s="1"/>
      <c r="D9255" s="1"/>
    </row>
    <row r="9256" spans="3:4" x14ac:dyDescent="0.25">
      <c r="C9256" s="1"/>
      <c r="D9256" s="1"/>
    </row>
    <row r="9257" spans="3:4" x14ac:dyDescent="0.25">
      <c r="C9257" s="1"/>
      <c r="D9257" s="1"/>
    </row>
    <row r="9258" spans="3:4" x14ac:dyDescent="0.25">
      <c r="C9258" s="1"/>
      <c r="D9258" s="1"/>
    </row>
    <row r="9259" spans="3:4" x14ac:dyDescent="0.25">
      <c r="C9259" s="1"/>
      <c r="D9259" s="1"/>
    </row>
    <row r="9260" spans="3:4" x14ac:dyDescent="0.25">
      <c r="C9260" s="1"/>
      <c r="D9260" s="1"/>
    </row>
    <row r="9261" spans="3:4" x14ac:dyDescent="0.25">
      <c r="C9261" s="1"/>
      <c r="D9261" s="1"/>
    </row>
    <row r="9262" spans="3:4" x14ac:dyDescent="0.25">
      <c r="C9262" s="1"/>
      <c r="D9262" s="1"/>
    </row>
    <row r="9263" spans="3:4" x14ac:dyDescent="0.25">
      <c r="C9263" s="1"/>
      <c r="D9263" s="1"/>
    </row>
    <row r="9264" spans="3:4" x14ac:dyDescent="0.25">
      <c r="C9264" s="1"/>
      <c r="D9264" s="1"/>
    </row>
    <row r="9265" spans="3:4" x14ac:dyDescent="0.25">
      <c r="C9265" s="1"/>
      <c r="D9265" s="1"/>
    </row>
    <row r="9266" spans="3:4" x14ac:dyDescent="0.25">
      <c r="C9266" s="1"/>
      <c r="D9266" s="1"/>
    </row>
    <row r="9267" spans="3:4" x14ac:dyDescent="0.25">
      <c r="C9267" s="1"/>
      <c r="D9267" s="1"/>
    </row>
    <row r="9268" spans="3:4" x14ac:dyDescent="0.25">
      <c r="C9268" s="1"/>
      <c r="D9268" s="1"/>
    </row>
    <row r="9269" spans="3:4" x14ac:dyDescent="0.25">
      <c r="C9269" s="1"/>
      <c r="D9269" s="1"/>
    </row>
    <row r="9270" spans="3:4" x14ac:dyDescent="0.25">
      <c r="C9270" s="1"/>
      <c r="D9270" s="1"/>
    </row>
    <row r="9271" spans="3:4" x14ac:dyDescent="0.25">
      <c r="C9271" s="1"/>
      <c r="D9271" s="1"/>
    </row>
    <row r="9272" spans="3:4" x14ac:dyDescent="0.25">
      <c r="C9272" s="1"/>
      <c r="D9272" s="1"/>
    </row>
    <row r="9273" spans="3:4" x14ac:dyDescent="0.25">
      <c r="C9273" s="1"/>
      <c r="D9273" s="1"/>
    </row>
    <row r="9274" spans="3:4" x14ac:dyDescent="0.25">
      <c r="C9274" s="1"/>
      <c r="D9274" s="1"/>
    </row>
    <row r="9275" spans="3:4" x14ac:dyDescent="0.25">
      <c r="C9275" s="1"/>
      <c r="D9275" s="1"/>
    </row>
    <row r="9276" spans="3:4" x14ac:dyDescent="0.25">
      <c r="C9276" s="1"/>
      <c r="D9276" s="1"/>
    </row>
    <row r="9277" spans="3:4" x14ac:dyDescent="0.25">
      <c r="C9277" s="1"/>
      <c r="D9277" s="1"/>
    </row>
    <row r="9278" spans="3:4" x14ac:dyDescent="0.25">
      <c r="C9278" s="1"/>
      <c r="D9278" s="1"/>
    </row>
    <row r="9279" spans="3:4" x14ac:dyDescent="0.25">
      <c r="C9279" s="1"/>
      <c r="D9279" s="1"/>
    </row>
    <row r="9280" spans="3:4" x14ac:dyDescent="0.25">
      <c r="C9280" s="1"/>
      <c r="D9280" s="1"/>
    </row>
    <row r="9281" spans="3:4" x14ac:dyDescent="0.25">
      <c r="C9281" s="1"/>
      <c r="D9281" s="1"/>
    </row>
    <row r="9282" spans="3:4" x14ac:dyDescent="0.25">
      <c r="C9282" s="1"/>
      <c r="D9282" s="1"/>
    </row>
    <row r="9283" spans="3:4" x14ac:dyDescent="0.25">
      <c r="C9283" s="1"/>
      <c r="D9283" s="1"/>
    </row>
    <row r="9284" spans="3:4" x14ac:dyDescent="0.25">
      <c r="C9284" s="1"/>
      <c r="D9284" s="1"/>
    </row>
    <row r="9285" spans="3:4" x14ac:dyDescent="0.25">
      <c r="C9285" s="1"/>
      <c r="D9285" s="1"/>
    </row>
    <row r="9286" spans="3:4" x14ac:dyDescent="0.25">
      <c r="C9286" s="1"/>
      <c r="D9286" s="1"/>
    </row>
    <row r="9287" spans="3:4" x14ac:dyDescent="0.25">
      <c r="C9287" s="1"/>
      <c r="D9287" s="1"/>
    </row>
    <row r="9288" spans="3:4" x14ac:dyDescent="0.25">
      <c r="C9288" s="1"/>
      <c r="D9288" s="1"/>
    </row>
    <row r="9289" spans="3:4" x14ac:dyDescent="0.25">
      <c r="C9289" s="1"/>
      <c r="D9289" s="1"/>
    </row>
    <row r="9290" spans="3:4" x14ac:dyDescent="0.25">
      <c r="C9290" s="1"/>
      <c r="D9290" s="1"/>
    </row>
    <row r="9291" spans="3:4" x14ac:dyDescent="0.25">
      <c r="C9291" s="1"/>
      <c r="D9291" s="1"/>
    </row>
    <row r="9292" spans="3:4" x14ac:dyDescent="0.25">
      <c r="C9292" s="1"/>
      <c r="D9292" s="1"/>
    </row>
    <row r="9293" spans="3:4" x14ac:dyDescent="0.25">
      <c r="C9293" s="1"/>
      <c r="D9293" s="1"/>
    </row>
    <row r="9294" spans="3:4" x14ac:dyDescent="0.25">
      <c r="C9294" s="1"/>
      <c r="D9294" s="1"/>
    </row>
    <row r="9295" spans="3:4" x14ac:dyDescent="0.25">
      <c r="C9295" s="1"/>
      <c r="D9295" s="1"/>
    </row>
    <row r="9296" spans="3:4" x14ac:dyDescent="0.25">
      <c r="C9296" s="1"/>
      <c r="D9296" s="1"/>
    </row>
    <row r="9297" spans="3:4" x14ac:dyDescent="0.25">
      <c r="C9297" s="1"/>
      <c r="D9297" s="1"/>
    </row>
    <row r="9298" spans="3:4" x14ac:dyDescent="0.25">
      <c r="C9298" s="1"/>
      <c r="D9298" s="1"/>
    </row>
    <row r="9299" spans="3:4" x14ac:dyDescent="0.25">
      <c r="C9299" s="1"/>
      <c r="D9299" s="1"/>
    </row>
    <row r="9300" spans="3:4" x14ac:dyDescent="0.25">
      <c r="C9300" s="1"/>
      <c r="D9300" s="1"/>
    </row>
    <row r="9301" spans="3:4" x14ac:dyDescent="0.25">
      <c r="C9301" s="1"/>
      <c r="D9301" s="1"/>
    </row>
    <row r="9302" spans="3:4" x14ac:dyDescent="0.25">
      <c r="C9302" s="1"/>
      <c r="D9302" s="1"/>
    </row>
    <row r="9303" spans="3:4" x14ac:dyDescent="0.25">
      <c r="C9303" s="1"/>
      <c r="D9303" s="1"/>
    </row>
    <row r="9304" spans="3:4" x14ac:dyDescent="0.25">
      <c r="C9304" s="1"/>
      <c r="D9304" s="1"/>
    </row>
    <row r="9305" spans="3:4" x14ac:dyDescent="0.25">
      <c r="C9305" s="1"/>
      <c r="D9305" s="1"/>
    </row>
    <row r="9306" spans="3:4" x14ac:dyDescent="0.25">
      <c r="C9306" s="1"/>
      <c r="D9306" s="1"/>
    </row>
    <row r="9307" spans="3:4" x14ac:dyDescent="0.25">
      <c r="C9307" s="1"/>
      <c r="D9307" s="1"/>
    </row>
    <row r="9308" spans="3:4" x14ac:dyDescent="0.25">
      <c r="C9308" s="1"/>
      <c r="D9308" s="1"/>
    </row>
    <row r="9309" spans="3:4" x14ac:dyDescent="0.25">
      <c r="C9309" s="1"/>
      <c r="D9309" s="1"/>
    </row>
    <row r="9310" spans="3:4" x14ac:dyDescent="0.25">
      <c r="C9310" s="1"/>
      <c r="D9310" s="1"/>
    </row>
    <row r="9311" spans="3:4" x14ac:dyDescent="0.25">
      <c r="C9311" s="1"/>
      <c r="D9311" s="1"/>
    </row>
    <row r="9312" spans="3:4" x14ac:dyDescent="0.25">
      <c r="C9312" s="1"/>
      <c r="D9312" s="1"/>
    </row>
    <row r="9313" spans="3:4" x14ac:dyDescent="0.25">
      <c r="C9313" s="1"/>
      <c r="D9313" s="1"/>
    </row>
    <row r="9314" spans="3:4" x14ac:dyDescent="0.25">
      <c r="C9314" s="1"/>
      <c r="D9314" s="1"/>
    </row>
    <row r="9315" spans="3:4" x14ac:dyDescent="0.25">
      <c r="C9315" s="1"/>
      <c r="D9315" s="1"/>
    </row>
    <row r="9316" spans="3:4" x14ac:dyDescent="0.25">
      <c r="C9316" s="1"/>
      <c r="D9316" s="1"/>
    </row>
    <row r="9317" spans="3:4" x14ac:dyDescent="0.25">
      <c r="C9317" s="1"/>
      <c r="D9317" s="1"/>
    </row>
    <row r="9318" spans="3:4" x14ac:dyDescent="0.25">
      <c r="C9318" s="1"/>
      <c r="D9318" s="1"/>
    </row>
    <row r="9319" spans="3:4" x14ac:dyDescent="0.25">
      <c r="C9319" s="1"/>
      <c r="D9319" s="1"/>
    </row>
    <row r="9320" spans="3:4" x14ac:dyDescent="0.25">
      <c r="C9320" s="1"/>
      <c r="D9320" s="1"/>
    </row>
    <row r="9321" spans="3:4" x14ac:dyDescent="0.25">
      <c r="C9321" s="1"/>
      <c r="D9321" s="1"/>
    </row>
    <row r="9322" spans="3:4" x14ac:dyDescent="0.25">
      <c r="C9322" s="1"/>
      <c r="D9322" s="1"/>
    </row>
    <row r="9323" spans="3:4" x14ac:dyDescent="0.25">
      <c r="C9323" s="1"/>
      <c r="D9323" s="1"/>
    </row>
    <row r="9324" spans="3:4" x14ac:dyDescent="0.25">
      <c r="C9324" s="1"/>
      <c r="D9324" s="1"/>
    </row>
    <row r="9325" spans="3:4" x14ac:dyDescent="0.25">
      <c r="C9325" s="1"/>
      <c r="D9325" s="1"/>
    </row>
    <row r="9326" spans="3:4" x14ac:dyDescent="0.25">
      <c r="C9326" s="1"/>
      <c r="D9326" s="1"/>
    </row>
    <row r="9327" spans="3:4" x14ac:dyDescent="0.25">
      <c r="C9327" s="1"/>
      <c r="D9327" s="1"/>
    </row>
    <row r="9328" spans="3:4" x14ac:dyDescent="0.25">
      <c r="C9328" s="1"/>
      <c r="D9328" s="1"/>
    </row>
    <row r="9329" spans="3:4" x14ac:dyDescent="0.25">
      <c r="C9329" s="1"/>
      <c r="D9329" s="1"/>
    </row>
    <row r="9330" spans="3:4" x14ac:dyDescent="0.25">
      <c r="C9330" s="1"/>
      <c r="D9330" s="1"/>
    </row>
    <row r="9331" spans="3:4" x14ac:dyDescent="0.25">
      <c r="C9331" s="1"/>
      <c r="D9331" s="1"/>
    </row>
    <row r="9332" spans="3:4" x14ac:dyDescent="0.25">
      <c r="C9332" s="1"/>
      <c r="D9332" s="1"/>
    </row>
    <row r="9333" spans="3:4" x14ac:dyDescent="0.25">
      <c r="C9333" s="1"/>
      <c r="D9333" s="1"/>
    </row>
    <row r="9334" spans="3:4" x14ac:dyDescent="0.25">
      <c r="C9334" s="1"/>
      <c r="D9334" s="1"/>
    </row>
    <row r="9335" spans="3:4" x14ac:dyDescent="0.25">
      <c r="C9335" s="1"/>
      <c r="D9335" s="1"/>
    </row>
    <row r="9336" spans="3:4" x14ac:dyDescent="0.25">
      <c r="C9336" s="1"/>
      <c r="D9336" s="1"/>
    </row>
    <row r="9337" spans="3:4" x14ac:dyDescent="0.25">
      <c r="C9337" s="1"/>
      <c r="D9337" s="1"/>
    </row>
    <row r="9338" spans="3:4" x14ac:dyDescent="0.25">
      <c r="C9338" s="1"/>
      <c r="D9338" s="1"/>
    </row>
    <row r="9339" spans="3:4" x14ac:dyDescent="0.25">
      <c r="C9339" s="1"/>
      <c r="D9339" s="1"/>
    </row>
    <row r="9340" spans="3:4" x14ac:dyDescent="0.25">
      <c r="C9340" s="1"/>
      <c r="D9340" s="1"/>
    </row>
    <row r="9341" spans="3:4" x14ac:dyDescent="0.25">
      <c r="C9341" s="1"/>
      <c r="D9341" s="1"/>
    </row>
    <row r="9342" spans="3:4" x14ac:dyDescent="0.25">
      <c r="C9342" s="1"/>
      <c r="D9342" s="1"/>
    </row>
    <row r="9343" spans="3:4" x14ac:dyDescent="0.25">
      <c r="C9343" s="1"/>
      <c r="D9343" s="1"/>
    </row>
    <row r="9344" spans="3:4" x14ac:dyDescent="0.25">
      <c r="C9344" s="1"/>
      <c r="D9344" s="1"/>
    </row>
    <row r="9345" spans="3:4" x14ac:dyDescent="0.25">
      <c r="C9345" s="1"/>
      <c r="D9345" s="1"/>
    </row>
    <row r="9346" spans="3:4" x14ac:dyDescent="0.25">
      <c r="C9346" s="1"/>
      <c r="D9346" s="1"/>
    </row>
    <row r="9347" spans="3:4" x14ac:dyDescent="0.25">
      <c r="C9347" s="1"/>
      <c r="D9347" s="1"/>
    </row>
    <row r="9348" spans="3:4" x14ac:dyDescent="0.25">
      <c r="C9348" s="1"/>
      <c r="D9348" s="1"/>
    </row>
    <row r="9349" spans="3:4" x14ac:dyDescent="0.25">
      <c r="C9349" s="1"/>
      <c r="D9349" s="1"/>
    </row>
    <row r="9350" spans="3:4" x14ac:dyDescent="0.25">
      <c r="C9350" s="1"/>
      <c r="D9350" s="1"/>
    </row>
    <row r="9351" spans="3:4" x14ac:dyDescent="0.25">
      <c r="C9351" s="1"/>
      <c r="D9351" s="1"/>
    </row>
    <row r="9352" spans="3:4" x14ac:dyDescent="0.25">
      <c r="C9352" s="1"/>
      <c r="D9352" s="1"/>
    </row>
    <row r="9353" spans="3:4" x14ac:dyDescent="0.25">
      <c r="C9353" s="1"/>
      <c r="D9353" s="1"/>
    </row>
    <row r="9354" spans="3:4" x14ac:dyDescent="0.25">
      <c r="C9354" s="1"/>
      <c r="D9354" s="1"/>
    </row>
    <row r="9355" spans="3:4" x14ac:dyDescent="0.25">
      <c r="C9355" s="1"/>
      <c r="D9355" s="1"/>
    </row>
    <row r="9356" spans="3:4" x14ac:dyDescent="0.25">
      <c r="C9356" s="1"/>
      <c r="D9356" s="1"/>
    </row>
    <row r="9357" spans="3:4" x14ac:dyDescent="0.25">
      <c r="C9357" s="1"/>
      <c r="D9357" s="1"/>
    </row>
    <row r="9358" spans="3:4" x14ac:dyDescent="0.25">
      <c r="C9358" s="1"/>
      <c r="D9358" s="1"/>
    </row>
    <row r="9359" spans="3:4" x14ac:dyDescent="0.25">
      <c r="C9359" s="1"/>
      <c r="D9359" s="1"/>
    </row>
    <row r="9360" spans="3:4" x14ac:dyDescent="0.25">
      <c r="C9360" s="1"/>
      <c r="D9360" s="1"/>
    </row>
    <row r="9361" spans="3:4" x14ac:dyDescent="0.25">
      <c r="C9361" s="1"/>
      <c r="D9361" s="1"/>
    </row>
    <row r="9362" spans="3:4" x14ac:dyDescent="0.25">
      <c r="C9362" s="1"/>
      <c r="D9362" s="1"/>
    </row>
    <row r="9363" spans="3:4" x14ac:dyDescent="0.25">
      <c r="C9363" s="1"/>
      <c r="D9363" s="1"/>
    </row>
    <row r="9364" spans="3:4" x14ac:dyDescent="0.25">
      <c r="C9364" s="1"/>
      <c r="D9364" s="1"/>
    </row>
    <row r="9365" spans="3:4" x14ac:dyDescent="0.25">
      <c r="C9365" s="1"/>
      <c r="D9365" s="1"/>
    </row>
    <row r="9366" spans="3:4" x14ac:dyDescent="0.25">
      <c r="C9366" s="1"/>
      <c r="D9366" s="1"/>
    </row>
    <row r="9367" spans="3:4" x14ac:dyDescent="0.25">
      <c r="C9367" s="1"/>
      <c r="D9367" s="1"/>
    </row>
    <row r="9368" spans="3:4" x14ac:dyDescent="0.25">
      <c r="C9368" s="1"/>
      <c r="D9368" s="1"/>
    </row>
    <row r="9369" spans="3:4" x14ac:dyDescent="0.25">
      <c r="C9369" s="1"/>
      <c r="D9369" s="1"/>
    </row>
    <row r="9370" spans="3:4" x14ac:dyDescent="0.25">
      <c r="C9370" s="1"/>
      <c r="D9370" s="1"/>
    </row>
    <row r="9371" spans="3:4" x14ac:dyDescent="0.25">
      <c r="C9371" s="1"/>
      <c r="D9371" s="1"/>
    </row>
    <row r="9372" spans="3:4" x14ac:dyDescent="0.25">
      <c r="C9372" s="1"/>
      <c r="D9372" s="1"/>
    </row>
    <row r="9373" spans="3:4" x14ac:dyDescent="0.25">
      <c r="C9373" s="1"/>
      <c r="D9373" s="1"/>
    </row>
    <row r="9374" spans="3:4" x14ac:dyDescent="0.25">
      <c r="C9374" s="1"/>
      <c r="D9374" s="1"/>
    </row>
    <row r="9375" spans="3:4" x14ac:dyDescent="0.25">
      <c r="C9375" s="1"/>
      <c r="D9375" s="1"/>
    </row>
    <row r="9376" spans="3:4" x14ac:dyDescent="0.25">
      <c r="C9376" s="1"/>
      <c r="D9376" s="1"/>
    </row>
    <row r="9377" spans="3:4" x14ac:dyDescent="0.25">
      <c r="C9377" s="1"/>
      <c r="D9377" s="1"/>
    </row>
    <row r="9378" spans="3:4" x14ac:dyDescent="0.25">
      <c r="C9378" s="1"/>
      <c r="D9378" s="1"/>
    </row>
    <row r="9379" spans="3:4" x14ac:dyDescent="0.25">
      <c r="C9379" s="1"/>
      <c r="D9379" s="1"/>
    </row>
    <row r="9380" spans="3:4" x14ac:dyDescent="0.25">
      <c r="C9380" s="1"/>
      <c r="D9380" s="1"/>
    </row>
    <row r="9381" spans="3:4" x14ac:dyDescent="0.25">
      <c r="C9381" s="1"/>
      <c r="D9381" s="1"/>
    </row>
    <row r="9382" spans="3:4" x14ac:dyDescent="0.25">
      <c r="C9382" s="1"/>
      <c r="D9382" s="1"/>
    </row>
    <row r="9383" spans="3:4" x14ac:dyDescent="0.25">
      <c r="C9383" s="1"/>
      <c r="D9383" s="1"/>
    </row>
    <row r="9384" spans="3:4" x14ac:dyDescent="0.25">
      <c r="C9384" s="1"/>
      <c r="D9384" s="1"/>
    </row>
    <row r="9385" spans="3:4" x14ac:dyDescent="0.25">
      <c r="C9385" s="1"/>
      <c r="D9385" s="1"/>
    </row>
    <row r="9386" spans="3:4" x14ac:dyDescent="0.25">
      <c r="C9386" s="1"/>
      <c r="D9386" s="1"/>
    </row>
    <row r="9387" spans="3:4" x14ac:dyDescent="0.25">
      <c r="C9387" s="1"/>
      <c r="D9387" s="1"/>
    </row>
    <row r="9388" spans="3:4" x14ac:dyDescent="0.25">
      <c r="C9388" s="1"/>
      <c r="D9388" s="1"/>
    </row>
    <row r="9389" spans="3:4" x14ac:dyDescent="0.25">
      <c r="C9389" s="1"/>
      <c r="D9389" s="1"/>
    </row>
    <row r="9390" spans="3:4" x14ac:dyDescent="0.25">
      <c r="C9390" s="1"/>
      <c r="D9390" s="1"/>
    </row>
    <row r="9391" spans="3:4" x14ac:dyDescent="0.25">
      <c r="C9391" s="1"/>
      <c r="D9391" s="1"/>
    </row>
    <row r="9392" spans="3:4" x14ac:dyDescent="0.25">
      <c r="C9392" s="1"/>
      <c r="D9392" s="1"/>
    </row>
    <row r="9393" spans="3:4" x14ac:dyDescent="0.25">
      <c r="C9393" s="1"/>
      <c r="D9393" s="1"/>
    </row>
    <row r="9394" spans="3:4" x14ac:dyDescent="0.25">
      <c r="C9394" s="1"/>
      <c r="D9394" s="1"/>
    </row>
    <row r="9395" spans="3:4" x14ac:dyDescent="0.25">
      <c r="C9395" s="1"/>
      <c r="D9395" s="1"/>
    </row>
    <row r="9396" spans="3:4" x14ac:dyDescent="0.25">
      <c r="C9396" s="1"/>
      <c r="D9396" s="1"/>
    </row>
    <row r="9397" spans="3:4" x14ac:dyDescent="0.25">
      <c r="C9397" s="1"/>
      <c r="D9397" s="1"/>
    </row>
    <row r="9398" spans="3:4" x14ac:dyDescent="0.25">
      <c r="C9398" s="1"/>
      <c r="D9398" s="1"/>
    </row>
    <row r="9399" spans="3:4" x14ac:dyDescent="0.25">
      <c r="C9399" s="1"/>
      <c r="D9399" s="1"/>
    </row>
    <row r="9400" spans="3:4" x14ac:dyDescent="0.25">
      <c r="C9400" s="1"/>
      <c r="D9400" s="1"/>
    </row>
    <row r="9401" spans="3:4" x14ac:dyDescent="0.25">
      <c r="C9401" s="1"/>
      <c r="D9401" s="1"/>
    </row>
    <row r="9402" spans="3:4" x14ac:dyDescent="0.25">
      <c r="C9402" s="1"/>
      <c r="D9402" s="1"/>
    </row>
    <row r="9403" spans="3:4" x14ac:dyDescent="0.25">
      <c r="C9403" s="1"/>
      <c r="D9403" s="1"/>
    </row>
    <row r="9404" spans="3:4" x14ac:dyDescent="0.25">
      <c r="C9404" s="1"/>
      <c r="D9404" s="1"/>
    </row>
    <row r="9405" spans="3:4" x14ac:dyDescent="0.25">
      <c r="C9405" s="1"/>
      <c r="D9405" s="1"/>
    </row>
    <row r="9406" spans="3:4" x14ac:dyDescent="0.25">
      <c r="C9406" s="1"/>
      <c r="D9406" s="1"/>
    </row>
    <row r="9407" spans="3:4" x14ac:dyDescent="0.25">
      <c r="C9407" s="1"/>
      <c r="D9407" s="1"/>
    </row>
    <row r="9408" spans="3:4" x14ac:dyDescent="0.25">
      <c r="C9408" s="1"/>
      <c r="D9408" s="1"/>
    </row>
    <row r="9409" spans="3:4" x14ac:dyDescent="0.25">
      <c r="C9409" s="1"/>
      <c r="D9409" s="1"/>
    </row>
    <row r="9410" spans="3:4" x14ac:dyDescent="0.25">
      <c r="C9410" s="1"/>
      <c r="D9410" s="1"/>
    </row>
    <row r="9411" spans="3:4" x14ac:dyDescent="0.25">
      <c r="C9411" s="1"/>
      <c r="D9411" s="1"/>
    </row>
    <row r="9412" spans="3:4" x14ac:dyDescent="0.25">
      <c r="C9412" s="1"/>
      <c r="D9412" s="1"/>
    </row>
    <row r="9413" spans="3:4" x14ac:dyDescent="0.25">
      <c r="C9413" s="1"/>
      <c r="D9413" s="1"/>
    </row>
    <row r="9414" spans="3:4" x14ac:dyDescent="0.25">
      <c r="C9414" s="1"/>
      <c r="D9414" s="1"/>
    </row>
    <row r="9415" spans="3:4" x14ac:dyDescent="0.25">
      <c r="C9415" s="1"/>
      <c r="D9415" s="1"/>
    </row>
    <row r="9416" spans="3:4" x14ac:dyDescent="0.25">
      <c r="C9416" s="1"/>
      <c r="D9416" s="1"/>
    </row>
    <row r="9417" spans="3:4" x14ac:dyDescent="0.25">
      <c r="C9417" s="1"/>
      <c r="D9417" s="1"/>
    </row>
    <row r="9418" spans="3:4" x14ac:dyDescent="0.25">
      <c r="C9418" s="1"/>
      <c r="D9418" s="1"/>
    </row>
    <row r="9419" spans="3:4" x14ac:dyDescent="0.25">
      <c r="C9419" s="1"/>
      <c r="D9419" s="1"/>
    </row>
    <row r="9420" spans="3:4" x14ac:dyDescent="0.25">
      <c r="C9420" s="1"/>
      <c r="D9420" s="1"/>
    </row>
    <row r="9421" spans="3:4" x14ac:dyDescent="0.25">
      <c r="C9421" s="1"/>
      <c r="D9421" s="1"/>
    </row>
    <row r="9422" spans="3:4" x14ac:dyDescent="0.25">
      <c r="C9422" s="1"/>
      <c r="D9422" s="1"/>
    </row>
    <row r="9423" spans="3:4" x14ac:dyDescent="0.25">
      <c r="C9423" s="1"/>
      <c r="D9423" s="1"/>
    </row>
    <row r="9424" spans="3:4" x14ac:dyDescent="0.25">
      <c r="C9424" s="1"/>
      <c r="D9424" s="1"/>
    </row>
    <row r="9425" spans="3:4" x14ac:dyDescent="0.25">
      <c r="C9425" s="1"/>
      <c r="D9425" s="1"/>
    </row>
    <row r="9426" spans="3:4" x14ac:dyDescent="0.25">
      <c r="C9426" s="1"/>
      <c r="D9426" s="1"/>
    </row>
    <row r="9427" spans="3:4" x14ac:dyDescent="0.25">
      <c r="C9427" s="1"/>
      <c r="D9427" s="1"/>
    </row>
    <row r="9428" spans="3:4" x14ac:dyDescent="0.25">
      <c r="C9428" s="1"/>
      <c r="D9428" s="1"/>
    </row>
    <row r="9429" spans="3:4" x14ac:dyDescent="0.25">
      <c r="C9429" s="1"/>
      <c r="D9429" s="1"/>
    </row>
    <row r="9430" spans="3:4" x14ac:dyDescent="0.25">
      <c r="C9430" s="1"/>
      <c r="D9430" s="1"/>
    </row>
    <row r="9431" spans="3:4" x14ac:dyDescent="0.25">
      <c r="C9431" s="1"/>
      <c r="D9431" s="1"/>
    </row>
    <row r="9432" spans="3:4" x14ac:dyDescent="0.25">
      <c r="C9432" s="1"/>
      <c r="D9432" s="1"/>
    </row>
    <row r="9433" spans="3:4" x14ac:dyDescent="0.25">
      <c r="C9433" s="1"/>
      <c r="D9433" s="1"/>
    </row>
    <row r="9434" spans="3:4" x14ac:dyDescent="0.25">
      <c r="C9434" s="1"/>
      <c r="D9434" s="1"/>
    </row>
    <row r="9435" spans="3:4" x14ac:dyDescent="0.25">
      <c r="C9435" s="1"/>
      <c r="D9435" s="1"/>
    </row>
    <row r="9436" spans="3:4" x14ac:dyDescent="0.25">
      <c r="C9436" s="1"/>
      <c r="D9436" s="1"/>
    </row>
    <row r="9437" spans="3:4" x14ac:dyDescent="0.25">
      <c r="C9437" s="1"/>
      <c r="D9437" s="1"/>
    </row>
    <row r="9438" spans="3:4" x14ac:dyDescent="0.25">
      <c r="C9438" s="1"/>
      <c r="D9438" s="1"/>
    </row>
    <row r="9439" spans="3:4" x14ac:dyDescent="0.25">
      <c r="C9439" s="1"/>
      <c r="D9439" s="1"/>
    </row>
    <row r="9440" spans="3:4" x14ac:dyDescent="0.25">
      <c r="C9440" s="1"/>
      <c r="D9440" s="1"/>
    </row>
    <row r="9441" spans="3:4" x14ac:dyDescent="0.25">
      <c r="C9441" s="1"/>
      <c r="D9441" s="1"/>
    </row>
    <row r="9442" spans="3:4" x14ac:dyDescent="0.25">
      <c r="C9442" s="1"/>
      <c r="D9442" s="1"/>
    </row>
    <row r="9443" spans="3:4" x14ac:dyDescent="0.25">
      <c r="C9443" s="1"/>
      <c r="D9443" s="1"/>
    </row>
    <row r="9444" spans="3:4" x14ac:dyDescent="0.25">
      <c r="C9444" s="1"/>
      <c r="D9444" s="1"/>
    </row>
    <row r="9445" spans="3:4" x14ac:dyDescent="0.25">
      <c r="C9445" s="1"/>
      <c r="D9445" s="1"/>
    </row>
    <row r="9446" spans="3:4" x14ac:dyDescent="0.25">
      <c r="C9446" s="1"/>
      <c r="D9446" s="1"/>
    </row>
    <row r="9447" spans="3:4" x14ac:dyDescent="0.25">
      <c r="C9447" s="1"/>
      <c r="D9447" s="1"/>
    </row>
    <row r="9448" spans="3:4" x14ac:dyDescent="0.25">
      <c r="C9448" s="1"/>
      <c r="D9448" s="1"/>
    </row>
    <row r="9449" spans="3:4" x14ac:dyDescent="0.25">
      <c r="C9449" s="1"/>
      <c r="D9449" s="1"/>
    </row>
    <row r="9450" spans="3:4" x14ac:dyDescent="0.25">
      <c r="C9450" s="1"/>
      <c r="D9450" s="1"/>
    </row>
    <row r="9451" spans="3:4" x14ac:dyDescent="0.25">
      <c r="C9451" s="1"/>
      <c r="D9451" s="1"/>
    </row>
    <row r="9452" spans="3:4" x14ac:dyDescent="0.25">
      <c r="C9452" s="1"/>
      <c r="D9452" s="1"/>
    </row>
    <row r="9453" spans="3:4" x14ac:dyDescent="0.25">
      <c r="C9453" s="1"/>
      <c r="D9453" s="1"/>
    </row>
    <row r="9454" spans="3:4" x14ac:dyDescent="0.25">
      <c r="C9454" s="1"/>
      <c r="D9454" s="1"/>
    </row>
    <row r="9455" spans="3:4" x14ac:dyDescent="0.25">
      <c r="C9455" s="1"/>
      <c r="D9455" s="1"/>
    </row>
    <row r="9456" spans="3:4" x14ac:dyDescent="0.25">
      <c r="C9456" s="1"/>
      <c r="D9456" s="1"/>
    </row>
    <row r="9457" spans="3:4" x14ac:dyDescent="0.25">
      <c r="C9457" s="1"/>
      <c r="D9457" s="1"/>
    </row>
    <row r="9458" spans="3:4" x14ac:dyDescent="0.25">
      <c r="C9458" s="1"/>
      <c r="D9458" s="1"/>
    </row>
    <row r="9459" spans="3:4" x14ac:dyDescent="0.25">
      <c r="C9459" s="1"/>
      <c r="D9459" s="1"/>
    </row>
    <row r="9460" spans="3:4" x14ac:dyDescent="0.25">
      <c r="C9460" s="1"/>
      <c r="D9460" s="1"/>
    </row>
    <row r="9461" spans="3:4" x14ac:dyDescent="0.25">
      <c r="C9461" s="1"/>
      <c r="D9461" s="1"/>
    </row>
    <row r="9462" spans="3:4" x14ac:dyDescent="0.25">
      <c r="C9462" s="1"/>
      <c r="D9462" s="1"/>
    </row>
    <row r="9463" spans="3:4" x14ac:dyDescent="0.25">
      <c r="C9463" s="1"/>
      <c r="D9463" s="1"/>
    </row>
    <row r="9464" spans="3:4" x14ac:dyDescent="0.25">
      <c r="C9464" s="1"/>
      <c r="D9464" s="1"/>
    </row>
    <row r="9465" spans="3:4" x14ac:dyDescent="0.25">
      <c r="C9465" s="1"/>
      <c r="D9465" s="1"/>
    </row>
    <row r="9466" spans="3:4" x14ac:dyDescent="0.25">
      <c r="C9466" s="1"/>
      <c r="D9466" s="1"/>
    </row>
    <row r="9467" spans="3:4" x14ac:dyDescent="0.25">
      <c r="C9467" s="1"/>
      <c r="D9467" s="1"/>
    </row>
    <row r="9468" spans="3:4" x14ac:dyDescent="0.25">
      <c r="C9468" s="1"/>
      <c r="D9468" s="1"/>
    </row>
    <row r="9469" spans="3:4" x14ac:dyDescent="0.25">
      <c r="C9469" s="1"/>
      <c r="D9469" s="1"/>
    </row>
    <row r="9470" spans="3:4" x14ac:dyDescent="0.25">
      <c r="C9470" s="1"/>
      <c r="D9470" s="1"/>
    </row>
    <row r="9471" spans="3:4" x14ac:dyDescent="0.25">
      <c r="C9471" s="1"/>
      <c r="D9471" s="1"/>
    </row>
    <row r="9472" spans="3:4" x14ac:dyDescent="0.25">
      <c r="C9472" s="1"/>
      <c r="D9472" s="1"/>
    </row>
    <row r="9473" spans="3:4" x14ac:dyDescent="0.25">
      <c r="C9473" s="1"/>
      <c r="D9473" s="1"/>
    </row>
    <row r="9474" spans="3:4" x14ac:dyDescent="0.25">
      <c r="C9474" s="1"/>
      <c r="D9474" s="1"/>
    </row>
    <row r="9475" spans="3:4" x14ac:dyDescent="0.25">
      <c r="C9475" s="1"/>
      <c r="D9475" s="1"/>
    </row>
    <row r="9476" spans="3:4" x14ac:dyDescent="0.25">
      <c r="C9476" s="1"/>
      <c r="D9476" s="1"/>
    </row>
    <row r="9477" spans="3:4" x14ac:dyDescent="0.25">
      <c r="C9477" s="1"/>
      <c r="D9477" s="1"/>
    </row>
    <row r="9478" spans="3:4" x14ac:dyDescent="0.25">
      <c r="C9478" s="1"/>
      <c r="D9478" s="1"/>
    </row>
    <row r="9479" spans="3:4" x14ac:dyDescent="0.25">
      <c r="C9479" s="1"/>
      <c r="D9479" s="1"/>
    </row>
    <row r="9480" spans="3:4" x14ac:dyDescent="0.25">
      <c r="C9480" s="1"/>
      <c r="D9480" s="1"/>
    </row>
    <row r="9481" spans="3:4" x14ac:dyDescent="0.25">
      <c r="C9481" s="1"/>
      <c r="D9481" s="1"/>
    </row>
    <row r="9482" spans="3:4" x14ac:dyDescent="0.25">
      <c r="C9482" s="1"/>
      <c r="D9482" s="1"/>
    </row>
    <row r="9483" spans="3:4" x14ac:dyDescent="0.25">
      <c r="C9483" s="1"/>
      <c r="D9483" s="1"/>
    </row>
    <row r="9484" spans="3:4" x14ac:dyDescent="0.25">
      <c r="C9484" s="1"/>
      <c r="D9484" s="1"/>
    </row>
    <row r="9485" spans="3:4" x14ac:dyDescent="0.25">
      <c r="C9485" s="1"/>
      <c r="D9485" s="1"/>
    </row>
    <row r="9486" spans="3:4" x14ac:dyDescent="0.25">
      <c r="C9486" s="1"/>
      <c r="D9486" s="1"/>
    </row>
    <row r="9487" spans="3:4" x14ac:dyDescent="0.25">
      <c r="C9487" s="1"/>
      <c r="D9487" s="1"/>
    </row>
    <row r="9488" spans="3:4" x14ac:dyDescent="0.25">
      <c r="C9488" s="1"/>
      <c r="D9488" s="1"/>
    </row>
    <row r="9489" spans="3:4" x14ac:dyDescent="0.25">
      <c r="C9489" s="1"/>
      <c r="D9489" s="1"/>
    </row>
    <row r="9490" spans="3:4" x14ac:dyDescent="0.25">
      <c r="C9490" s="1"/>
      <c r="D9490" s="1"/>
    </row>
    <row r="9491" spans="3:4" x14ac:dyDescent="0.25">
      <c r="C9491" s="1"/>
      <c r="D9491" s="1"/>
    </row>
    <row r="9492" spans="3:4" x14ac:dyDescent="0.25">
      <c r="C9492" s="1"/>
      <c r="D9492" s="1"/>
    </row>
    <row r="9493" spans="3:4" x14ac:dyDescent="0.25">
      <c r="C9493" s="1"/>
      <c r="D9493" s="1"/>
    </row>
    <row r="9494" spans="3:4" x14ac:dyDescent="0.25">
      <c r="C9494" s="1"/>
      <c r="D9494" s="1"/>
    </row>
    <row r="9495" spans="3:4" x14ac:dyDescent="0.25">
      <c r="C9495" s="1"/>
      <c r="D9495" s="1"/>
    </row>
    <row r="9496" spans="3:4" x14ac:dyDescent="0.25">
      <c r="C9496" s="1"/>
      <c r="D9496" s="1"/>
    </row>
    <row r="9497" spans="3:4" x14ac:dyDescent="0.25">
      <c r="C9497" s="1"/>
      <c r="D9497" s="1"/>
    </row>
    <row r="9498" spans="3:4" x14ac:dyDescent="0.25">
      <c r="C9498" s="1"/>
      <c r="D9498" s="1"/>
    </row>
    <row r="9499" spans="3:4" x14ac:dyDescent="0.25">
      <c r="C9499" s="1"/>
      <c r="D9499" s="1"/>
    </row>
    <row r="9500" spans="3:4" x14ac:dyDescent="0.25">
      <c r="C9500" s="1"/>
      <c r="D9500" s="1"/>
    </row>
    <row r="9501" spans="3:4" x14ac:dyDescent="0.25">
      <c r="C9501" s="1"/>
      <c r="D9501" s="1"/>
    </row>
    <row r="9502" spans="3:4" x14ac:dyDescent="0.25">
      <c r="C9502" s="1"/>
      <c r="D9502" s="1"/>
    </row>
    <row r="9503" spans="3:4" x14ac:dyDescent="0.25">
      <c r="C9503" s="1"/>
      <c r="D9503" s="1"/>
    </row>
    <row r="9504" spans="3:4" x14ac:dyDescent="0.25">
      <c r="C9504" s="1"/>
      <c r="D9504" s="1"/>
    </row>
    <row r="9505" spans="3:4" x14ac:dyDescent="0.25">
      <c r="C9505" s="1"/>
      <c r="D9505" s="1"/>
    </row>
    <row r="9506" spans="3:4" x14ac:dyDescent="0.25">
      <c r="C9506" s="1"/>
      <c r="D9506" s="1"/>
    </row>
    <row r="9507" spans="3:4" x14ac:dyDescent="0.25">
      <c r="C9507" s="1"/>
      <c r="D9507" s="1"/>
    </row>
    <row r="9508" spans="3:4" x14ac:dyDescent="0.25">
      <c r="C9508" s="1"/>
      <c r="D9508" s="1"/>
    </row>
    <row r="9509" spans="3:4" x14ac:dyDescent="0.25">
      <c r="C9509" s="1"/>
      <c r="D9509" s="1"/>
    </row>
    <row r="9510" spans="3:4" x14ac:dyDescent="0.25">
      <c r="C9510" s="1"/>
      <c r="D9510" s="1"/>
    </row>
    <row r="9511" spans="3:4" x14ac:dyDescent="0.25">
      <c r="C9511" s="1"/>
      <c r="D9511" s="1"/>
    </row>
    <row r="9512" spans="3:4" x14ac:dyDescent="0.25">
      <c r="C9512" s="1"/>
      <c r="D9512" s="1"/>
    </row>
    <row r="9513" spans="3:4" x14ac:dyDescent="0.25">
      <c r="C9513" s="1"/>
      <c r="D9513" s="1"/>
    </row>
    <row r="9514" spans="3:4" x14ac:dyDescent="0.25">
      <c r="C9514" s="1"/>
      <c r="D9514" s="1"/>
    </row>
    <row r="9515" spans="3:4" x14ac:dyDescent="0.25">
      <c r="C9515" s="1"/>
      <c r="D9515" s="1"/>
    </row>
    <row r="9516" spans="3:4" x14ac:dyDescent="0.25">
      <c r="C9516" s="1"/>
      <c r="D9516" s="1"/>
    </row>
    <row r="9517" spans="3:4" x14ac:dyDescent="0.25">
      <c r="C9517" s="1"/>
      <c r="D9517" s="1"/>
    </row>
    <row r="9518" spans="3:4" x14ac:dyDescent="0.25">
      <c r="C9518" s="1"/>
      <c r="D9518" s="1"/>
    </row>
    <row r="9519" spans="3:4" x14ac:dyDescent="0.25">
      <c r="C9519" s="1"/>
      <c r="D9519" s="1"/>
    </row>
    <row r="9520" spans="3:4" x14ac:dyDescent="0.25">
      <c r="C9520" s="1"/>
      <c r="D9520" s="1"/>
    </row>
    <row r="9521" spans="3:4" x14ac:dyDescent="0.25">
      <c r="C9521" s="1"/>
      <c r="D9521" s="1"/>
    </row>
    <row r="9522" spans="3:4" x14ac:dyDescent="0.25">
      <c r="C9522" s="1"/>
      <c r="D9522" s="1"/>
    </row>
    <row r="9523" spans="3:4" x14ac:dyDescent="0.25">
      <c r="C9523" s="1"/>
      <c r="D9523" s="1"/>
    </row>
    <row r="9524" spans="3:4" x14ac:dyDescent="0.25">
      <c r="C9524" s="1"/>
      <c r="D9524" s="1"/>
    </row>
    <row r="9525" spans="3:4" x14ac:dyDescent="0.25">
      <c r="C9525" s="1"/>
      <c r="D9525" s="1"/>
    </row>
    <row r="9526" spans="3:4" x14ac:dyDescent="0.25">
      <c r="C9526" s="1"/>
      <c r="D9526" s="1"/>
    </row>
    <row r="9527" spans="3:4" x14ac:dyDescent="0.25">
      <c r="C9527" s="1"/>
      <c r="D9527" s="1"/>
    </row>
    <row r="9528" spans="3:4" x14ac:dyDescent="0.25">
      <c r="C9528" s="1"/>
      <c r="D9528" s="1"/>
    </row>
    <row r="9529" spans="3:4" x14ac:dyDescent="0.25">
      <c r="C9529" s="1"/>
      <c r="D9529" s="1"/>
    </row>
    <row r="9530" spans="3:4" x14ac:dyDescent="0.25">
      <c r="C9530" s="1"/>
      <c r="D9530" s="1"/>
    </row>
    <row r="9531" spans="3:4" x14ac:dyDescent="0.25">
      <c r="C9531" s="1"/>
      <c r="D9531" s="1"/>
    </row>
    <row r="9532" spans="3:4" x14ac:dyDescent="0.25">
      <c r="C9532" s="1"/>
      <c r="D9532" s="1"/>
    </row>
    <row r="9533" spans="3:4" x14ac:dyDescent="0.25">
      <c r="C9533" s="1"/>
      <c r="D9533" s="1"/>
    </row>
    <row r="9534" spans="3:4" x14ac:dyDescent="0.25">
      <c r="C9534" s="1"/>
      <c r="D9534" s="1"/>
    </row>
    <row r="9535" spans="3:4" x14ac:dyDescent="0.25">
      <c r="C9535" s="1"/>
      <c r="D9535" s="1"/>
    </row>
    <row r="9536" spans="3:4" x14ac:dyDescent="0.25">
      <c r="C9536" s="1"/>
      <c r="D9536" s="1"/>
    </row>
    <row r="9537" spans="3:4" x14ac:dyDescent="0.25">
      <c r="C9537" s="1"/>
      <c r="D9537" s="1"/>
    </row>
    <row r="9538" spans="3:4" x14ac:dyDescent="0.25">
      <c r="C9538" s="1"/>
      <c r="D9538" s="1"/>
    </row>
    <row r="9539" spans="3:4" x14ac:dyDescent="0.25">
      <c r="C9539" s="1"/>
      <c r="D9539" s="1"/>
    </row>
    <row r="9540" spans="3:4" x14ac:dyDescent="0.25">
      <c r="C9540" s="1"/>
      <c r="D9540" s="1"/>
    </row>
    <row r="9541" spans="3:4" x14ac:dyDescent="0.25">
      <c r="C9541" s="1"/>
      <c r="D9541" s="1"/>
    </row>
    <row r="9542" spans="3:4" x14ac:dyDescent="0.25">
      <c r="C9542" s="1"/>
      <c r="D9542" s="1"/>
    </row>
    <row r="9543" spans="3:4" x14ac:dyDescent="0.25">
      <c r="C9543" s="1"/>
      <c r="D9543" s="1"/>
    </row>
    <row r="9544" spans="3:4" x14ac:dyDescent="0.25">
      <c r="C9544" s="1"/>
      <c r="D9544" s="1"/>
    </row>
    <row r="9545" spans="3:4" x14ac:dyDescent="0.25">
      <c r="C9545" s="1"/>
      <c r="D9545" s="1"/>
    </row>
    <row r="9546" spans="3:4" x14ac:dyDescent="0.25">
      <c r="C9546" s="1"/>
      <c r="D9546" s="1"/>
    </row>
    <row r="9547" spans="3:4" x14ac:dyDescent="0.25">
      <c r="C9547" s="1"/>
      <c r="D9547" s="1"/>
    </row>
    <row r="9548" spans="3:4" x14ac:dyDescent="0.25">
      <c r="C9548" s="1"/>
      <c r="D9548" s="1"/>
    </row>
    <row r="9549" spans="3:4" x14ac:dyDescent="0.25">
      <c r="C9549" s="1"/>
      <c r="D9549" s="1"/>
    </row>
    <row r="9550" spans="3:4" x14ac:dyDescent="0.25">
      <c r="C9550" s="1"/>
      <c r="D9550" s="1"/>
    </row>
    <row r="9551" spans="3:4" x14ac:dyDescent="0.25">
      <c r="C9551" s="1"/>
      <c r="D9551" s="1"/>
    </row>
    <row r="9552" spans="3:4" x14ac:dyDescent="0.25">
      <c r="C9552" s="1"/>
      <c r="D9552" s="1"/>
    </row>
    <row r="9553" spans="3:4" x14ac:dyDescent="0.25">
      <c r="C9553" s="1"/>
      <c r="D9553" s="1"/>
    </row>
    <row r="9554" spans="3:4" x14ac:dyDescent="0.25">
      <c r="C9554" s="1"/>
      <c r="D9554" s="1"/>
    </row>
    <row r="9555" spans="3:4" x14ac:dyDescent="0.25">
      <c r="C9555" s="1"/>
      <c r="D9555" s="1"/>
    </row>
    <row r="9556" spans="3:4" x14ac:dyDescent="0.25">
      <c r="C9556" s="1"/>
      <c r="D9556" s="1"/>
    </row>
    <row r="9557" spans="3:4" x14ac:dyDescent="0.25">
      <c r="C9557" s="1"/>
      <c r="D9557" s="1"/>
    </row>
    <row r="9558" spans="3:4" x14ac:dyDescent="0.25">
      <c r="C9558" s="1"/>
      <c r="D9558" s="1"/>
    </row>
    <row r="9559" spans="3:4" x14ac:dyDescent="0.25">
      <c r="C9559" s="1"/>
      <c r="D9559" s="1"/>
    </row>
    <row r="9560" spans="3:4" x14ac:dyDescent="0.25">
      <c r="C9560" s="1"/>
      <c r="D9560" s="1"/>
    </row>
    <row r="9561" spans="3:4" x14ac:dyDescent="0.25">
      <c r="C9561" s="1"/>
      <c r="D9561" s="1"/>
    </row>
    <row r="9562" spans="3:4" x14ac:dyDescent="0.25">
      <c r="C9562" s="1"/>
      <c r="D9562" s="1"/>
    </row>
    <row r="9563" spans="3:4" x14ac:dyDescent="0.25">
      <c r="C9563" s="1"/>
      <c r="D9563" s="1"/>
    </row>
    <row r="9564" spans="3:4" x14ac:dyDescent="0.25">
      <c r="C9564" s="1"/>
      <c r="D9564" s="1"/>
    </row>
    <row r="9565" spans="3:4" x14ac:dyDescent="0.25">
      <c r="C9565" s="1"/>
      <c r="D9565" s="1"/>
    </row>
    <row r="9566" spans="3:4" x14ac:dyDescent="0.25">
      <c r="C9566" s="1"/>
      <c r="D9566" s="1"/>
    </row>
    <row r="9567" spans="3:4" x14ac:dyDescent="0.25">
      <c r="C9567" s="1"/>
      <c r="D9567" s="1"/>
    </row>
    <row r="9568" spans="3:4" x14ac:dyDescent="0.25">
      <c r="C9568" s="1"/>
      <c r="D9568" s="1"/>
    </row>
    <row r="9569" spans="3:4" x14ac:dyDescent="0.25">
      <c r="C9569" s="1"/>
      <c r="D9569" s="1"/>
    </row>
    <row r="9570" spans="3:4" x14ac:dyDescent="0.25">
      <c r="C9570" s="1"/>
      <c r="D9570" s="1"/>
    </row>
    <row r="9571" spans="3:4" x14ac:dyDescent="0.25">
      <c r="C9571" s="1"/>
      <c r="D9571" s="1"/>
    </row>
    <row r="9572" spans="3:4" x14ac:dyDescent="0.25">
      <c r="C9572" s="1"/>
      <c r="D9572" s="1"/>
    </row>
    <row r="9573" spans="3:4" x14ac:dyDescent="0.25">
      <c r="C9573" s="1"/>
      <c r="D9573" s="1"/>
    </row>
    <row r="9574" spans="3:4" x14ac:dyDescent="0.25">
      <c r="C9574" s="1"/>
      <c r="D9574" s="1"/>
    </row>
    <row r="9575" spans="3:4" x14ac:dyDescent="0.25">
      <c r="C9575" s="1"/>
      <c r="D9575" s="1"/>
    </row>
    <row r="9576" spans="3:4" x14ac:dyDescent="0.25">
      <c r="C9576" s="1"/>
      <c r="D9576" s="1"/>
    </row>
    <row r="9577" spans="3:4" x14ac:dyDescent="0.25">
      <c r="C9577" s="1"/>
      <c r="D9577" s="1"/>
    </row>
    <row r="9578" spans="3:4" x14ac:dyDescent="0.25">
      <c r="C9578" s="1"/>
      <c r="D9578" s="1"/>
    </row>
    <row r="9579" spans="3:4" x14ac:dyDescent="0.25">
      <c r="C9579" s="1"/>
      <c r="D9579" s="1"/>
    </row>
    <row r="9580" spans="3:4" x14ac:dyDescent="0.25">
      <c r="C9580" s="1"/>
      <c r="D9580" s="1"/>
    </row>
    <row r="9581" spans="3:4" x14ac:dyDescent="0.25">
      <c r="C9581" s="1"/>
      <c r="D9581" s="1"/>
    </row>
    <row r="9582" spans="3:4" x14ac:dyDescent="0.25">
      <c r="C9582" s="1"/>
      <c r="D9582" s="1"/>
    </row>
    <row r="9583" spans="3:4" x14ac:dyDescent="0.25">
      <c r="C9583" s="1"/>
      <c r="D9583" s="1"/>
    </row>
    <row r="9584" spans="3:4" x14ac:dyDescent="0.25">
      <c r="C9584" s="1"/>
      <c r="D9584" s="1"/>
    </row>
    <row r="9585" spans="3:4" x14ac:dyDescent="0.25">
      <c r="C9585" s="1"/>
      <c r="D9585" s="1"/>
    </row>
    <row r="9586" spans="3:4" x14ac:dyDescent="0.25">
      <c r="C9586" s="1"/>
      <c r="D9586" s="1"/>
    </row>
    <row r="9587" spans="3:4" x14ac:dyDescent="0.25">
      <c r="C9587" s="1"/>
      <c r="D9587" s="1"/>
    </row>
    <row r="9588" spans="3:4" x14ac:dyDescent="0.25">
      <c r="C9588" s="1"/>
      <c r="D9588" s="1"/>
    </row>
    <row r="9589" spans="3:4" x14ac:dyDescent="0.25">
      <c r="C9589" s="1"/>
      <c r="D9589" s="1"/>
    </row>
    <row r="9590" spans="3:4" x14ac:dyDescent="0.25">
      <c r="C9590" s="1"/>
      <c r="D9590" s="1"/>
    </row>
    <row r="9591" spans="3:4" x14ac:dyDescent="0.25">
      <c r="C9591" s="1"/>
      <c r="D9591" s="1"/>
    </row>
    <row r="9592" spans="3:4" x14ac:dyDescent="0.25">
      <c r="C9592" s="1"/>
      <c r="D9592" s="1"/>
    </row>
    <row r="9593" spans="3:4" x14ac:dyDescent="0.25">
      <c r="C9593" s="1"/>
      <c r="D9593" s="1"/>
    </row>
    <row r="9594" spans="3:4" x14ac:dyDescent="0.25">
      <c r="C9594" s="1"/>
      <c r="D9594" s="1"/>
    </row>
    <row r="9595" spans="3:4" x14ac:dyDescent="0.25">
      <c r="C9595" s="1"/>
      <c r="D9595" s="1"/>
    </row>
    <row r="9596" spans="3:4" x14ac:dyDescent="0.25">
      <c r="C9596" s="1"/>
      <c r="D9596" s="1"/>
    </row>
    <row r="9597" spans="3:4" x14ac:dyDescent="0.25">
      <c r="C9597" s="1"/>
      <c r="D9597" s="1"/>
    </row>
    <row r="9598" spans="3:4" x14ac:dyDescent="0.25">
      <c r="C9598" s="1"/>
      <c r="D9598" s="1"/>
    </row>
    <row r="9599" spans="3:4" x14ac:dyDescent="0.25">
      <c r="C9599" s="1"/>
      <c r="D9599" s="1"/>
    </row>
    <row r="9600" spans="3:4" x14ac:dyDescent="0.25">
      <c r="C9600" s="1"/>
      <c r="D9600" s="1"/>
    </row>
    <row r="9601" spans="3:4" x14ac:dyDescent="0.25">
      <c r="C9601" s="1"/>
      <c r="D9601" s="1"/>
    </row>
    <row r="9602" spans="3:4" x14ac:dyDescent="0.25">
      <c r="C9602" s="1"/>
      <c r="D9602" s="1"/>
    </row>
    <row r="9603" spans="3:4" x14ac:dyDescent="0.25">
      <c r="C9603" s="1"/>
      <c r="D9603" s="1"/>
    </row>
    <row r="9604" spans="3:4" x14ac:dyDescent="0.25">
      <c r="C9604" s="1"/>
      <c r="D9604" s="1"/>
    </row>
    <row r="9605" spans="3:4" x14ac:dyDescent="0.25">
      <c r="C9605" s="1"/>
      <c r="D9605" s="1"/>
    </row>
    <row r="9606" spans="3:4" x14ac:dyDescent="0.25">
      <c r="C9606" s="1"/>
      <c r="D9606" s="1"/>
    </row>
    <row r="9607" spans="3:4" x14ac:dyDescent="0.25">
      <c r="C9607" s="1"/>
      <c r="D9607" s="1"/>
    </row>
    <row r="9608" spans="3:4" x14ac:dyDescent="0.25">
      <c r="C9608" s="1"/>
      <c r="D9608" s="1"/>
    </row>
    <row r="9609" spans="3:4" x14ac:dyDescent="0.25">
      <c r="C9609" s="1"/>
      <c r="D9609" s="1"/>
    </row>
    <row r="9610" spans="3:4" x14ac:dyDescent="0.25">
      <c r="C9610" s="1"/>
      <c r="D9610" s="1"/>
    </row>
    <row r="9611" spans="3:4" x14ac:dyDescent="0.25">
      <c r="C9611" s="1"/>
      <c r="D9611" s="1"/>
    </row>
    <row r="9612" spans="3:4" x14ac:dyDescent="0.25">
      <c r="C9612" s="1"/>
      <c r="D9612" s="1"/>
    </row>
    <row r="9613" spans="3:4" x14ac:dyDescent="0.25">
      <c r="C9613" s="1"/>
      <c r="D9613" s="1"/>
    </row>
    <row r="9614" spans="3:4" x14ac:dyDescent="0.25">
      <c r="C9614" s="1"/>
      <c r="D9614" s="1"/>
    </row>
    <row r="9615" spans="3:4" x14ac:dyDescent="0.25">
      <c r="C9615" s="1"/>
      <c r="D9615" s="1"/>
    </row>
    <row r="9616" spans="3:4" x14ac:dyDescent="0.25">
      <c r="C9616" s="1"/>
      <c r="D9616" s="1"/>
    </row>
    <row r="9617" spans="3:4" x14ac:dyDescent="0.25">
      <c r="C9617" s="1"/>
      <c r="D9617" s="1"/>
    </row>
    <row r="9618" spans="3:4" x14ac:dyDescent="0.25">
      <c r="C9618" s="1"/>
      <c r="D9618" s="1"/>
    </row>
    <row r="9619" spans="3:4" x14ac:dyDescent="0.25">
      <c r="C9619" s="1"/>
      <c r="D9619" s="1"/>
    </row>
    <row r="9620" spans="3:4" x14ac:dyDescent="0.25">
      <c r="C9620" s="1"/>
      <c r="D9620" s="1"/>
    </row>
    <row r="9621" spans="3:4" x14ac:dyDescent="0.25">
      <c r="C9621" s="1"/>
      <c r="D9621" s="1"/>
    </row>
    <row r="9622" spans="3:4" x14ac:dyDescent="0.25">
      <c r="C9622" s="1"/>
      <c r="D9622" s="1"/>
    </row>
    <row r="9623" spans="3:4" x14ac:dyDescent="0.25">
      <c r="C9623" s="1"/>
      <c r="D9623" s="1"/>
    </row>
    <row r="9624" spans="3:4" x14ac:dyDescent="0.25">
      <c r="C9624" s="1"/>
      <c r="D9624" s="1"/>
    </row>
    <row r="9625" spans="3:4" x14ac:dyDescent="0.25">
      <c r="C9625" s="1"/>
      <c r="D9625" s="1"/>
    </row>
    <row r="9626" spans="3:4" x14ac:dyDescent="0.25">
      <c r="C9626" s="1"/>
      <c r="D9626" s="1"/>
    </row>
    <row r="9627" spans="3:4" x14ac:dyDescent="0.25">
      <c r="C9627" s="1"/>
      <c r="D9627" s="1"/>
    </row>
    <row r="9628" spans="3:4" x14ac:dyDescent="0.25">
      <c r="C9628" s="1"/>
      <c r="D9628" s="1"/>
    </row>
    <row r="9629" spans="3:4" x14ac:dyDescent="0.25">
      <c r="C9629" s="1"/>
      <c r="D9629" s="1"/>
    </row>
    <row r="9630" spans="3:4" x14ac:dyDescent="0.25">
      <c r="C9630" s="1"/>
      <c r="D9630" s="1"/>
    </row>
    <row r="9631" spans="3:4" x14ac:dyDescent="0.25">
      <c r="C9631" s="1"/>
      <c r="D9631" s="1"/>
    </row>
    <row r="9632" spans="3:4" x14ac:dyDescent="0.25">
      <c r="C9632" s="1"/>
      <c r="D9632" s="1"/>
    </row>
    <row r="9633" spans="3:4" x14ac:dyDescent="0.25">
      <c r="C9633" s="1"/>
      <c r="D9633" s="1"/>
    </row>
    <row r="9634" spans="3:4" x14ac:dyDescent="0.25">
      <c r="C9634" s="1"/>
      <c r="D9634" s="1"/>
    </row>
    <row r="9635" spans="3:4" x14ac:dyDescent="0.25">
      <c r="C9635" s="1"/>
      <c r="D9635" s="1"/>
    </row>
    <row r="9636" spans="3:4" x14ac:dyDescent="0.25">
      <c r="C9636" s="1"/>
      <c r="D9636" s="1"/>
    </row>
    <row r="9637" spans="3:4" x14ac:dyDescent="0.25">
      <c r="C9637" s="1"/>
      <c r="D9637" s="1"/>
    </row>
    <row r="9638" spans="3:4" x14ac:dyDescent="0.25">
      <c r="C9638" s="1"/>
      <c r="D9638" s="1"/>
    </row>
    <row r="9639" spans="3:4" x14ac:dyDescent="0.25">
      <c r="C9639" s="1"/>
      <c r="D9639" s="1"/>
    </row>
    <row r="9640" spans="3:4" x14ac:dyDescent="0.25">
      <c r="C9640" s="1"/>
      <c r="D9640" s="1"/>
    </row>
    <row r="9641" spans="3:4" x14ac:dyDescent="0.25">
      <c r="C9641" s="1"/>
      <c r="D9641" s="1"/>
    </row>
    <row r="9642" spans="3:4" x14ac:dyDescent="0.25">
      <c r="C9642" s="1"/>
      <c r="D9642" s="1"/>
    </row>
    <row r="9643" spans="3:4" x14ac:dyDescent="0.25">
      <c r="C9643" s="1"/>
      <c r="D9643" s="1"/>
    </row>
    <row r="9644" spans="3:4" x14ac:dyDescent="0.25">
      <c r="C9644" s="1"/>
      <c r="D9644" s="1"/>
    </row>
    <row r="9645" spans="3:4" x14ac:dyDescent="0.25">
      <c r="C9645" s="1"/>
      <c r="D9645" s="1"/>
    </row>
    <row r="9646" spans="3:4" x14ac:dyDescent="0.25">
      <c r="C9646" s="1"/>
      <c r="D9646" s="1"/>
    </row>
    <row r="9647" spans="3:4" x14ac:dyDescent="0.25">
      <c r="C9647" s="1"/>
      <c r="D9647" s="1"/>
    </row>
    <row r="9648" spans="3:4" x14ac:dyDescent="0.25">
      <c r="C9648" s="1"/>
      <c r="D9648" s="1"/>
    </row>
    <row r="9649" spans="3:4" x14ac:dyDescent="0.25">
      <c r="C9649" s="1"/>
      <c r="D9649" s="1"/>
    </row>
    <row r="9650" spans="3:4" x14ac:dyDescent="0.25">
      <c r="C9650" s="1"/>
      <c r="D9650" s="1"/>
    </row>
    <row r="9651" spans="3:4" x14ac:dyDescent="0.25">
      <c r="C9651" s="1"/>
      <c r="D9651" s="1"/>
    </row>
    <row r="9652" spans="3:4" x14ac:dyDescent="0.25">
      <c r="C9652" s="1"/>
      <c r="D9652" s="1"/>
    </row>
    <row r="9653" spans="3:4" x14ac:dyDescent="0.25">
      <c r="C9653" s="1"/>
      <c r="D9653" s="1"/>
    </row>
    <row r="9654" spans="3:4" x14ac:dyDescent="0.25">
      <c r="C9654" s="1"/>
      <c r="D9654" s="1"/>
    </row>
    <row r="9655" spans="3:4" x14ac:dyDescent="0.25">
      <c r="C9655" s="1"/>
      <c r="D9655" s="1"/>
    </row>
    <row r="9656" spans="3:4" x14ac:dyDescent="0.25">
      <c r="C9656" s="1"/>
      <c r="D9656" s="1"/>
    </row>
    <row r="9657" spans="3:4" x14ac:dyDescent="0.25">
      <c r="C9657" s="1"/>
      <c r="D9657" s="1"/>
    </row>
    <row r="9658" spans="3:4" x14ac:dyDescent="0.25">
      <c r="C9658" s="1"/>
      <c r="D9658" s="1"/>
    </row>
    <row r="9659" spans="3:4" x14ac:dyDescent="0.25">
      <c r="C9659" s="1"/>
      <c r="D9659" s="1"/>
    </row>
    <row r="9660" spans="3:4" x14ac:dyDescent="0.25">
      <c r="C9660" s="1"/>
      <c r="D9660" s="1"/>
    </row>
    <row r="9661" spans="3:4" x14ac:dyDescent="0.25">
      <c r="C9661" s="1"/>
      <c r="D9661" s="1"/>
    </row>
    <row r="9662" spans="3:4" x14ac:dyDescent="0.25">
      <c r="C9662" s="1"/>
      <c r="D9662" s="1"/>
    </row>
    <row r="9663" spans="3:4" x14ac:dyDescent="0.25">
      <c r="C9663" s="1"/>
      <c r="D9663" s="1"/>
    </row>
    <row r="9664" spans="3:4" x14ac:dyDescent="0.25">
      <c r="C9664" s="1"/>
      <c r="D9664" s="1"/>
    </row>
    <row r="9665" spans="3:4" x14ac:dyDescent="0.25">
      <c r="C9665" s="1"/>
      <c r="D9665" s="1"/>
    </row>
    <row r="9666" spans="3:4" x14ac:dyDescent="0.25">
      <c r="C9666" s="1"/>
      <c r="D9666" s="1"/>
    </row>
    <row r="9667" spans="3:4" x14ac:dyDescent="0.25">
      <c r="C9667" s="1"/>
      <c r="D9667" s="1"/>
    </row>
    <row r="9668" spans="3:4" x14ac:dyDescent="0.25">
      <c r="C9668" s="1"/>
      <c r="D9668" s="1"/>
    </row>
    <row r="9669" spans="3:4" x14ac:dyDescent="0.25">
      <c r="C9669" s="1"/>
      <c r="D9669" s="1"/>
    </row>
    <row r="9670" spans="3:4" x14ac:dyDescent="0.25">
      <c r="C9670" s="1"/>
      <c r="D9670" s="1"/>
    </row>
    <row r="9671" spans="3:4" x14ac:dyDescent="0.25">
      <c r="C9671" s="1"/>
      <c r="D9671" s="1"/>
    </row>
    <row r="9672" spans="3:4" x14ac:dyDescent="0.25">
      <c r="C9672" s="1"/>
      <c r="D9672" s="1"/>
    </row>
    <row r="9673" spans="3:4" x14ac:dyDescent="0.25">
      <c r="C9673" s="1"/>
      <c r="D9673" s="1"/>
    </row>
    <row r="9674" spans="3:4" x14ac:dyDescent="0.25">
      <c r="C9674" s="1"/>
      <c r="D9674" s="1"/>
    </row>
    <row r="9675" spans="3:4" x14ac:dyDescent="0.25">
      <c r="C9675" s="1"/>
      <c r="D9675" s="1"/>
    </row>
    <row r="9676" spans="3:4" x14ac:dyDescent="0.25">
      <c r="C9676" s="1"/>
      <c r="D9676" s="1"/>
    </row>
    <row r="9677" spans="3:4" x14ac:dyDescent="0.25">
      <c r="C9677" s="1"/>
      <c r="D9677" s="1"/>
    </row>
    <row r="9678" spans="3:4" x14ac:dyDescent="0.25">
      <c r="C9678" s="1"/>
      <c r="D9678" s="1"/>
    </row>
    <row r="9679" spans="3:4" x14ac:dyDescent="0.25">
      <c r="C9679" s="1"/>
      <c r="D9679" s="1"/>
    </row>
    <row r="9680" spans="3:4" x14ac:dyDescent="0.25">
      <c r="C9680" s="1"/>
      <c r="D9680" s="1"/>
    </row>
    <row r="9681" spans="3:4" x14ac:dyDescent="0.25">
      <c r="C9681" s="1"/>
      <c r="D9681" s="1"/>
    </row>
    <row r="9682" spans="3:4" x14ac:dyDescent="0.25">
      <c r="C9682" s="1"/>
      <c r="D9682" s="1"/>
    </row>
    <row r="9683" spans="3:4" x14ac:dyDescent="0.25">
      <c r="C9683" s="1"/>
      <c r="D9683" s="1"/>
    </row>
    <row r="9684" spans="3:4" x14ac:dyDescent="0.25">
      <c r="C9684" s="1"/>
      <c r="D9684" s="1"/>
    </row>
    <row r="9685" spans="3:4" x14ac:dyDescent="0.25">
      <c r="C9685" s="1"/>
      <c r="D9685" s="1"/>
    </row>
    <row r="9686" spans="3:4" x14ac:dyDescent="0.25">
      <c r="C9686" s="1"/>
      <c r="D9686" s="1"/>
    </row>
    <row r="9687" spans="3:4" x14ac:dyDescent="0.25">
      <c r="C9687" s="1"/>
      <c r="D9687" s="1"/>
    </row>
    <row r="9688" spans="3:4" x14ac:dyDescent="0.25">
      <c r="C9688" s="1"/>
      <c r="D9688" s="1"/>
    </row>
    <row r="9689" spans="3:4" x14ac:dyDescent="0.25">
      <c r="C9689" s="1"/>
      <c r="D9689" s="1"/>
    </row>
    <row r="9690" spans="3:4" x14ac:dyDescent="0.25">
      <c r="C9690" s="1"/>
      <c r="D9690" s="1"/>
    </row>
    <row r="9691" spans="3:4" x14ac:dyDescent="0.25">
      <c r="C9691" s="1"/>
      <c r="D9691" s="1"/>
    </row>
    <row r="9692" spans="3:4" x14ac:dyDescent="0.25">
      <c r="C9692" s="1"/>
      <c r="D9692" s="1"/>
    </row>
    <row r="9693" spans="3:4" x14ac:dyDescent="0.25">
      <c r="C9693" s="1"/>
      <c r="D9693" s="1"/>
    </row>
    <row r="9694" spans="3:4" x14ac:dyDescent="0.25">
      <c r="C9694" s="1"/>
      <c r="D9694" s="1"/>
    </row>
    <row r="9695" spans="3:4" x14ac:dyDescent="0.25">
      <c r="C9695" s="1"/>
      <c r="D9695" s="1"/>
    </row>
    <row r="9696" spans="3:4" x14ac:dyDescent="0.25">
      <c r="C9696" s="1"/>
      <c r="D9696" s="1"/>
    </row>
    <row r="9697" spans="3:4" x14ac:dyDescent="0.25">
      <c r="C9697" s="1"/>
      <c r="D9697" s="1"/>
    </row>
    <row r="9698" spans="3:4" x14ac:dyDescent="0.25">
      <c r="C9698" s="1"/>
      <c r="D9698" s="1"/>
    </row>
    <row r="9699" spans="3:4" x14ac:dyDescent="0.25">
      <c r="C9699" s="1"/>
      <c r="D9699" s="1"/>
    </row>
    <row r="9700" spans="3:4" x14ac:dyDescent="0.25">
      <c r="C9700" s="1"/>
      <c r="D9700" s="1"/>
    </row>
    <row r="9701" spans="3:4" x14ac:dyDescent="0.25">
      <c r="C9701" s="1"/>
      <c r="D9701" s="1"/>
    </row>
    <row r="9702" spans="3:4" x14ac:dyDescent="0.25">
      <c r="C9702" s="1"/>
      <c r="D9702" s="1"/>
    </row>
    <row r="9703" spans="3:4" x14ac:dyDescent="0.25">
      <c r="C9703" s="1"/>
      <c r="D9703" s="1"/>
    </row>
    <row r="9704" spans="3:4" x14ac:dyDescent="0.25">
      <c r="C9704" s="1"/>
      <c r="D9704" s="1"/>
    </row>
    <row r="9705" spans="3:4" x14ac:dyDescent="0.25">
      <c r="C9705" s="1"/>
      <c r="D9705" s="1"/>
    </row>
    <row r="9706" spans="3:4" x14ac:dyDescent="0.25">
      <c r="C9706" s="1"/>
      <c r="D9706" s="1"/>
    </row>
    <row r="9707" spans="3:4" x14ac:dyDescent="0.25">
      <c r="C9707" s="1"/>
      <c r="D9707" s="1"/>
    </row>
    <row r="9708" spans="3:4" x14ac:dyDescent="0.25">
      <c r="C9708" s="1"/>
      <c r="D9708" s="1"/>
    </row>
    <row r="9709" spans="3:4" x14ac:dyDescent="0.25">
      <c r="C9709" s="1"/>
      <c r="D9709" s="1"/>
    </row>
    <row r="9710" spans="3:4" x14ac:dyDescent="0.25">
      <c r="C9710" s="1"/>
      <c r="D9710" s="1"/>
    </row>
    <row r="9711" spans="3:4" x14ac:dyDescent="0.25">
      <c r="C9711" s="1"/>
      <c r="D9711" s="1"/>
    </row>
    <row r="9712" spans="3:4" x14ac:dyDescent="0.25">
      <c r="C9712" s="1"/>
      <c r="D9712" s="1"/>
    </row>
    <row r="9713" spans="3:4" x14ac:dyDescent="0.25">
      <c r="C9713" s="1"/>
      <c r="D9713" s="1"/>
    </row>
    <row r="9714" spans="3:4" x14ac:dyDescent="0.25">
      <c r="C9714" s="1"/>
      <c r="D9714" s="1"/>
    </row>
    <row r="9715" spans="3:4" x14ac:dyDescent="0.25">
      <c r="C9715" s="1"/>
      <c r="D9715" s="1"/>
    </row>
    <row r="9716" spans="3:4" x14ac:dyDescent="0.25">
      <c r="C9716" s="1"/>
      <c r="D9716" s="1"/>
    </row>
    <row r="9717" spans="3:4" x14ac:dyDescent="0.25">
      <c r="C9717" s="1"/>
      <c r="D9717" s="1"/>
    </row>
    <row r="9718" spans="3:4" x14ac:dyDescent="0.25">
      <c r="C9718" s="1"/>
      <c r="D9718" s="1"/>
    </row>
    <row r="9719" spans="3:4" x14ac:dyDescent="0.25">
      <c r="C9719" s="1"/>
      <c r="D9719" s="1"/>
    </row>
    <row r="9720" spans="3:4" x14ac:dyDescent="0.25">
      <c r="C9720" s="1"/>
      <c r="D9720" s="1"/>
    </row>
    <row r="9721" spans="3:4" x14ac:dyDescent="0.25">
      <c r="C9721" s="1"/>
      <c r="D9721" s="1"/>
    </row>
    <row r="9722" spans="3:4" x14ac:dyDescent="0.25">
      <c r="C9722" s="1"/>
      <c r="D9722" s="1"/>
    </row>
    <row r="9723" spans="3:4" x14ac:dyDescent="0.25">
      <c r="C9723" s="1"/>
      <c r="D9723" s="1"/>
    </row>
    <row r="9724" spans="3:4" x14ac:dyDescent="0.25">
      <c r="C9724" s="1"/>
      <c r="D9724" s="1"/>
    </row>
    <row r="9725" spans="3:4" x14ac:dyDescent="0.25">
      <c r="C9725" s="1"/>
      <c r="D9725" s="1"/>
    </row>
    <row r="9726" spans="3:4" x14ac:dyDescent="0.25">
      <c r="C9726" s="1"/>
      <c r="D9726" s="1"/>
    </row>
    <row r="9727" spans="3:4" x14ac:dyDescent="0.25">
      <c r="C9727" s="1"/>
      <c r="D9727" s="1"/>
    </row>
    <row r="9728" spans="3:4" x14ac:dyDescent="0.25">
      <c r="C9728" s="1"/>
      <c r="D9728" s="1"/>
    </row>
    <row r="9729" spans="3:4" x14ac:dyDescent="0.25">
      <c r="C9729" s="1"/>
      <c r="D9729" s="1"/>
    </row>
    <row r="9730" spans="3:4" x14ac:dyDescent="0.25">
      <c r="C9730" s="1"/>
      <c r="D9730" s="1"/>
    </row>
    <row r="9731" spans="3:4" x14ac:dyDescent="0.25">
      <c r="C9731" s="1"/>
      <c r="D9731" s="1"/>
    </row>
    <row r="9732" spans="3:4" x14ac:dyDescent="0.25">
      <c r="C9732" s="1"/>
      <c r="D9732" s="1"/>
    </row>
    <row r="9733" spans="3:4" x14ac:dyDescent="0.25">
      <c r="C9733" s="1"/>
      <c r="D9733" s="1"/>
    </row>
    <row r="9734" spans="3:4" x14ac:dyDescent="0.25">
      <c r="C9734" s="1"/>
      <c r="D9734" s="1"/>
    </row>
    <row r="9735" spans="3:4" x14ac:dyDescent="0.25">
      <c r="C9735" s="1"/>
      <c r="D9735" s="1"/>
    </row>
    <row r="9736" spans="3:4" x14ac:dyDescent="0.25">
      <c r="C9736" s="1"/>
      <c r="D9736" s="1"/>
    </row>
    <row r="9737" spans="3:4" x14ac:dyDescent="0.25">
      <c r="C9737" s="1"/>
      <c r="D9737" s="1"/>
    </row>
    <row r="9738" spans="3:4" x14ac:dyDescent="0.25">
      <c r="C9738" s="1"/>
      <c r="D9738" s="1"/>
    </row>
    <row r="9739" spans="3:4" x14ac:dyDescent="0.25">
      <c r="C9739" s="1"/>
      <c r="D9739" s="1"/>
    </row>
    <row r="9740" spans="3:4" x14ac:dyDescent="0.25">
      <c r="C9740" s="1"/>
      <c r="D9740" s="1"/>
    </row>
    <row r="9741" spans="3:4" x14ac:dyDescent="0.25">
      <c r="C9741" s="1"/>
      <c r="D9741" s="1"/>
    </row>
    <row r="9742" spans="3:4" x14ac:dyDescent="0.25">
      <c r="C9742" s="1"/>
      <c r="D9742" s="1"/>
    </row>
    <row r="9743" spans="3:4" x14ac:dyDescent="0.25">
      <c r="C9743" s="1"/>
      <c r="D9743" s="1"/>
    </row>
    <row r="9744" spans="3:4" x14ac:dyDescent="0.25">
      <c r="C9744" s="1"/>
      <c r="D9744" s="1"/>
    </row>
    <row r="9745" spans="3:4" x14ac:dyDescent="0.25">
      <c r="C9745" s="1"/>
      <c r="D9745" s="1"/>
    </row>
    <row r="9746" spans="3:4" x14ac:dyDescent="0.25">
      <c r="C9746" s="1"/>
      <c r="D9746" s="1"/>
    </row>
    <row r="9747" spans="3:4" x14ac:dyDescent="0.25">
      <c r="C9747" s="1"/>
      <c r="D9747" s="1"/>
    </row>
    <row r="9748" spans="3:4" x14ac:dyDescent="0.25">
      <c r="C9748" s="1"/>
      <c r="D9748" s="1"/>
    </row>
    <row r="9749" spans="3:4" x14ac:dyDescent="0.25">
      <c r="C9749" s="1"/>
      <c r="D9749" s="1"/>
    </row>
    <row r="9750" spans="3:4" x14ac:dyDescent="0.25">
      <c r="C9750" s="1"/>
      <c r="D9750" s="1"/>
    </row>
    <row r="9751" spans="3:4" x14ac:dyDescent="0.25">
      <c r="C9751" s="1"/>
      <c r="D9751" s="1"/>
    </row>
    <row r="9752" spans="3:4" x14ac:dyDescent="0.25">
      <c r="C9752" s="1"/>
      <c r="D9752" s="1"/>
    </row>
    <row r="9753" spans="3:4" x14ac:dyDescent="0.25">
      <c r="C9753" s="1"/>
      <c r="D9753" s="1"/>
    </row>
    <row r="9754" spans="3:4" x14ac:dyDescent="0.25">
      <c r="C9754" s="1"/>
      <c r="D9754" s="1"/>
    </row>
    <row r="9755" spans="3:4" x14ac:dyDescent="0.25">
      <c r="C9755" s="1"/>
      <c r="D9755" s="1"/>
    </row>
    <row r="9756" spans="3:4" x14ac:dyDescent="0.25">
      <c r="C9756" s="1"/>
      <c r="D9756" s="1"/>
    </row>
    <row r="9757" spans="3:4" x14ac:dyDescent="0.25">
      <c r="C9757" s="1"/>
      <c r="D9757" s="1"/>
    </row>
    <row r="9758" spans="3:4" x14ac:dyDescent="0.25">
      <c r="C9758" s="1"/>
      <c r="D9758" s="1"/>
    </row>
    <row r="9759" spans="3:4" x14ac:dyDescent="0.25">
      <c r="C9759" s="1"/>
      <c r="D9759" s="1"/>
    </row>
    <row r="9760" spans="3:4" x14ac:dyDescent="0.25">
      <c r="C9760" s="1"/>
      <c r="D9760" s="1"/>
    </row>
    <row r="9761" spans="3:4" x14ac:dyDescent="0.25">
      <c r="C9761" s="1"/>
      <c r="D9761" s="1"/>
    </row>
    <row r="9762" spans="3:4" x14ac:dyDescent="0.25">
      <c r="C9762" s="1"/>
      <c r="D9762" s="1"/>
    </row>
    <row r="9763" spans="3:4" x14ac:dyDescent="0.25">
      <c r="C9763" s="1"/>
      <c r="D9763" s="1"/>
    </row>
    <row r="9764" spans="3:4" x14ac:dyDescent="0.25">
      <c r="C9764" s="1"/>
      <c r="D9764" s="1"/>
    </row>
    <row r="9765" spans="3:4" x14ac:dyDescent="0.25">
      <c r="C9765" s="1"/>
      <c r="D9765" s="1"/>
    </row>
    <row r="9766" spans="3:4" x14ac:dyDescent="0.25">
      <c r="C9766" s="1"/>
      <c r="D9766" s="1"/>
    </row>
    <row r="9767" spans="3:4" x14ac:dyDescent="0.25">
      <c r="C9767" s="1"/>
      <c r="D9767" s="1"/>
    </row>
    <row r="9768" spans="3:4" x14ac:dyDescent="0.25">
      <c r="C9768" s="1"/>
      <c r="D9768" s="1"/>
    </row>
    <row r="9769" spans="3:4" x14ac:dyDescent="0.25">
      <c r="C9769" s="1"/>
      <c r="D9769" s="1"/>
    </row>
    <row r="9770" spans="3:4" x14ac:dyDescent="0.25">
      <c r="C9770" s="1"/>
      <c r="D9770" s="1"/>
    </row>
    <row r="9771" spans="3:4" x14ac:dyDescent="0.25">
      <c r="C9771" s="1"/>
      <c r="D9771" s="1"/>
    </row>
    <row r="9772" spans="3:4" x14ac:dyDescent="0.25">
      <c r="C9772" s="1"/>
      <c r="D9772" s="1"/>
    </row>
    <row r="9773" spans="3:4" x14ac:dyDescent="0.25">
      <c r="C9773" s="1"/>
      <c r="D9773" s="1"/>
    </row>
    <row r="9774" spans="3:4" x14ac:dyDescent="0.25">
      <c r="C9774" s="1"/>
      <c r="D9774" s="1"/>
    </row>
    <row r="9775" spans="3:4" x14ac:dyDescent="0.25">
      <c r="C9775" s="1"/>
      <c r="D9775" s="1"/>
    </row>
    <row r="9776" spans="3:4" x14ac:dyDescent="0.25">
      <c r="C9776" s="1"/>
      <c r="D9776" s="1"/>
    </row>
    <row r="9777" spans="3:4" x14ac:dyDescent="0.25">
      <c r="C9777" s="1"/>
      <c r="D9777" s="1"/>
    </row>
    <row r="9778" spans="3:4" x14ac:dyDescent="0.25">
      <c r="C9778" s="1"/>
      <c r="D9778" s="1"/>
    </row>
    <row r="9779" spans="3:4" x14ac:dyDescent="0.25">
      <c r="C9779" s="1"/>
      <c r="D9779" s="1"/>
    </row>
    <row r="9780" spans="3:4" x14ac:dyDescent="0.25">
      <c r="C9780" s="1"/>
      <c r="D9780" s="1"/>
    </row>
    <row r="9781" spans="3:4" x14ac:dyDescent="0.25">
      <c r="C9781" s="1"/>
      <c r="D9781" s="1"/>
    </row>
    <row r="9782" spans="3:4" x14ac:dyDescent="0.25">
      <c r="C9782" s="1"/>
      <c r="D9782" s="1"/>
    </row>
    <row r="9783" spans="3:4" x14ac:dyDescent="0.25">
      <c r="C9783" s="1"/>
      <c r="D9783" s="1"/>
    </row>
    <row r="9784" spans="3:4" x14ac:dyDescent="0.25">
      <c r="C9784" s="1"/>
      <c r="D9784" s="1"/>
    </row>
    <row r="9785" spans="3:4" x14ac:dyDescent="0.25">
      <c r="C9785" s="1"/>
      <c r="D9785" s="1"/>
    </row>
    <row r="9786" spans="3:4" x14ac:dyDescent="0.25">
      <c r="C9786" s="1"/>
      <c r="D9786" s="1"/>
    </row>
    <row r="9787" spans="3:4" x14ac:dyDescent="0.25">
      <c r="C9787" s="1"/>
      <c r="D9787" s="1"/>
    </row>
    <row r="9788" spans="3:4" x14ac:dyDescent="0.25">
      <c r="C9788" s="1"/>
      <c r="D9788" s="1"/>
    </row>
    <row r="9789" spans="3:4" x14ac:dyDescent="0.25">
      <c r="C9789" s="1"/>
      <c r="D9789" s="1"/>
    </row>
    <row r="9790" spans="3:4" x14ac:dyDescent="0.25">
      <c r="C9790" s="1"/>
      <c r="D9790" s="1"/>
    </row>
    <row r="9791" spans="3:4" x14ac:dyDescent="0.25">
      <c r="C9791" s="1"/>
      <c r="D9791" s="1"/>
    </row>
    <row r="9792" spans="3:4" x14ac:dyDescent="0.25">
      <c r="C9792" s="1"/>
      <c r="D9792" s="1"/>
    </row>
    <row r="9793" spans="3:4" x14ac:dyDescent="0.25">
      <c r="C9793" s="1"/>
      <c r="D9793" s="1"/>
    </row>
    <row r="9794" spans="3:4" x14ac:dyDescent="0.25">
      <c r="C9794" s="1"/>
      <c r="D9794" s="1"/>
    </row>
    <row r="9795" spans="3:4" x14ac:dyDescent="0.25">
      <c r="C9795" s="1"/>
      <c r="D9795" s="1"/>
    </row>
    <row r="9796" spans="3:4" x14ac:dyDescent="0.25">
      <c r="C9796" s="1"/>
      <c r="D9796" s="1"/>
    </row>
    <row r="9797" spans="3:4" x14ac:dyDescent="0.25">
      <c r="C9797" s="1"/>
      <c r="D9797" s="1"/>
    </row>
    <row r="9798" spans="3:4" x14ac:dyDescent="0.25">
      <c r="C9798" s="1"/>
      <c r="D9798" s="1"/>
    </row>
    <row r="9799" spans="3:4" x14ac:dyDescent="0.25">
      <c r="C9799" s="1"/>
      <c r="D9799" s="1"/>
    </row>
    <row r="9800" spans="3:4" x14ac:dyDescent="0.25">
      <c r="C9800" s="1"/>
      <c r="D9800" s="1"/>
    </row>
    <row r="9801" spans="3:4" x14ac:dyDescent="0.25">
      <c r="C9801" s="1"/>
      <c r="D9801" s="1"/>
    </row>
    <row r="9802" spans="3:4" x14ac:dyDescent="0.25">
      <c r="C9802" s="1"/>
      <c r="D9802" s="1"/>
    </row>
    <row r="9803" spans="3:4" x14ac:dyDescent="0.25">
      <c r="C9803" s="1"/>
      <c r="D9803" s="1"/>
    </row>
    <row r="9804" spans="3:4" x14ac:dyDescent="0.25">
      <c r="C9804" s="1"/>
      <c r="D9804" s="1"/>
    </row>
    <row r="9805" spans="3:4" x14ac:dyDescent="0.25">
      <c r="C9805" s="1"/>
      <c r="D9805" s="1"/>
    </row>
    <row r="9806" spans="3:4" x14ac:dyDescent="0.25">
      <c r="C9806" s="1"/>
      <c r="D9806" s="1"/>
    </row>
    <row r="9807" spans="3:4" x14ac:dyDescent="0.25">
      <c r="C9807" s="1"/>
      <c r="D9807" s="1"/>
    </row>
    <row r="9808" spans="3:4" x14ac:dyDescent="0.25">
      <c r="C9808" s="1"/>
      <c r="D9808" s="1"/>
    </row>
    <row r="9809" spans="3:4" x14ac:dyDescent="0.25">
      <c r="C9809" s="1"/>
      <c r="D9809" s="1"/>
    </row>
    <row r="9810" spans="3:4" x14ac:dyDescent="0.25">
      <c r="C9810" s="1"/>
      <c r="D9810" s="1"/>
    </row>
    <row r="9811" spans="3:4" x14ac:dyDescent="0.25">
      <c r="C9811" s="1"/>
      <c r="D9811" s="1"/>
    </row>
    <row r="9812" spans="3:4" x14ac:dyDescent="0.25">
      <c r="C9812" s="1"/>
      <c r="D9812" s="1"/>
    </row>
    <row r="9813" spans="3:4" x14ac:dyDescent="0.25">
      <c r="C9813" s="1"/>
      <c r="D9813" s="1"/>
    </row>
    <row r="9814" spans="3:4" x14ac:dyDescent="0.25">
      <c r="C9814" s="1"/>
      <c r="D9814" s="1"/>
    </row>
    <row r="9815" spans="3:4" x14ac:dyDescent="0.25">
      <c r="C9815" s="1"/>
      <c r="D9815" s="1"/>
    </row>
    <row r="9816" spans="3:4" x14ac:dyDescent="0.25">
      <c r="C9816" s="1"/>
      <c r="D9816" s="1"/>
    </row>
    <row r="9817" spans="3:4" x14ac:dyDescent="0.25">
      <c r="C9817" s="1"/>
      <c r="D9817" s="1"/>
    </row>
    <row r="9818" spans="3:4" x14ac:dyDescent="0.25">
      <c r="C9818" s="1"/>
      <c r="D9818" s="1"/>
    </row>
    <row r="9819" spans="3:4" x14ac:dyDescent="0.25">
      <c r="C9819" s="1"/>
      <c r="D9819" s="1"/>
    </row>
    <row r="9820" spans="3:4" x14ac:dyDescent="0.25">
      <c r="C9820" s="1"/>
      <c r="D9820" s="1"/>
    </row>
    <row r="9821" spans="3:4" x14ac:dyDescent="0.25">
      <c r="C9821" s="1"/>
      <c r="D9821" s="1"/>
    </row>
    <row r="9822" spans="3:4" x14ac:dyDescent="0.25">
      <c r="C9822" s="1"/>
      <c r="D9822" s="1"/>
    </row>
    <row r="9823" spans="3:4" x14ac:dyDescent="0.25">
      <c r="C9823" s="1"/>
      <c r="D9823" s="1"/>
    </row>
    <row r="9824" spans="3:4" x14ac:dyDescent="0.25">
      <c r="C9824" s="1"/>
      <c r="D9824" s="1"/>
    </row>
    <row r="9825" spans="3:4" x14ac:dyDescent="0.25">
      <c r="C9825" s="1"/>
      <c r="D9825" s="1"/>
    </row>
    <row r="9826" spans="3:4" x14ac:dyDescent="0.25">
      <c r="C9826" s="1"/>
      <c r="D9826" s="1"/>
    </row>
    <row r="9827" spans="3:4" x14ac:dyDescent="0.25">
      <c r="C9827" s="1"/>
      <c r="D9827" s="1"/>
    </row>
    <row r="9828" spans="3:4" x14ac:dyDescent="0.25">
      <c r="C9828" s="1"/>
      <c r="D9828" s="1"/>
    </row>
    <row r="9829" spans="3:4" x14ac:dyDescent="0.25">
      <c r="C9829" s="1"/>
      <c r="D9829" s="1"/>
    </row>
    <row r="9830" spans="3:4" x14ac:dyDescent="0.25">
      <c r="C9830" s="1"/>
      <c r="D9830" s="1"/>
    </row>
    <row r="9831" spans="3:4" x14ac:dyDescent="0.25">
      <c r="C9831" s="1"/>
      <c r="D9831" s="1"/>
    </row>
    <row r="9832" spans="3:4" x14ac:dyDescent="0.25">
      <c r="C9832" s="1"/>
      <c r="D9832" s="1"/>
    </row>
    <row r="9833" spans="3:4" x14ac:dyDescent="0.25">
      <c r="C9833" s="1"/>
      <c r="D9833" s="1"/>
    </row>
    <row r="9834" spans="3:4" x14ac:dyDescent="0.25">
      <c r="C9834" s="1"/>
      <c r="D9834" s="1"/>
    </row>
    <row r="9835" spans="3:4" x14ac:dyDescent="0.25">
      <c r="C9835" s="1"/>
      <c r="D9835" s="1"/>
    </row>
    <row r="9836" spans="3:4" x14ac:dyDescent="0.25">
      <c r="C9836" s="1"/>
      <c r="D9836" s="1"/>
    </row>
    <row r="9837" spans="3:4" x14ac:dyDescent="0.25">
      <c r="C9837" s="1"/>
      <c r="D9837" s="1"/>
    </row>
    <row r="9838" spans="3:4" x14ac:dyDescent="0.25">
      <c r="C9838" s="1"/>
      <c r="D9838" s="1"/>
    </row>
    <row r="9839" spans="3:4" x14ac:dyDescent="0.25">
      <c r="C9839" s="1"/>
      <c r="D9839" s="1"/>
    </row>
    <row r="9840" spans="3:4" x14ac:dyDescent="0.25">
      <c r="C9840" s="1"/>
      <c r="D9840" s="1"/>
    </row>
    <row r="9841" spans="3:4" x14ac:dyDescent="0.25">
      <c r="C9841" s="1"/>
      <c r="D9841" s="1"/>
    </row>
    <row r="9842" spans="3:4" x14ac:dyDescent="0.25">
      <c r="C9842" s="1"/>
      <c r="D9842" s="1"/>
    </row>
    <row r="9843" spans="3:4" x14ac:dyDescent="0.25">
      <c r="C9843" s="1"/>
      <c r="D9843" s="1"/>
    </row>
    <row r="9844" spans="3:4" x14ac:dyDescent="0.25">
      <c r="C9844" s="1"/>
      <c r="D9844" s="1"/>
    </row>
    <row r="9845" spans="3:4" x14ac:dyDescent="0.25">
      <c r="C9845" s="1"/>
      <c r="D9845" s="1"/>
    </row>
    <row r="9846" spans="3:4" x14ac:dyDescent="0.25">
      <c r="C9846" s="1"/>
      <c r="D9846" s="1"/>
    </row>
    <row r="9847" spans="3:4" x14ac:dyDescent="0.25">
      <c r="C9847" s="1"/>
      <c r="D9847" s="1"/>
    </row>
    <row r="9848" spans="3:4" x14ac:dyDescent="0.25">
      <c r="C9848" s="1"/>
      <c r="D9848" s="1"/>
    </row>
    <row r="9849" spans="3:4" x14ac:dyDescent="0.25">
      <c r="C9849" s="1"/>
      <c r="D9849" s="1"/>
    </row>
    <row r="9850" spans="3:4" x14ac:dyDescent="0.25">
      <c r="C9850" s="1"/>
      <c r="D9850" s="1"/>
    </row>
    <row r="9851" spans="3:4" x14ac:dyDescent="0.25">
      <c r="C9851" s="1"/>
      <c r="D9851" s="1"/>
    </row>
    <row r="9852" spans="3:4" x14ac:dyDescent="0.25">
      <c r="C9852" s="1"/>
      <c r="D9852" s="1"/>
    </row>
    <row r="9853" spans="3:4" x14ac:dyDescent="0.25">
      <c r="C9853" s="1"/>
      <c r="D9853" s="1"/>
    </row>
    <row r="9854" spans="3:4" x14ac:dyDescent="0.25">
      <c r="C9854" s="1"/>
      <c r="D9854" s="1"/>
    </row>
    <row r="9855" spans="3:4" x14ac:dyDescent="0.25">
      <c r="C9855" s="1"/>
      <c r="D9855" s="1"/>
    </row>
    <row r="9856" spans="3:4" x14ac:dyDescent="0.25">
      <c r="C9856" s="1"/>
      <c r="D9856" s="1"/>
    </row>
    <row r="9857" spans="3:4" x14ac:dyDescent="0.25">
      <c r="C9857" s="1"/>
      <c r="D9857" s="1"/>
    </row>
    <row r="9858" spans="3:4" x14ac:dyDescent="0.25">
      <c r="C9858" s="1"/>
      <c r="D9858" s="1"/>
    </row>
    <row r="9859" spans="3:4" x14ac:dyDescent="0.25">
      <c r="C9859" s="1"/>
      <c r="D9859" s="1"/>
    </row>
    <row r="9860" spans="3:4" x14ac:dyDescent="0.25">
      <c r="C9860" s="1"/>
      <c r="D9860" s="1"/>
    </row>
    <row r="9861" spans="3:4" x14ac:dyDescent="0.25">
      <c r="C9861" s="1"/>
      <c r="D9861" s="1"/>
    </row>
    <row r="9862" spans="3:4" x14ac:dyDescent="0.25">
      <c r="C9862" s="1"/>
      <c r="D9862" s="1"/>
    </row>
    <row r="9863" spans="3:4" x14ac:dyDescent="0.25">
      <c r="C9863" s="1"/>
      <c r="D9863" s="1"/>
    </row>
    <row r="9864" spans="3:4" x14ac:dyDescent="0.25">
      <c r="C9864" s="1"/>
      <c r="D9864" s="1"/>
    </row>
    <row r="9865" spans="3:4" x14ac:dyDescent="0.25">
      <c r="C9865" s="1"/>
      <c r="D9865" s="1"/>
    </row>
    <row r="9866" spans="3:4" x14ac:dyDescent="0.25">
      <c r="C9866" s="1"/>
      <c r="D9866" s="1"/>
    </row>
    <row r="9867" spans="3:4" x14ac:dyDescent="0.25">
      <c r="C9867" s="1"/>
      <c r="D9867" s="1"/>
    </row>
    <row r="9868" spans="3:4" x14ac:dyDescent="0.25">
      <c r="C9868" s="1"/>
      <c r="D9868" s="1"/>
    </row>
    <row r="9869" spans="3:4" x14ac:dyDescent="0.25">
      <c r="C9869" s="1"/>
      <c r="D9869" s="1"/>
    </row>
    <row r="9870" spans="3:4" x14ac:dyDescent="0.25">
      <c r="C9870" s="1"/>
      <c r="D9870" s="1"/>
    </row>
    <row r="9871" spans="3:4" x14ac:dyDescent="0.25">
      <c r="C9871" s="1"/>
      <c r="D9871" s="1"/>
    </row>
    <row r="9872" spans="3:4" x14ac:dyDescent="0.25">
      <c r="C9872" s="1"/>
      <c r="D9872" s="1"/>
    </row>
    <row r="9873" spans="3:4" x14ac:dyDescent="0.25">
      <c r="C9873" s="1"/>
      <c r="D9873" s="1"/>
    </row>
    <row r="9874" spans="3:4" x14ac:dyDescent="0.25">
      <c r="C9874" s="1"/>
      <c r="D9874" s="1"/>
    </row>
    <row r="9875" spans="3:4" x14ac:dyDescent="0.25">
      <c r="C9875" s="1"/>
      <c r="D9875" s="1"/>
    </row>
    <row r="9876" spans="3:4" x14ac:dyDescent="0.25">
      <c r="C9876" s="1"/>
      <c r="D9876" s="1"/>
    </row>
    <row r="9877" spans="3:4" x14ac:dyDescent="0.25">
      <c r="C9877" s="1"/>
      <c r="D9877" s="1"/>
    </row>
    <row r="9878" spans="3:4" x14ac:dyDescent="0.25">
      <c r="C9878" s="1"/>
      <c r="D9878" s="1"/>
    </row>
    <row r="9879" spans="3:4" x14ac:dyDescent="0.25">
      <c r="C9879" s="1"/>
      <c r="D9879" s="1"/>
    </row>
    <row r="9880" spans="3:4" x14ac:dyDescent="0.25">
      <c r="C9880" s="1"/>
      <c r="D9880" s="1"/>
    </row>
    <row r="9881" spans="3:4" x14ac:dyDescent="0.25">
      <c r="C9881" s="1"/>
      <c r="D9881" s="1"/>
    </row>
    <row r="9882" spans="3:4" x14ac:dyDescent="0.25">
      <c r="C9882" s="1"/>
      <c r="D9882" s="1"/>
    </row>
    <row r="9883" spans="3:4" x14ac:dyDescent="0.25">
      <c r="C9883" s="1"/>
      <c r="D9883" s="1"/>
    </row>
    <row r="9884" spans="3:4" x14ac:dyDescent="0.25">
      <c r="C9884" s="1"/>
      <c r="D9884" s="1"/>
    </row>
    <row r="9885" spans="3:4" x14ac:dyDescent="0.25">
      <c r="C9885" s="1"/>
      <c r="D9885" s="1"/>
    </row>
    <row r="9886" spans="3:4" x14ac:dyDescent="0.25">
      <c r="C9886" s="1"/>
      <c r="D9886" s="1"/>
    </row>
    <row r="9887" spans="3:4" x14ac:dyDescent="0.25">
      <c r="C9887" s="1"/>
      <c r="D9887" s="1"/>
    </row>
    <row r="9888" spans="3:4" x14ac:dyDescent="0.25">
      <c r="C9888" s="1"/>
      <c r="D9888" s="1"/>
    </row>
    <row r="9889" spans="3:4" x14ac:dyDescent="0.25">
      <c r="C9889" s="1"/>
      <c r="D9889" s="1"/>
    </row>
    <row r="9890" spans="3:4" x14ac:dyDescent="0.25">
      <c r="C9890" s="1"/>
      <c r="D9890" s="1"/>
    </row>
    <row r="9891" spans="3:4" x14ac:dyDescent="0.25">
      <c r="C9891" s="1"/>
      <c r="D9891" s="1"/>
    </row>
    <row r="9892" spans="3:4" x14ac:dyDescent="0.25">
      <c r="C9892" s="1"/>
      <c r="D9892" s="1"/>
    </row>
    <row r="9893" spans="3:4" x14ac:dyDescent="0.25">
      <c r="C9893" s="1"/>
      <c r="D9893" s="1"/>
    </row>
    <row r="9894" spans="3:4" x14ac:dyDescent="0.25">
      <c r="C9894" s="1"/>
      <c r="D9894" s="1"/>
    </row>
    <row r="9895" spans="3:4" x14ac:dyDescent="0.25">
      <c r="C9895" s="1"/>
      <c r="D9895" s="1"/>
    </row>
    <row r="9896" spans="3:4" x14ac:dyDescent="0.25">
      <c r="C9896" s="1"/>
      <c r="D9896" s="1"/>
    </row>
    <row r="9897" spans="3:4" x14ac:dyDescent="0.25">
      <c r="C9897" s="1"/>
      <c r="D9897" s="1"/>
    </row>
    <row r="9898" spans="3:4" x14ac:dyDescent="0.25">
      <c r="C9898" s="1"/>
      <c r="D9898" s="1"/>
    </row>
    <row r="9899" spans="3:4" x14ac:dyDescent="0.25">
      <c r="C9899" s="1"/>
      <c r="D9899" s="1"/>
    </row>
    <row r="9900" spans="3:4" x14ac:dyDescent="0.25">
      <c r="C9900" s="1"/>
      <c r="D9900" s="1"/>
    </row>
    <row r="9901" spans="3:4" x14ac:dyDescent="0.25">
      <c r="C9901" s="1"/>
      <c r="D9901" s="1"/>
    </row>
    <row r="9902" spans="3:4" x14ac:dyDescent="0.25">
      <c r="C9902" s="1"/>
      <c r="D9902" s="1"/>
    </row>
    <row r="9903" spans="3:4" x14ac:dyDescent="0.25">
      <c r="C9903" s="1"/>
      <c r="D9903" s="1"/>
    </row>
    <row r="9904" spans="3:4" x14ac:dyDescent="0.25">
      <c r="C9904" s="1"/>
      <c r="D9904" s="1"/>
    </row>
    <row r="9905" spans="3:4" x14ac:dyDescent="0.25">
      <c r="C9905" s="1"/>
      <c r="D9905" s="1"/>
    </row>
    <row r="9906" spans="3:4" x14ac:dyDescent="0.25">
      <c r="C9906" s="1"/>
      <c r="D9906" s="1"/>
    </row>
    <row r="9907" spans="3:4" x14ac:dyDescent="0.25">
      <c r="C9907" s="1"/>
      <c r="D9907" s="1"/>
    </row>
    <row r="9908" spans="3:4" x14ac:dyDescent="0.25">
      <c r="C9908" s="1"/>
      <c r="D9908" s="1"/>
    </row>
    <row r="9909" spans="3:4" x14ac:dyDescent="0.25">
      <c r="C9909" s="1"/>
      <c r="D9909" s="1"/>
    </row>
    <row r="9910" spans="3:4" x14ac:dyDescent="0.25">
      <c r="C9910" s="1"/>
      <c r="D9910" s="1"/>
    </row>
    <row r="9911" spans="3:4" x14ac:dyDescent="0.25">
      <c r="C9911" s="1"/>
      <c r="D9911" s="1"/>
    </row>
    <row r="9912" spans="3:4" x14ac:dyDescent="0.25">
      <c r="C9912" s="1"/>
      <c r="D9912" s="1"/>
    </row>
    <row r="9913" spans="3:4" x14ac:dyDescent="0.25">
      <c r="C9913" s="1"/>
      <c r="D9913" s="1"/>
    </row>
    <row r="9914" spans="3:4" x14ac:dyDescent="0.25">
      <c r="C9914" s="1"/>
      <c r="D9914" s="1"/>
    </row>
    <row r="9915" spans="3:4" x14ac:dyDescent="0.25">
      <c r="C9915" s="1"/>
      <c r="D9915" s="1"/>
    </row>
    <row r="9916" spans="3:4" x14ac:dyDescent="0.25">
      <c r="C9916" s="1"/>
      <c r="D9916" s="1"/>
    </row>
    <row r="9917" spans="3:4" x14ac:dyDescent="0.25">
      <c r="C9917" s="1"/>
      <c r="D9917" s="1"/>
    </row>
    <row r="9918" spans="3:4" x14ac:dyDescent="0.25">
      <c r="C9918" s="1"/>
      <c r="D9918" s="1"/>
    </row>
    <row r="9919" spans="3:4" x14ac:dyDescent="0.25">
      <c r="C9919" s="1"/>
      <c r="D9919" s="1"/>
    </row>
    <row r="9920" spans="3:4" x14ac:dyDescent="0.25">
      <c r="C9920" s="1"/>
      <c r="D9920" s="1"/>
    </row>
    <row r="9921" spans="3:4" x14ac:dyDescent="0.25">
      <c r="C9921" s="1"/>
      <c r="D9921" s="1"/>
    </row>
    <row r="9922" spans="3:4" x14ac:dyDescent="0.25">
      <c r="C9922" s="1"/>
      <c r="D9922" s="1"/>
    </row>
    <row r="9923" spans="3:4" x14ac:dyDescent="0.25">
      <c r="C9923" s="1"/>
      <c r="D9923" s="1"/>
    </row>
    <row r="9924" spans="3:4" x14ac:dyDescent="0.25">
      <c r="C9924" s="1"/>
      <c r="D9924" s="1"/>
    </row>
    <row r="9925" spans="3:4" x14ac:dyDescent="0.25">
      <c r="C9925" s="1"/>
      <c r="D9925" s="1"/>
    </row>
    <row r="9926" spans="3:4" x14ac:dyDescent="0.25">
      <c r="C9926" s="1"/>
      <c r="D9926" s="1"/>
    </row>
    <row r="9927" spans="3:4" x14ac:dyDescent="0.25">
      <c r="C9927" s="1"/>
      <c r="D9927" s="1"/>
    </row>
    <row r="9928" spans="3:4" x14ac:dyDescent="0.25">
      <c r="C9928" s="1"/>
      <c r="D9928" s="1"/>
    </row>
    <row r="9929" spans="3:4" x14ac:dyDescent="0.25">
      <c r="C9929" s="1"/>
      <c r="D9929" s="1"/>
    </row>
    <row r="9930" spans="3:4" x14ac:dyDescent="0.25">
      <c r="C9930" s="1"/>
      <c r="D9930" s="1"/>
    </row>
    <row r="9931" spans="3:4" x14ac:dyDescent="0.25">
      <c r="C9931" s="1"/>
      <c r="D9931" s="1"/>
    </row>
    <row r="9932" spans="3:4" x14ac:dyDescent="0.25">
      <c r="C9932" s="1"/>
      <c r="D9932" s="1"/>
    </row>
    <row r="9933" spans="3:4" x14ac:dyDescent="0.25">
      <c r="C9933" s="1"/>
      <c r="D9933" s="1"/>
    </row>
    <row r="9934" spans="3:4" x14ac:dyDescent="0.25">
      <c r="C9934" s="1"/>
      <c r="D9934" s="1"/>
    </row>
    <row r="9935" spans="3:4" x14ac:dyDescent="0.25">
      <c r="C9935" s="1"/>
      <c r="D9935" s="1"/>
    </row>
    <row r="9936" spans="3:4" x14ac:dyDescent="0.25">
      <c r="C9936" s="1"/>
      <c r="D9936" s="1"/>
    </row>
    <row r="9937" spans="3:4" x14ac:dyDescent="0.25">
      <c r="C9937" s="1"/>
      <c r="D9937" s="1"/>
    </row>
    <row r="9938" spans="3:4" x14ac:dyDescent="0.25">
      <c r="C9938" s="1"/>
      <c r="D9938" s="1"/>
    </row>
    <row r="9939" spans="3:4" x14ac:dyDescent="0.25">
      <c r="C9939" s="1"/>
      <c r="D9939" s="1"/>
    </row>
    <row r="9940" spans="3:4" x14ac:dyDescent="0.25">
      <c r="C9940" s="1"/>
      <c r="D9940" s="1"/>
    </row>
    <row r="9941" spans="3:4" x14ac:dyDescent="0.25">
      <c r="C9941" s="1"/>
      <c r="D9941" s="1"/>
    </row>
    <row r="9942" spans="3:4" x14ac:dyDescent="0.25">
      <c r="C9942" s="1"/>
      <c r="D9942" s="1"/>
    </row>
    <row r="9943" spans="3:4" x14ac:dyDescent="0.25">
      <c r="C9943" s="1"/>
      <c r="D9943" s="1"/>
    </row>
    <row r="9944" spans="3:4" x14ac:dyDescent="0.25">
      <c r="C9944" s="1"/>
      <c r="D9944" s="1"/>
    </row>
    <row r="9945" spans="3:4" x14ac:dyDescent="0.25">
      <c r="C9945" s="1"/>
      <c r="D9945" s="1"/>
    </row>
    <row r="9946" spans="3:4" x14ac:dyDescent="0.25">
      <c r="C9946" s="1"/>
      <c r="D9946" s="1"/>
    </row>
    <row r="9947" spans="3:4" x14ac:dyDescent="0.25">
      <c r="C9947" s="1"/>
      <c r="D9947" s="1"/>
    </row>
    <row r="9948" spans="3:4" x14ac:dyDescent="0.25">
      <c r="C9948" s="1"/>
      <c r="D9948" s="1"/>
    </row>
    <row r="9949" spans="3:4" x14ac:dyDescent="0.25">
      <c r="C9949" s="1"/>
      <c r="D9949" s="1"/>
    </row>
    <row r="9950" spans="3:4" x14ac:dyDescent="0.25">
      <c r="C9950" s="1"/>
      <c r="D9950" s="1"/>
    </row>
    <row r="9951" spans="3:4" x14ac:dyDescent="0.25">
      <c r="C9951" s="1"/>
      <c r="D9951" s="1"/>
    </row>
    <row r="9952" spans="3:4" x14ac:dyDescent="0.25">
      <c r="C9952" s="1"/>
      <c r="D9952" s="1"/>
    </row>
    <row r="9953" spans="3:4" x14ac:dyDescent="0.25">
      <c r="C9953" s="1"/>
      <c r="D9953" s="1"/>
    </row>
    <row r="9954" spans="3:4" x14ac:dyDescent="0.25">
      <c r="C9954" s="1"/>
      <c r="D9954" s="1"/>
    </row>
    <row r="9955" spans="3:4" x14ac:dyDescent="0.25">
      <c r="C9955" s="1"/>
      <c r="D9955" s="1"/>
    </row>
    <row r="9956" spans="3:4" x14ac:dyDescent="0.25">
      <c r="C9956" s="1"/>
      <c r="D9956" s="1"/>
    </row>
    <row r="9957" spans="3:4" x14ac:dyDescent="0.25">
      <c r="C9957" s="1"/>
      <c r="D9957" s="1"/>
    </row>
    <row r="9958" spans="3:4" x14ac:dyDescent="0.25">
      <c r="C9958" s="1"/>
      <c r="D9958" s="1"/>
    </row>
    <row r="9959" spans="3:4" x14ac:dyDescent="0.25">
      <c r="C9959" s="1"/>
      <c r="D9959" s="1"/>
    </row>
    <row r="9960" spans="3:4" x14ac:dyDescent="0.25">
      <c r="C9960" s="1"/>
      <c r="D9960" s="1"/>
    </row>
    <row r="9961" spans="3:4" x14ac:dyDescent="0.25">
      <c r="C9961" s="1"/>
      <c r="D9961" s="1"/>
    </row>
    <row r="9962" spans="3:4" x14ac:dyDescent="0.25">
      <c r="C9962" s="1"/>
      <c r="D9962" s="1"/>
    </row>
    <row r="9963" spans="3:4" x14ac:dyDescent="0.25">
      <c r="C9963" s="1"/>
      <c r="D9963" s="1"/>
    </row>
    <row r="9964" spans="3:4" x14ac:dyDescent="0.25">
      <c r="C9964" s="1"/>
      <c r="D9964" s="1"/>
    </row>
    <row r="9965" spans="3:4" x14ac:dyDescent="0.25">
      <c r="C9965" s="1"/>
      <c r="D9965" s="1"/>
    </row>
    <row r="9966" spans="3:4" x14ac:dyDescent="0.25">
      <c r="C9966" s="1"/>
      <c r="D9966" s="1"/>
    </row>
    <row r="9967" spans="3:4" x14ac:dyDescent="0.25">
      <c r="C9967" s="1"/>
      <c r="D9967" s="1"/>
    </row>
    <row r="9968" spans="3:4" x14ac:dyDescent="0.25">
      <c r="C9968" s="1"/>
      <c r="D9968" s="1"/>
    </row>
    <row r="9969" spans="3:4" x14ac:dyDescent="0.25">
      <c r="C9969" s="1"/>
      <c r="D9969" s="1"/>
    </row>
    <row r="9970" spans="3:4" x14ac:dyDescent="0.25">
      <c r="C9970" s="1"/>
      <c r="D9970" s="1"/>
    </row>
    <row r="9971" spans="3:4" x14ac:dyDescent="0.25">
      <c r="C9971" s="1"/>
      <c r="D9971" s="1"/>
    </row>
    <row r="9972" spans="3:4" x14ac:dyDescent="0.25">
      <c r="C9972" s="1"/>
      <c r="D9972" s="1"/>
    </row>
    <row r="9973" spans="3:4" x14ac:dyDescent="0.25">
      <c r="C9973" s="1"/>
      <c r="D9973" s="1"/>
    </row>
    <row r="9974" spans="3:4" x14ac:dyDescent="0.25">
      <c r="C9974" s="1"/>
      <c r="D9974" s="1"/>
    </row>
    <row r="9975" spans="3:4" x14ac:dyDescent="0.25">
      <c r="C9975" s="1"/>
      <c r="D9975" s="1"/>
    </row>
    <row r="9976" spans="3:4" x14ac:dyDescent="0.25">
      <c r="C9976" s="1"/>
      <c r="D9976" s="1"/>
    </row>
    <row r="9977" spans="3:4" x14ac:dyDescent="0.25">
      <c r="C9977" s="1"/>
      <c r="D9977" s="1"/>
    </row>
    <row r="9978" spans="3:4" x14ac:dyDescent="0.25">
      <c r="C9978" s="1"/>
      <c r="D9978" s="1"/>
    </row>
    <row r="9979" spans="3:4" x14ac:dyDescent="0.25">
      <c r="C9979" s="1"/>
      <c r="D9979" s="1"/>
    </row>
    <row r="9980" spans="3:4" x14ac:dyDescent="0.25">
      <c r="C9980" s="1"/>
      <c r="D9980" s="1"/>
    </row>
    <row r="9981" spans="3:4" x14ac:dyDescent="0.25">
      <c r="C9981" s="1"/>
      <c r="D9981" s="1"/>
    </row>
    <row r="9982" spans="3:4" x14ac:dyDescent="0.25">
      <c r="C9982" s="1"/>
      <c r="D9982" s="1"/>
    </row>
    <row r="9983" spans="3:4" x14ac:dyDescent="0.25">
      <c r="C9983" s="1"/>
      <c r="D9983" s="1"/>
    </row>
    <row r="9984" spans="3:4" x14ac:dyDescent="0.25">
      <c r="C9984" s="1"/>
      <c r="D9984" s="1"/>
    </row>
    <row r="9985" spans="3:4" x14ac:dyDescent="0.25">
      <c r="C9985" s="1"/>
      <c r="D9985" s="1"/>
    </row>
    <row r="9986" spans="3:4" x14ac:dyDescent="0.25">
      <c r="C9986" s="1"/>
      <c r="D9986" s="1"/>
    </row>
    <row r="9987" spans="3:4" x14ac:dyDescent="0.25">
      <c r="C9987" s="1"/>
      <c r="D9987" s="1"/>
    </row>
    <row r="9988" spans="3:4" x14ac:dyDescent="0.25">
      <c r="C9988" s="1"/>
      <c r="D9988" s="1"/>
    </row>
    <row r="9989" spans="3:4" x14ac:dyDescent="0.25">
      <c r="C9989" s="1"/>
      <c r="D9989" s="1"/>
    </row>
    <row r="9990" spans="3:4" x14ac:dyDescent="0.25">
      <c r="C9990" s="1"/>
      <c r="D9990" s="1"/>
    </row>
    <row r="9991" spans="3:4" x14ac:dyDescent="0.25">
      <c r="C9991" s="1"/>
      <c r="D9991" s="1"/>
    </row>
    <row r="9992" spans="3:4" x14ac:dyDescent="0.25">
      <c r="C9992" s="1"/>
      <c r="D9992" s="1"/>
    </row>
    <row r="9993" spans="3:4" x14ac:dyDescent="0.25">
      <c r="C9993" s="1"/>
      <c r="D9993" s="1"/>
    </row>
    <row r="9994" spans="3:4" x14ac:dyDescent="0.25">
      <c r="C9994" s="1"/>
      <c r="D9994" s="1"/>
    </row>
    <row r="9995" spans="3:4" x14ac:dyDescent="0.25">
      <c r="C9995" s="1"/>
      <c r="D9995" s="1"/>
    </row>
    <row r="9996" spans="3:4" x14ac:dyDescent="0.25">
      <c r="C9996" s="1"/>
      <c r="D9996" s="1"/>
    </row>
    <row r="9997" spans="3:4" x14ac:dyDescent="0.25">
      <c r="C9997" s="1"/>
      <c r="D9997" s="1"/>
    </row>
    <row r="9998" spans="3:4" x14ac:dyDescent="0.25">
      <c r="C9998" s="1"/>
      <c r="D9998" s="1"/>
    </row>
    <row r="9999" spans="3:4" x14ac:dyDescent="0.25">
      <c r="C9999" s="1"/>
      <c r="D9999" s="1"/>
    </row>
    <row r="10000" spans="3:4" x14ac:dyDescent="0.25">
      <c r="C10000" s="1"/>
      <c r="D10000" s="1"/>
    </row>
    <row r="10001" spans="3:4" x14ac:dyDescent="0.25">
      <c r="C10001" s="1"/>
      <c r="D10001" s="1"/>
    </row>
    <row r="10002" spans="3:4" x14ac:dyDescent="0.25">
      <c r="C10002" s="1"/>
      <c r="D10002" s="1"/>
    </row>
    <row r="10003" spans="3:4" x14ac:dyDescent="0.25">
      <c r="C10003" s="1"/>
      <c r="D10003" s="1"/>
    </row>
    <row r="10004" spans="3:4" x14ac:dyDescent="0.25">
      <c r="C10004" s="1"/>
      <c r="D10004" s="1"/>
    </row>
    <row r="10005" spans="3:4" x14ac:dyDescent="0.25">
      <c r="C10005" s="1"/>
      <c r="D10005" s="1"/>
    </row>
    <row r="10006" spans="3:4" x14ac:dyDescent="0.25">
      <c r="C10006" s="1"/>
      <c r="D10006" s="1"/>
    </row>
    <row r="10007" spans="3:4" x14ac:dyDescent="0.25">
      <c r="C10007" s="1"/>
      <c r="D10007" s="1"/>
    </row>
    <row r="10008" spans="3:4" x14ac:dyDescent="0.25">
      <c r="C10008" s="1"/>
      <c r="D10008" s="1"/>
    </row>
    <row r="10009" spans="3:4" x14ac:dyDescent="0.25">
      <c r="C10009" s="1"/>
      <c r="D10009" s="1"/>
    </row>
    <row r="10010" spans="3:4" x14ac:dyDescent="0.25">
      <c r="C10010" s="1"/>
      <c r="D10010" s="1"/>
    </row>
    <row r="10011" spans="3:4" x14ac:dyDescent="0.25">
      <c r="C10011" s="1"/>
      <c r="D10011" s="1"/>
    </row>
    <row r="10012" spans="3:4" x14ac:dyDescent="0.25">
      <c r="C10012" s="1"/>
      <c r="D10012" s="1"/>
    </row>
    <row r="10013" spans="3:4" x14ac:dyDescent="0.25">
      <c r="C10013" s="1"/>
      <c r="D10013" s="1"/>
    </row>
    <row r="10014" spans="3:4" x14ac:dyDescent="0.25">
      <c r="C10014" s="1"/>
      <c r="D10014" s="1"/>
    </row>
    <row r="10015" spans="3:4" x14ac:dyDescent="0.25">
      <c r="C10015" s="1"/>
      <c r="D10015" s="1"/>
    </row>
    <row r="10016" spans="3:4" x14ac:dyDescent="0.25">
      <c r="C10016" s="1"/>
      <c r="D10016" s="1"/>
    </row>
    <row r="10017" spans="3:4" x14ac:dyDescent="0.25">
      <c r="C10017" s="1"/>
      <c r="D10017" s="1"/>
    </row>
    <row r="10018" spans="3:4" x14ac:dyDescent="0.25">
      <c r="C10018" s="1"/>
      <c r="D10018" s="1"/>
    </row>
    <row r="10019" spans="3:4" x14ac:dyDescent="0.25">
      <c r="C10019" s="1"/>
      <c r="D10019" s="1"/>
    </row>
    <row r="10020" spans="3:4" x14ac:dyDescent="0.25">
      <c r="C10020" s="1"/>
      <c r="D10020" s="1"/>
    </row>
    <row r="10021" spans="3:4" x14ac:dyDescent="0.25">
      <c r="C10021" s="1"/>
      <c r="D10021" s="1"/>
    </row>
    <row r="10022" spans="3:4" x14ac:dyDescent="0.25">
      <c r="C10022" s="1"/>
      <c r="D10022" s="1"/>
    </row>
    <row r="10023" spans="3:4" x14ac:dyDescent="0.25">
      <c r="C10023" s="1"/>
      <c r="D10023" s="1"/>
    </row>
    <row r="10024" spans="3:4" x14ac:dyDescent="0.25">
      <c r="C10024" s="1"/>
      <c r="D10024" s="1"/>
    </row>
    <row r="10025" spans="3:4" x14ac:dyDescent="0.25">
      <c r="C10025" s="1"/>
      <c r="D10025" s="1"/>
    </row>
    <row r="10026" spans="3:4" x14ac:dyDescent="0.25">
      <c r="C10026" s="1"/>
      <c r="D10026" s="1"/>
    </row>
    <row r="10027" spans="3:4" x14ac:dyDescent="0.25">
      <c r="C10027" s="1"/>
      <c r="D10027" s="1"/>
    </row>
    <row r="10028" spans="3:4" x14ac:dyDescent="0.25">
      <c r="C10028" s="1"/>
      <c r="D10028" s="1"/>
    </row>
    <row r="10029" spans="3:4" x14ac:dyDescent="0.25">
      <c r="C10029" s="1"/>
      <c r="D10029" s="1"/>
    </row>
    <row r="10030" spans="3:4" x14ac:dyDescent="0.25">
      <c r="C10030" s="1"/>
      <c r="D10030" s="1"/>
    </row>
    <row r="10031" spans="3:4" x14ac:dyDescent="0.25">
      <c r="C10031" s="1"/>
      <c r="D10031" s="1"/>
    </row>
    <row r="10032" spans="3:4" x14ac:dyDescent="0.25">
      <c r="C10032" s="1"/>
      <c r="D10032" s="1"/>
    </row>
    <row r="10033" spans="3:4" x14ac:dyDescent="0.25">
      <c r="C10033" s="1"/>
      <c r="D10033" s="1"/>
    </row>
    <row r="10034" spans="3:4" x14ac:dyDescent="0.25">
      <c r="C10034" s="1"/>
      <c r="D10034" s="1"/>
    </row>
    <row r="10035" spans="3:4" x14ac:dyDescent="0.25">
      <c r="C10035" s="1"/>
      <c r="D10035" s="1"/>
    </row>
    <row r="10036" spans="3:4" x14ac:dyDescent="0.25">
      <c r="C10036" s="1"/>
      <c r="D10036" s="1"/>
    </row>
    <row r="10037" spans="3:4" x14ac:dyDescent="0.25">
      <c r="C10037" s="1"/>
      <c r="D10037" s="1"/>
    </row>
    <row r="10038" spans="3:4" x14ac:dyDescent="0.25">
      <c r="C10038" s="1"/>
      <c r="D10038" s="1"/>
    </row>
    <row r="10039" spans="3:4" x14ac:dyDescent="0.25">
      <c r="C10039" s="1"/>
      <c r="D10039" s="1"/>
    </row>
    <row r="10040" spans="3:4" x14ac:dyDescent="0.25">
      <c r="C10040" s="1"/>
      <c r="D10040" s="1"/>
    </row>
    <row r="10041" spans="3:4" x14ac:dyDescent="0.25">
      <c r="C10041" s="1"/>
      <c r="D10041" s="1"/>
    </row>
    <row r="10042" spans="3:4" x14ac:dyDescent="0.25">
      <c r="C10042" s="1"/>
      <c r="D10042" s="1"/>
    </row>
    <row r="10043" spans="3:4" x14ac:dyDescent="0.25">
      <c r="C10043" s="1"/>
      <c r="D10043" s="1"/>
    </row>
    <row r="10044" spans="3:4" x14ac:dyDescent="0.25">
      <c r="C10044" s="1"/>
      <c r="D10044" s="1"/>
    </row>
    <row r="10045" spans="3:4" x14ac:dyDescent="0.25">
      <c r="C10045" s="1"/>
      <c r="D10045" s="1"/>
    </row>
    <row r="10046" spans="3:4" x14ac:dyDescent="0.25">
      <c r="C10046" s="1"/>
      <c r="D10046" s="1"/>
    </row>
    <row r="10047" spans="3:4" x14ac:dyDescent="0.25">
      <c r="C10047" s="1"/>
      <c r="D10047" s="1"/>
    </row>
    <row r="10048" spans="3:4" x14ac:dyDescent="0.25">
      <c r="C10048" s="1"/>
      <c r="D10048" s="1"/>
    </row>
    <row r="10049" spans="3:4" x14ac:dyDescent="0.25">
      <c r="C10049" s="1"/>
      <c r="D10049" s="1"/>
    </row>
    <row r="10050" spans="3:4" x14ac:dyDescent="0.25">
      <c r="C10050" s="1"/>
      <c r="D10050" s="1"/>
    </row>
    <row r="10051" spans="3:4" x14ac:dyDescent="0.25">
      <c r="C10051" s="1"/>
      <c r="D10051" s="1"/>
    </row>
    <row r="10052" spans="3:4" x14ac:dyDescent="0.25">
      <c r="C10052" s="1"/>
      <c r="D10052" s="1"/>
    </row>
    <row r="10053" spans="3:4" x14ac:dyDescent="0.25">
      <c r="C10053" s="1"/>
      <c r="D10053" s="1"/>
    </row>
    <row r="10054" spans="3:4" x14ac:dyDescent="0.25">
      <c r="C10054" s="1"/>
      <c r="D10054" s="1"/>
    </row>
    <row r="10055" spans="3:4" x14ac:dyDescent="0.25">
      <c r="C10055" s="1"/>
      <c r="D10055" s="1"/>
    </row>
    <row r="10056" spans="3:4" x14ac:dyDescent="0.25">
      <c r="C10056" s="1"/>
      <c r="D10056" s="1"/>
    </row>
    <row r="10057" spans="3:4" x14ac:dyDescent="0.25">
      <c r="C10057" s="1"/>
      <c r="D10057" s="1"/>
    </row>
    <row r="10058" spans="3:4" x14ac:dyDescent="0.25">
      <c r="C10058" s="1"/>
      <c r="D10058" s="1"/>
    </row>
    <row r="10059" spans="3:4" x14ac:dyDescent="0.25">
      <c r="C10059" s="1"/>
      <c r="D10059" s="1"/>
    </row>
    <row r="10060" spans="3:4" x14ac:dyDescent="0.25">
      <c r="C10060" s="1"/>
      <c r="D10060" s="1"/>
    </row>
    <row r="10061" spans="3:4" x14ac:dyDescent="0.25">
      <c r="C10061" s="1"/>
      <c r="D10061" s="1"/>
    </row>
    <row r="10062" spans="3:4" x14ac:dyDescent="0.25">
      <c r="C10062" s="1"/>
      <c r="D10062" s="1"/>
    </row>
    <row r="10063" spans="3:4" x14ac:dyDescent="0.25">
      <c r="C10063" s="1"/>
      <c r="D10063" s="1"/>
    </row>
    <row r="10064" spans="3:4" x14ac:dyDescent="0.25">
      <c r="C10064" s="1"/>
      <c r="D10064" s="1"/>
    </row>
    <row r="10065" spans="3:4" x14ac:dyDescent="0.25">
      <c r="C10065" s="1"/>
      <c r="D10065" s="1"/>
    </row>
    <row r="10066" spans="3:4" x14ac:dyDescent="0.25">
      <c r="C10066" s="1"/>
      <c r="D10066" s="1"/>
    </row>
    <row r="10067" spans="3:4" x14ac:dyDescent="0.25">
      <c r="C10067" s="1"/>
      <c r="D10067" s="1"/>
    </row>
    <row r="10068" spans="3:4" x14ac:dyDescent="0.25">
      <c r="C10068" s="1"/>
      <c r="D10068" s="1"/>
    </row>
    <row r="10069" spans="3:4" x14ac:dyDescent="0.25">
      <c r="C10069" s="1"/>
      <c r="D10069" s="1"/>
    </row>
    <row r="10070" spans="3:4" x14ac:dyDescent="0.25">
      <c r="C10070" s="1"/>
      <c r="D10070" s="1"/>
    </row>
    <row r="10071" spans="3:4" x14ac:dyDescent="0.25">
      <c r="C10071" s="1"/>
      <c r="D10071" s="1"/>
    </row>
    <row r="10072" spans="3:4" x14ac:dyDescent="0.25">
      <c r="C10072" s="1"/>
      <c r="D10072" s="1"/>
    </row>
    <row r="10073" spans="3:4" x14ac:dyDescent="0.25">
      <c r="C10073" s="1"/>
      <c r="D10073" s="1"/>
    </row>
    <row r="10074" spans="3:4" x14ac:dyDescent="0.25">
      <c r="C10074" s="1"/>
      <c r="D10074" s="1"/>
    </row>
    <row r="10075" spans="3:4" x14ac:dyDescent="0.25">
      <c r="C10075" s="1"/>
      <c r="D10075" s="1"/>
    </row>
    <row r="10076" spans="3:4" x14ac:dyDescent="0.25">
      <c r="C10076" s="1"/>
      <c r="D10076" s="1"/>
    </row>
    <row r="10077" spans="3:4" x14ac:dyDescent="0.25">
      <c r="C10077" s="1"/>
      <c r="D10077" s="1"/>
    </row>
    <row r="10078" spans="3:4" x14ac:dyDescent="0.25">
      <c r="C10078" s="1"/>
      <c r="D10078" s="1"/>
    </row>
    <row r="10079" spans="3:4" x14ac:dyDescent="0.25">
      <c r="C10079" s="1"/>
      <c r="D10079" s="1"/>
    </row>
    <row r="10080" spans="3:4" x14ac:dyDescent="0.25">
      <c r="C10080" s="1"/>
      <c r="D10080" s="1"/>
    </row>
    <row r="10081" spans="3:4" x14ac:dyDescent="0.25">
      <c r="C10081" s="1"/>
      <c r="D10081" s="1"/>
    </row>
    <row r="10082" spans="3:4" x14ac:dyDescent="0.25">
      <c r="C10082" s="1"/>
      <c r="D10082" s="1"/>
    </row>
    <row r="10083" spans="3:4" x14ac:dyDescent="0.25">
      <c r="C10083" s="1"/>
      <c r="D10083" s="1"/>
    </row>
    <row r="10084" spans="3:4" x14ac:dyDescent="0.25">
      <c r="C10084" s="1"/>
      <c r="D10084" s="1"/>
    </row>
    <row r="10085" spans="3:4" x14ac:dyDescent="0.25">
      <c r="C10085" s="1"/>
      <c r="D10085" s="1"/>
    </row>
    <row r="10086" spans="3:4" x14ac:dyDescent="0.25">
      <c r="C10086" s="1"/>
      <c r="D10086" s="1"/>
    </row>
    <row r="10087" spans="3:4" x14ac:dyDescent="0.25">
      <c r="C10087" s="1"/>
      <c r="D10087" s="1"/>
    </row>
    <row r="10088" spans="3:4" x14ac:dyDescent="0.25">
      <c r="C10088" s="1"/>
      <c r="D10088" s="1"/>
    </row>
    <row r="10089" spans="3:4" x14ac:dyDescent="0.25">
      <c r="C10089" s="1"/>
      <c r="D10089" s="1"/>
    </row>
    <row r="10090" spans="3:4" x14ac:dyDescent="0.25">
      <c r="C10090" s="1"/>
      <c r="D10090" s="1"/>
    </row>
    <row r="10091" spans="3:4" x14ac:dyDescent="0.25">
      <c r="C10091" s="1"/>
      <c r="D10091" s="1"/>
    </row>
    <row r="10092" spans="3:4" x14ac:dyDescent="0.25">
      <c r="C10092" s="1"/>
      <c r="D10092" s="1"/>
    </row>
    <row r="10093" spans="3:4" x14ac:dyDescent="0.25">
      <c r="C10093" s="1"/>
      <c r="D10093" s="1"/>
    </row>
    <row r="10094" spans="3:4" x14ac:dyDescent="0.25">
      <c r="C10094" s="1"/>
      <c r="D10094" s="1"/>
    </row>
    <row r="10095" spans="3:4" x14ac:dyDescent="0.25">
      <c r="C10095" s="1"/>
      <c r="D10095" s="1"/>
    </row>
    <row r="10096" spans="3:4" x14ac:dyDescent="0.25">
      <c r="C10096" s="1"/>
      <c r="D10096" s="1"/>
    </row>
    <row r="10097" spans="3:4" x14ac:dyDescent="0.25">
      <c r="C10097" s="1"/>
      <c r="D10097" s="1"/>
    </row>
    <row r="10098" spans="3:4" x14ac:dyDescent="0.25">
      <c r="C10098" s="1"/>
      <c r="D10098" s="1"/>
    </row>
    <row r="10099" spans="3:4" x14ac:dyDescent="0.25">
      <c r="C10099" s="1"/>
      <c r="D10099" s="1"/>
    </row>
    <row r="10100" spans="3:4" x14ac:dyDescent="0.25">
      <c r="C10100" s="1"/>
      <c r="D10100" s="1"/>
    </row>
    <row r="10101" spans="3:4" x14ac:dyDescent="0.25">
      <c r="C10101" s="1"/>
      <c r="D10101" s="1"/>
    </row>
    <row r="10102" spans="3:4" x14ac:dyDescent="0.25">
      <c r="C10102" s="1"/>
      <c r="D10102" s="1"/>
    </row>
    <row r="10103" spans="3:4" x14ac:dyDescent="0.25">
      <c r="C10103" s="1"/>
      <c r="D10103" s="1"/>
    </row>
    <row r="10104" spans="3:4" x14ac:dyDescent="0.25">
      <c r="C10104" s="1"/>
      <c r="D10104" s="1"/>
    </row>
    <row r="10105" spans="3:4" x14ac:dyDescent="0.25">
      <c r="C10105" s="1"/>
      <c r="D10105" s="1"/>
    </row>
    <row r="10106" spans="3:4" x14ac:dyDescent="0.25">
      <c r="C10106" s="1"/>
      <c r="D10106" s="1"/>
    </row>
    <row r="10107" spans="3:4" x14ac:dyDescent="0.25">
      <c r="C10107" s="1"/>
      <c r="D10107" s="1"/>
    </row>
    <row r="10108" spans="3:4" x14ac:dyDescent="0.25">
      <c r="C10108" s="1"/>
      <c r="D10108" s="1"/>
    </row>
    <row r="10109" spans="3:4" x14ac:dyDescent="0.25">
      <c r="C10109" s="1"/>
      <c r="D10109" s="1"/>
    </row>
    <row r="10110" spans="3:4" x14ac:dyDescent="0.25">
      <c r="C10110" s="1"/>
      <c r="D10110" s="1"/>
    </row>
    <row r="10111" spans="3:4" x14ac:dyDescent="0.25">
      <c r="C10111" s="1"/>
      <c r="D10111" s="1"/>
    </row>
    <row r="10112" spans="3:4" x14ac:dyDescent="0.25">
      <c r="C10112" s="1"/>
      <c r="D10112" s="1"/>
    </row>
    <row r="10113" spans="3:4" x14ac:dyDescent="0.25">
      <c r="C10113" s="1"/>
      <c r="D10113" s="1"/>
    </row>
    <row r="10114" spans="3:4" x14ac:dyDescent="0.25">
      <c r="C10114" s="1"/>
      <c r="D10114" s="1"/>
    </row>
    <row r="10115" spans="3:4" x14ac:dyDescent="0.25">
      <c r="C10115" s="1"/>
      <c r="D10115" s="1"/>
    </row>
    <row r="10116" spans="3:4" x14ac:dyDescent="0.25">
      <c r="C10116" s="1"/>
      <c r="D10116" s="1"/>
    </row>
    <row r="10117" spans="3:4" x14ac:dyDescent="0.25">
      <c r="C10117" s="1"/>
      <c r="D10117" s="1"/>
    </row>
    <row r="10118" spans="3:4" x14ac:dyDescent="0.25">
      <c r="C10118" s="1"/>
      <c r="D10118" s="1"/>
    </row>
    <row r="10119" spans="3:4" x14ac:dyDescent="0.25">
      <c r="C10119" s="1"/>
      <c r="D10119" s="1"/>
    </row>
    <row r="10120" spans="3:4" x14ac:dyDescent="0.25">
      <c r="C10120" s="1"/>
      <c r="D10120" s="1"/>
    </row>
    <row r="10121" spans="3:4" x14ac:dyDescent="0.25">
      <c r="C10121" s="1"/>
      <c r="D10121" s="1"/>
    </row>
    <row r="10122" spans="3:4" x14ac:dyDescent="0.25">
      <c r="C10122" s="1"/>
      <c r="D10122" s="1"/>
    </row>
    <row r="10123" spans="3:4" x14ac:dyDescent="0.25">
      <c r="C10123" s="1"/>
      <c r="D10123" s="1"/>
    </row>
    <row r="10124" spans="3:4" x14ac:dyDescent="0.25">
      <c r="C10124" s="1"/>
      <c r="D10124" s="1"/>
    </row>
    <row r="10125" spans="3:4" x14ac:dyDescent="0.25">
      <c r="C10125" s="1"/>
      <c r="D10125" s="1"/>
    </row>
    <row r="10126" spans="3:4" x14ac:dyDescent="0.25">
      <c r="C10126" s="1"/>
      <c r="D10126" s="1"/>
    </row>
    <row r="10127" spans="3:4" x14ac:dyDescent="0.25">
      <c r="C10127" s="1"/>
      <c r="D10127" s="1"/>
    </row>
    <row r="10128" spans="3:4" x14ac:dyDescent="0.25">
      <c r="C10128" s="1"/>
      <c r="D10128" s="1"/>
    </row>
    <row r="10129" spans="3:4" x14ac:dyDescent="0.25">
      <c r="C10129" s="1"/>
      <c r="D10129" s="1"/>
    </row>
    <row r="10130" spans="3:4" x14ac:dyDescent="0.25">
      <c r="C10130" s="1"/>
      <c r="D10130" s="1"/>
    </row>
    <row r="10131" spans="3:4" x14ac:dyDescent="0.25">
      <c r="C10131" s="1"/>
      <c r="D10131" s="1"/>
    </row>
    <row r="10132" spans="3:4" x14ac:dyDescent="0.25">
      <c r="C10132" s="1"/>
      <c r="D10132" s="1"/>
    </row>
    <row r="10133" spans="3:4" x14ac:dyDescent="0.25">
      <c r="C10133" s="1"/>
      <c r="D10133" s="1"/>
    </row>
    <row r="10134" spans="3:4" x14ac:dyDescent="0.25">
      <c r="C10134" s="1"/>
      <c r="D10134" s="1"/>
    </row>
    <row r="10135" spans="3:4" x14ac:dyDescent="0.25">
      <c r="C10135" s="1"/>
      <c r="D10135" s="1"/>
    </row>
    <row r="10136" spans="3:4" x14ac:dyDescent="0.25">
      <c r="C10136" s="1"/>
      <c r="D10136" s="1"/>
    </row>
    <row r="10137" spans="3:4" x14ac:dyDescent="0.25">
      <c r="C10137" s="1"/>
      <c r="D10137" s="1"/>
    </row>
    <row r="10138" spans="3:4" x14ac:dyDescent="0.25">
      <c r="C10138" s="1"/>
      <c r="D10138" s="1"/>
    </row>
    <row r="10139" spans="3:4" x14ac:dyDescent="0.25">
      <c r="C10139" s="1"/>
      <c r="D10139" s="1"/>
    </row>
    <row r="10140" spans="3:4" x14ac:dyDescent="0.25">
      <c r="C10140" s="1"/>
      <c r="D10140" s="1"/>
    </row>
    <row r="10141" spans="3:4" x14ac:dyDescent="0.25">
      <c r="C10141" s="1"/>
      <c r="D10141" s="1"/>
    </row>
    <row r="10142" spans="3:4" x14ac:dyDescent="0.25">
      <c r="C10142" s="1"/>
      <c r="D10142" s="1"/>
    </row>
    <row r="10143" spans="3:4" x14ac:dyDescent="0.25">
      <c r="C10143" s="1"/>
      <c r="D10143" s="1"/>
    </row>
    <row r="10144" spans="3:4" x14ac:dyDescent="0.25">
      <c r="C10144" s="1"/>
      <c r="D10144" s="1"/>
    </row>
    <row r="10145" spans="3:4" x14ac:dyDescent="0.25">
      <c r="C10145" s="1"/>
      <c r="D10145" s="1"/>
    </row>
    <row r="10146" spans="3:4" x14ac:dyDescent="0.25">
      <c r="C10146" s="1"/>
      <c r="D10146" s="1"/>
    </row>
    <row r="10147" spans="3:4" x14ac:dyDescent="0.25">
      <c r="C10147" s="1"/>
      <c r="D10147" s="1"/>
    </row>
    <row r="10148" spans="3:4" x14ac:dyDescent="0.25">
      <c r="C10148" s="1"/>
      <c r="D10148" s="1"/>
    </row>
    <row r="10149" spans="3:4" x14ac:dyDescent="0.25">
      <c r="C10149" s="1"/>
      <c r="D10149" s="1"/>
    </row>
    <row r="10150" spans="3:4" x14ac:dyDescent="0.25">
      <c r="C10150" s="1"/>
      <c r="D10150" s="1"/>
    </row>
    <row r="10151" spans="3:4" x14ac:dyDescent="0.25">
      <c r="C10151" s="1"/>
      <c r="D10151" s="1"/>
    </row>
    <row r="10152" spans="3:4" x14ac:dyDescent="0.25">
      <c r="C10152" s="1"/>
      <c r="D10152" s="1"/>
    </row>
    <row r="10153" spans="3:4" x14ac:dyDescent="0.25">
      <c r="C10153" s="1"/>
      <c r="D10153" s="1"/>
    </row>
    <row r="10154" spans="3:4" x14ac:dyDescent="0.25">
      <c r="C10154" s="1"/>
      <c r="D10154" s="1"/>
    </row>
    <row r="10155" spans="3:4" x14ac:dyDescent="0.25">
      <c r="C10155" s="1"/>
      <c r="D10155" s="1"/>
    </row>
    <row r="10156" spans="3:4" x14ac:dyDescent="0.25">
      <c r="C10156" s="1"/>
      <c r="D10156" s="1"/>
    </row>
    <row r="10157" spans="3:4" x14ac:dyDescent="0.25">
      <c r="C10157" s="1"/>
      <c r="D10157" s="1"/>
    </row>
    <row r="10158" spans="3:4" x14ac:dyDescent="0.25">
      <c r="C10158" s="1"/>
      <c r="D10158" s="1"/>
    </row>
    <row r="10159" spans="3:4" x14ac:dyDescent="0.25">
      <c r="C10159" s="1"/>
      <c r="D10159" s="1"/>
    </row>
    <row r="10160" spans="3:4" x14ac:dyDescent="0.25">
      <c r="C10160" s="1"/>
      <c r="D10160" s="1"/>
    </row>
    <row r="10161" spans="3:4" x14ac:dyDescent="0.25">
      <c r="C10161" s="1"/>
      <c r="D10161" s="1"/>
    </row>
    <row r="10162" spans="3:4" x14ac:dyDescent="0.25">
      <c r="C10162" s="1"/>
      <c r="D10162" s="1"/>
    </row>
    <row r="10163" spans="3:4" x14ac:dyDescent="0.25">
      <c r="C10163" s="1"/>
      <c r="D10163" s="1"/>
    </row>
    <row r="10164" spans="3:4" x14ac:dyDescent="0.25">
      <c r="C10164" s="1"/>
      <c r="D10164" s="1"/>
    </row>
    <row r="10165" spans="3:4" x14ac:dyDescent="0.25">
      <c r="C10165" s="1"/>
      <c r="D10165" s="1"/>
    </row>
    <row r="10166" spans="3:4" x14ac:dyDescent="0.25">
      <c r="C10166" s="1"/>
      <c r="D10166" s="1"/>
    </row>
    <row r="10167" spans="3:4" x14ac:dyDescent="0.25">
      <c r="C10167" s="1"/>
      <c r="D10167" s="1"/>
    </row>
    <row r="10168" spans="3:4" x14ac:dyDescent="0.25">
      <c r="C10168" s="1"/>
      <c r="D10168" s="1"/>
    </row>
    <row r="10169" spans="3:4" x14ac:dyDescent="0.25">
      <c r="C10169" s="1"/>
      <c r="D10169" s="1"/>
    </row>
    <row r="10170" spans="3:4" x14ac:dyDescent="0.25">
      <c r="C10170" s="1"/>
      <c r="D10170" s="1"/>
    </row>
    <row r="10171" spans="3:4" x14ac:dyDescent="0.25">
      <c r="C10171" s="1"/>
      <c r="D10171" s="1"/>
    </row>
    <row r="10172" spans="3:4" x14ac:dyDescent="0.25">
      <c r="C10172" s="1"/>
      <c r="D10172" s="1"/>
    </row>
    <row r="10173" spans="3:4" x14ac:dyDescent="0.25">
      <c r="C10173" s="1"/>
      <c r="D10173" s="1"/>
    </row>
    <row r="10174" spans="3:4" x14ac:dyDescent="0.25">
      <c r="C10174" s="1"/>
      <c r="D10174" s="1"/>
    </row>
    <row r="10175" spans="3:4" x14ac:dyDescent="0.25">
      <c r="C10175" s="1"/>
      <c r="D10175" s="1"/>
    </row>
    <row r="10176" spans="3:4" x14ac:dyDescent="0.25">
      <c r="C10176" s="1"/>
      <c r="D10176" s="1"/>
    </row>
    <row r="10177" spans="3:4" x14ac:dyDescent="0.25">
      <c r="C10177" s="1"/>
      <c r="D10177" s="1"/>
    </row>
    <row r="10178" spans="3:4" x14ac:dyDescent="0.25">
      <c r="C10178" s="1"/>
      <c r="D10178" s="1"/>
    </row>
    <row r="10179" spans="3:4" x14ac:dyDescent="0.25">
      <c r="C10179" s="1"/>
      <c r="D10179" s="1"/>
    </row>
    <row r="10180" spans="3:4" x14ac:dyDescent="0.25">
      <c r="C10180" s="1"/>
      <c r="D10180" s="1"/>
    </row>
    <row r="10181" spans="3:4" x14ac:dyDescent="0.25">
      <c r="C10181" s="1"/>
      <c r="D10181" s="1"/>
    </row>
    <row r="10182" spans="3:4" x14ac:dyDescent="0.25">
      <c r="C10182" s="1"/>
      <c r="D10182" s="1"/>
    </row>
    <row r="10183" spans="3:4" x14ac:dyDescent="0.25">
      <c r="C10183" s="1"/>
      <c r="D10183" s="1"/>
    </row>
    <row r="10184" spans="3:4" x14ac:dyDescent="0.25">
      <c r="C10184" s="1"/>
      <c r="D10184" s="1"/>
    </row>
    <row r="10185" spans="3:4" x14ac:dyDescent="0.25">
      <c r="C10185" s="1"/>
      <c r="D10185" s="1"/>
    </row>
    <row r="10186" spans="3:4" x14ac:dyDescent="0.25">
      <c r="C10186" s="1"/>
      <c r="D10186" s="1"/>
    </row>
    <row r="10187" spans="3:4" x14ac:dyDescent="0.25">
      <c r="C10187" s="1"/>
      <c r="D10187" s="1"/>
    </row>
    <row r="10188" spans="3:4" x14ac:dyDescent="0.25">
      <c r="C10188" s="1"/>
      <c r="D10188" s="1"/>
    </row>
    <row r="10189" spans="3:4" x14ac:dyDescent="0.25">
      <c r="C10189" s="1"/>
      <c r="D10189" s="1"/>
    </row>
    <row r="10190" spans="3:4" x14ac:dyDescent="0.25">
      <c r="C10190" s="1"/>
      <c r="D10190" s="1"/>
    </row>
    <row r="10191" spans="3:4" x14ac:dyDescent="0.25">
      <c r="C10191" s="1"/>
      <c r="D10191" s="1"/>
    </row>
    <row r="10192" spans="3:4" x14ac:dyDescent="0.25">
      <c r="C10192" s="1"/>
      <c r="D10192" s="1"/>
    </row>
    <row r="10193" spans="3:4" x14ac:dyDescent="0.25">
      <c r="C10193" s="1"/>
      <c r="D10193" s="1"/>
    </row>
    <row r="10194" spans="3:4" x14ac:dyDescent="0.25">
      <c r="C10194" s="1"/>
      <c r="D10194" s="1"/>
    </row>
    <row r="10195" spans="3:4" x14ac:dyDescent="0.25">
      <c r="C10195" s="1"/>
      <c r="D1019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C9DF0-8D2B-4409-AD1D-021BE2EFFB84}">
  <dimension ref="A1:B22"/>
  <sheetViews>
    <sheetView workbookViewId="0">
      <selection activeCell="D21" sqref="D21"/>
    </sheetView>
  </sheetViews>
  <sheetFormatPr defaultRowHeight="13.8" x14ac:dyDescent="0.25"/>
  <cols>
    <col min="1" max="1" width="29.796875" bestFit="1" customWidth="1"/>
    <col min="2" max="2" width="11.3984375" bestFit="1" customWidth="1"/>
  </cols>
  <sheetData>
    <row r="1" spans="1:2" ht="17.399999999999999" x14ac:dyDescent="0.3">
      <c r="A1" s="4" t="s">
        <v>4306</v>
      </c>
    </row>
    <row r="2" spans="1:2" x14ac:dyDescent="0.25">
      <c r="A2" s="2"/>
    </row>
    <row r="3" spans="1:2" x14ac:dyDescent="0.25">
      <c r="A3" s="2" t="s">
        <v>4307</v>
      </c>
      <c r="B3">
        <f>COUNTA(Supply_Chain[Order_ID])</f>
        <v>1000</v>
      </c>
    </row>
    <row r="4" spans="1:2" x14ac:dyDescent="0.25">
      <c r="A4" s="2" t="s">
        <v>4308</v>
      </c>
      <c r="B4" s="3">
        <f>SUMPRODUCT(Supply_Chain[Unit_Price],Supply_Chain[Quantity])</f>
        <v>12475694.789999995</v>
      </c>
    </row>
    <row r="5" spans="1:2" x14ac:dyDescent="0.25">
      <c r="A5" s="2" t="s">
        <v>4309</v>
      </c>
      <c r="B5" s="10">
        <f>B4/B3</f>
        <v>12475.694789999996</v>
      </c>
    </row>
    <row r="7" spans="1:2" ht="17.399999999999999" x14ac:dyDescent="0.3">
      <c r="A7" s="4" t="s">
        <v>4310</v>
      </c>
    </row>
    <row r="9" spans="1:2" x14ac:dyDescent="0.25">
      <c r="A9" s="2" t="s">
        <v>4311</v>
      </c>
      <c r="B9" s="3">
        <f>SUM(Supply_Chain[Procurement_Cost])</f>
        <v>1015919.4500000005</v>
      </c>
    </row>
    <row r="10" spans="1:2" x14ac:dyDescent="0.25">
      <c r="A10" s="2" t="s">
        <v>4312</v>
      </c>
      <c r="B10" s="3">
        <f>SUM(Supply_Chain[Transportation_Cost])</f>
        <v>262463.43000000034</v>
      </c>
    </row>
    <row r="11" spans="1:2" x14ac:dyDescent="0.25">
      <c r="A11" s="2" t="s">
        <v>4313</v>
      </c>
      <c r="B11" s="3">
        <f>SUM(Supply_Chain[Total_Cost])</f>
        <v>1278382.8799999999</v>
      </c>
    </row>
    <row r="12" spans="1:2" x14ac:dyDescent="0.25">
      <c r="A12" s="2" t="s">
        <v>4314</v>
      </c>
      <c r="B12" s="3">
        <f>SUM(Supply_Chain[Total_Cost]) / SUM(Supply_Chain[Quantity])</f>
        <v>25.908089901303121</v>
      </c>
    </row>
    <row r="14" spans="1:2" ht="17.399999999999999" x14ac:dyDescent="0.3">
      <c r="A14" s="4" t="s">
        <v>4315</v>
      </c>
    </row>
    <row r="16" spans="1:2" x14ac:dyDescent="0.25">
      <c r="A16" s="2" t="s">
        <v>4316</v>
      </c>
      <c r="B16" s="5">
        <f>COUNTIF(Supply_Chain[Delivery_Status],"On-Time") / COUNTA(Supply_Chain[Order_ID])</f>
        <v>0.9</v>
      </c>
    </row>
    <row r="17" spans="1:2" x14ac:dyDescent="0.25">
      <c r="A17" s="2" t="s">
        <v>4317</v>
      </c>
      <c r="B17" s="6">
        <f>AVERAGE(Supply_Chain[Delay_Days])</f>
        <v>0.78900000000000003</v>
      </c>
    </row>
    <row r="19" spans="1:2" ht="17.399999999999999" x14ac:dyDescent="0.3">
      <c r="A19" s="4" t="s">
        <v>4318</v>
      </c>
    </row>
    <row r="21" spans="1:2" x14ac:dyDescent="0.25">
      <c r="A21" s="2" t="s">
        <v>4319</v>
      </c>
      <c r="B21" s="5">
        <f>AVERAGE(Supply_Chain[Fill_Rate])/100</f>
        <v>0.84711540000000052</v>
      </c>
    </row>
    <row r="22" spans="1:2" x14ac:dyDescent="0.25">
      <c r="A22" s="2" t="s">
        <v>4320</v>
      </c>
      <c r="B22" s="5">
        <f>COUNTIF(Supply_Chain[Delivery_Status],"Delayed") / COUNTA(Supply_Chain[Order_ID])</f>
        <v>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2649-5605-436D-BF6B-E28B2000DC53}">
  <dimension ref="A1"/>
  <sheetViews>
    <sheetView showGridLines="0" tabSelected="1" zoomScale="80" zoomScaleNormal="80" workbookViewId="0">
      <selection activeCell="AB28" sqref="AB28"/>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CAA5-F892-4E2A-877D-AE343D368AA5}">
  <dimension ref="A1:B55"/>
  <sheetViews>
    <sheetView zoomScaleNormal="100" workbookViewId="0">
      <selection activeCell="N53" sqref="N53"/>
    </sheetView>
  </sheetViews>
  <sheetFormatPr defaultRowHeight="13.8" x14ac:dyDescent="0.25"/>
  <cols>
    <col min="1" max="1" width="11.3984375" bestFit="1" customWidth="1"/>
    <col min="2" max="2" width="14.3984375" bestFit="1" customWidth="1"/>
    <col min="3" max="3" width="15.69921875" bestFit="1" customWidth="1"/>
  </cols>
  <sheetData>
    <row r="1" spans="1:2" x14ac:dyDescent="0.25">
      <c r="A1" s="7" t="s">
        <v>4321</v>
      </c>
      <c r="B1" t="s">
        <v>4323</v>
      </c>
    </row>
    <row r="2" spans="1:2" x14ac:dyDescent="0.25">
      <c r="A2" s="8" t="s">
        <v>91</v>
      </c>
      <c r="B2" s="9">
        <v>196</v>
      </c>
    </row>
    <row r="3" spans="1:2" x14ac:dyDescent="0.25">
      <c r="A3" s="8" t="s">
        <v>34</v>
      </c>
      <c r="B3" s="9">
        <v>208</v>
      </c>
    </row>
    <row r="4" spans="1:2" x14ac:dyDescent="0.25">
      <c r="A4" s="8" t="s">
        <v>146</v>
      </c>
      <c r="B4" s="9">
        <v>184</v>
      </c>
    </row>
    <row r="5" spans="1:2" x14ac:dyDescent="0.25">
      <c r="A5" s="8" t="s">
        <v>51</v>
      </c>
      <c r="B5" s="9">
        <v>220</v>
      </c>
    </row>
    <row r="6" spans="1:2" x14ac:dyDescent="0.25">
      <c r="A6" s="8" t="s">
        <v>77</v>
      </c>
      <c r="B6" s="9">
        <v>192</v>
      </c>
    </row>
    <row r="7" spans="1:2" x14ac:dyDescent="0.25">
      <c r="A7" s="8" t="s">
        <v>4322</v>
      </c>
      <c r="B7" s="9">
        <v>1000</v>
      </c>
    </row>
    <row r="13" spans="1:2" x14ac:dyDescent="0.25">
      <c r="A13" s="7" t="s">
        <v>4321</v>
      </c>
      <c r="B13" t="s">
        <v>4323</v>
      </c>
    </row>
    <row r="14" spans="1:2" x14ac:dyDescent="0.25">
      <c r="A14" s="8" t="s">
        <v>4324</v>
      </c>
      <c r="B14" s="9">
        <v>221</v>
      </c>
    </row>
    <row r="15" spans="1:2" x14ac:dyDescent="0.25">
      <c r="A15" s="8" t="s">
        <v>4325</v>
      </c>
      <c r="B15" s="9">
        <v>183</v>
      </c>
    </row>
    <row r="16" spans="1:2" x14ac:dyDescent="0.25">
      <c r="A16" s="8" t="s">
        <v>4326</v>
      </c>
      <c r="B16" s="9">
        <v>199</v>
      </c>
    </row>
    <row r="17" spans="1:2" x14ac:dyDescent="0.25">
      <c r="A17" s="8" t="s">
        <v>4327</v>
      </c>
      <c r="B17" s="9">
        <v>200</v>
      </c>
    </row>
    <row r="18" spans="1:2" x14ac:dyDescent="0.25">
      <c r="A18" s="8" t="s">
        <v>4328</v>
      </c>
      <c r="B18" s="9">
        <v>194</v>
      </c>
    </row>
    <row r="19" spans="1:2" x14ac:dyDescent="0.25">
      <c r="A19" s="8" t="s">
        <v>4329</v>
      </c>
      <c r="B19" s="9">
        <v>3</v>
      </c>
    </row>
    <row r="20" spans="1:2" x14ac:dyDescent="0.25">
      <c r="A20" s="8" t="s">
        <v>4322</v>
      </c>
      <c r="B20" s="9">
        <v>1000</v>
      </c>
    </row>
    <row r="25" spans="1:2" x14ac:dyDescent="0.25">
      <c r="A25" s="7" t="s">
        <v>4321</v>
      </c>
      <c r="B25" t="s">
        <v>4323</v>
      </c>
    </row>
    <row r="26" spans="1:2" x14ac:dyDescent="0.25">
      <c r="A26" s="8" t="s">
        <v>50</v>
      </c>
      <c r="B26" s="9">
        <v>285</v>
      </c>
    </row>
    <row r="27" spans="1:2" x14ac:dyDescent="0.25">
      <c r="A27" s="8" t="s">
        <v>33</v>
      </c>
      <c r="B27" s="9">
        <v>88</v>
      </c>
    </row>
    <row r="28" spans="1:2" x14ac:dyDescent="0.25">
      <c r="A28" s="8" t="s">
        <v>65</v>
      </c>
      <c r="B28" s="9">
        <v>627</v>
      </c>
    </row>
    <row r="29" spans="1:2" x14ac:dyDescent="0.25">
      <c r="A29" s="8" t="s">
        <v>4322</v>
      </c>
      <c r="B29" s="9">
        <v>1000</v>
      </c>
    </row>
    <row r="37" spans="1:2" x14ac:dyDescent="0.25">
      <c r="A37" s="7" t="s">
        <v>4321</v>
      </c>
      <c r="B37" t="s">
        <v>4323</v>
      </c>
    </row>
    <row r="38" spans="1:2" x14ac:dyDescent="0.25">
      <c r="A38" s="8" t="s">
        <v>47</v>
      </c>
      <c r="B38" s="9">
        <v>100</v>
      </c>
    </row>
    <row r="39" spans="1:2" x14ac:dyDescent="0.25">
      <c r="A39" s="8" t="s">
        <v>62</v>
      </c>
      <c r="B39" s="9">
        <v>900</v>
      </c>
    </row>
    <row r="40" spans="1:2" x14ac:dyDescent="0.25">
      <c r="A40" s="8" t="s">
        <v>4322</v>
      </c>
      <c r="B40" s="9">
        <v>1000</v>
      </c>
    </row>
    <row r="50" spans="1:2" x14ac:dyDescent="0.25">
      <c r="A50" s="7" t="s">
        <v>4321</v>
      </c>
      <c r="B50" t="s">
        <v>4323</v>
      </c>
    </row>
    <row r="51" spans="1:2" x14ac:dyDescent="0.25">
      <c r="A51" s="8" t="s">
        <v>44</v>
      </c>
      <c r="B51" s="9">
        <v>254</v>
      </c>
    </row>
    <row r="52" spans="1:2" x14ac:dyDescent="0.25">
      <c r="A52" s="8" t="s">
        <v>86</v>
      </c>
      <c r="B52" s="9">
        <v>251</v>
      </c>
    </row>
    <row r="53" spans="1:2" x14ac:dyDescent="0.25">
      <c r="A53" s="8" t="s">
        <v>60</v>
      </c>
      <c r="B53" s="9">
        <v>253</v>
      </c>
    </row>
    <row r="54" spans="1:2" x14ac:dyDescent="0.25">
      <c r="A54" s="8" t="s">
        <v>152</v>
      </c>
      <c r="B54" s="9">
        <v>242</v>
      </c>
    </row>
    <row r="55" spans="1:2" x14ac:dyDescent="0.25">
      <c r="A55" s="8" t="s">
        <v>4322</v>
      </c>
      <c r="B55" s="9">
        <v>1000</v>
      </c>
    </row>
  </sheetData>
  <pageMargins left="0.7" right="0.7" top="0.75" bottom="0.75" header="0.3" footer="0.3"/>
  <pageSetup orientation="portrait" r:id="rId6"/>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85827D-F680-475B-82C9-8ACA03E217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Supply Chain</vt:lpstr>
      <vt:lpstr>Supply chain KPIs</vt:lpstr>
      <vt:lpstr>Supply Chain 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Rumiza Sayyeda</dc:creator>
  <cp:lastModifiedBy>mayur</cp:lastModifiedBy>
  <dcterms:created xsi:type="dcterms:W3CDTF">2026-02-18T05:44:47Z</dcterms:created>
  <dcterms:modified xsi:type="dcterms:W3CDTF">2026-02-20T09:28:40Z</dcterms:modified>
</cp:coreProperties>
</file>